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2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/>
  <mc:AlternateContent xmlns:mc="http://schemas.openxmlformats.org/markup-compatibility/2006">
    <mc:Choice Requires="x15">
      <x15ac:absPath xmlns:x15ac="http://schemas.microsoft.com/office/spreadsheetml/2010/11/ac" url="C:\Users\vitor.fernandes\Downloads\"/>
    </mc:Choice>
  </mc:AlternateContent>
  <xr:revisionPtr revIDLastSave="0" documentId="13_ncr:1_{5BE7BC56-1E46-472F-82AC-BEA9A0E2FE92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GRAF.TOTAL" sheetId="2" r:id="rId1"/>
    <sheet name="GRAFI.MES" sheetId="3" r:id="rId2"/>
    <sheet name="TOTAL.GERAL" sheetId="4" r:id="rId3"/>
    <sheet name="TAB.GERAL" sheetId="5" r:id="rId4"/>
    <sheet name="DADOS.GERAL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10" roundtripDataSignature="AMtx7mhvNIf+M/8csec/ahlW6eCCgp+xzA=="/>
    </ext>
  </extLst>
</workbook>
</file>

<file path=xl/calcChain.xml><?xml version="1.0" encoding="utf-8"?>
<calcChain xmlns="http://schemas.openxmlformats.org/spreadsheetml/2006/main">
  <c r="J45" i="6" l="1"/>
  <c r="J44" i="6"/>
  <c r="J43" i="6"/>
  <c r="J42" i="6"/>
  <c r="R41" i="6"/>
  <c r="J41" i="6"/>
  <c r="R40" i="6"/>
  <c r="J40" i="6"/>
  <c r="Y39" i="6"/>
  <c r="R39" i="6"/>
  <c r="J39" i="6"/>
  <c r="Y38" i="6"/>
  <c r="R38" i="6"/>
  <c r="J38" i="6"/>
  <c r="Y37" i="6"/>
  <c r="R37" i="6"/>
  <c r="J37" i="6"/>
  <c r="Y36" i="6"/>
  <c r="R36" i="6"/>
  <c r="J36" i="6"/>
  <c r="Y35" i="6"/>
  <c r="R35" i="6"/>
  <c r="J35" i="6"/>
  <c r="Y34" i="6"/>
  <c r="R34" i="6"/>
  <c r="J34" i="6"/>
  <c r="Y33" i="6"/>
  <c r="R33" i="6"/>
  <c r="J33" i="6"/>
  <c r="Y32" i="6"/>
  <c r="R32" i="6"/>
  <c r="J32" i="6"/>
  <c r="Y31" i="6"/>
  <c r="R31" i="6"/>
  <c r="J31" i="6"/>
  <c r="Y30" i="6"/>
  <c r="R30" i="6"/>
  <c r="J30" i="6"/>
  <c r="Y29" i="6"/>
  <c r="R29" i="6"/>
  <c r="J29" i="6"/>
  <c r="Y28" i="6"/>
  <c r="R28" i="6"/>
  <c r="J28" i="6"/>
  <c r="Y27" i="6"/>
  <c r="R27" i="6"/>
  <c r="J27" i="6"/>
  <c r="Y26" i="6"/>
  <c r="R26" i="6"/>
  <c r="J26" i="6"/>
  <c r="Y25" i="6"/>
  <c r="R25" i="6"/>
  <c r="J25" i="6"/>
  <c r="Y24" i="6"/>
  <c r="R24" i="6"/>
  <c r="J24" i="6"/>
  <c r="Y23" i="6"/>
  <c r="R23" i="6"/>
  <c r="J23" i="6"/>
  <c r="Y22" i="6"/>
  <c r="R22" i="6"/>
  <c r="J22" i="6"/>
  <c r="Y21" i="6"/>
  <c r="R21" i="6"/>
  <c r="J21" i="6"/>
  <c r="Y20" i="6"/>
  <c r="R20" i="6"/>
  <c r="J20" i="6"/>
  <c r="Y19" i="6"/>
  <c r="R19" i="6"/>
  <c r="J19" i="6"/>
  <c r="Y18" i="6"/>
  <c r="R18" i="6"/>
  <c r="J18" i="6"/>
  <c r="Y17" i="6"/>
  <c r="R17" i="6"/>
  <c r="J17" i="6"/>
  <c r="Y16" i="6"/>
  <c r="R16" i="6"/>
  <c r="J16" i="6"/>
  <c r="Y15" i="6"/>
  <c r="R15" i="6"/>
  <c r="J15" i="6"/>
  <c r="Y14" i="6"/>
  <c r="R14" i="6"/>
  <c r="J14" i="6"/>
  <c r="Y13" i="6"/>
  <c r="R13" i="6"/>
  <c r="J13" i="6"/>
  <c r="Y12" i="6"/>
  <c r="R12" i="6"/>
  <c r="J12" i="6"/>
  <c r="Y11" i="6"/>
  <c r="R11" i="6"/>
  <c r="J11" i="6"/>
  <c r="Y10" i="6"/>
  <c r="R10" i="6"/>
  <c r="J10" i="6"/>
  <c r="Y9" i="6"/>
  <c r="R9" i="6"/>
  <c r="J9" i="6"/>
  <c r="Y8" i="6"/>
  <c r="R8" i="6"/>
  <c r="J8" i="6"/>
  <c r="Y7" i="6"/>
  <c r="R7" i="6"/>
  <c r="J7" i="6"/>
  <c r="Y6" i="6"/>
  <c r="R6" i="6"/>
  <c r="J6" i="6"/>
  <c r="Y5" i="6"/>
  <c r="R5" i="6"/>
  <c r="J5" i="6"/>
  <c r="Y4" i="6"/>
  <c r="R4" i="6"/>
  <c r="J4" i="6"/>
  <c r="X40" i="4"/>
  <c r="W40" i="4"/>
  <c r="V40" i="4"/>
  <c r="U40" i="4"/>
  <c r="X39" i="4"/>
  <c r="W39" i="4"/>
  <c r="V39" i="4"/>
  <c r="U39" i="4"/>
  <c r="X38" i="4"/>
  <c r="W38" i="4"/>
  <c r="V38" i="4"/>
  <c r="U38" i="4"/>
  <c r="X37" i="4"/>
  <c r="W37" i="4"/>
  <c r="V37" i="4"/>
  <c r="U37" i="4"/>
  <c r="X36" i="4"/>
  <c r="W36" i="4"/>
  <c r="V36" i="4"/>
  <c r="U36" i="4"/>
  <c r="X35" i="4"/>
  <c r="W35" i="4"/>
  <c r="V35" i="4"/>
  <c r="U35" i="4"/>
  <c r="R34" i="4"/>
  <c r="Q34" i="4"/>
  <c r="P34" i="4"/>
  <c r="O34" i="4"/>
  <c r="L34" i="4"/>
  <c r="K34" i="4"/>
  <c r="J34" i="4"/>
  <c r="I34" i="4"/>
  <c r="F34" i="4"/>
  <c r="X34" i="4" s="1"/>
  <c r="E34" i="4"/>
  <c r="W34" i="4" s="1"/>
  <c r="D34" i="4"/>
  <c r="V34" i="4" s="1"/>
  <c r="C34" i="4"/>
  <c r="U34" i="4" s="1"/>
  <c r="R33" i="4"/>
  <c r="Q33" i="4"/>
  <c r="P33" i="4"/>
  <c r="O33" i="4"/>
  <c r="L33" i="4"/>
  <c r="X33" i="4" s="1"/>
  <c r="K33" i="4"/>
  <c r="W33" i="4" s="1"/>
  <c r="J33" i="4"/>
  <c r="V33" i="4" s="1"/>
  <c r="I33" i="4"/>
  <c r="U33" i="4" s="1"/>
  <c r="R32" i="4"/>
  <c r="Q32" i="4"/>
  <c r="Q9" i="4" s="1"/>
  <c r="P32" i="4"/>
  <c r="O32" i="4"/>
  <c r="L32" i="4"/>
  <c r="X32" i="4" s="1"/>
  <c r="K32" i="4"/>
  <c r="W32" i="4" s="1"/>
  <c r="J32" i="4"/>
  <c r="V32" i="4" s="1"/>
  <c r="I32" i="4"/>
  <c r="U32" i="4" s="1"/>
  <c r="F32" i="4"/>
  <c r="E32" i="4"/>
  <c r="D32" i="4"/>
  <c r="C32" i="4"/>
  <c r="L31" i="4"/>
  <c r="K31" i="4"/>
  <c r="J31" i="4"/>
  <c r="I31" i="4"/>
  <c r="F31" i="4"/>
  <c r="X31" i="4" s="1"/>
  <c r="E31" i="4"/>
  <c r="W31" i="4" s="1"/>
  <c r="D31" i="4"/>
  <c r="V31" i="4" s="1"/>
  <c r="C31" i="4"/>
  <c r="U31" i="4" s="1"/>
  <c r="X30" i="4"/>
  <c r="W30" i="4"/>
  <c r="V30" i="4"/>
  <c r="U30" i="4"/>
  <c r="X29" i="4"/>
  <c r="W29" i="4"/>
  <c r="V29" i="4"/>
  <c r="U29" i="4"/>
  <c r="F24" i="4"/>
  <c r="X24" i="4" s="1"/>
  <c r="E24" i="4"/>
  <c r="W24" i="4" s="1"/>
  <c r="D24" i="4"/>
  <c r="V24" i="4" s="1"/>
  <c r="C24" i="4"/>
  <c r="U24" i="4" s="1"/>
  <c r="F23" i="4"/>
  <c r="X23" i="4" s="1"/>
  <c r="E23" i="4"/>
  <c r="W23" i="4" s="1"/>
  <c r="D23" i="4"/>
  <c r="V23" i="4" s="1"/>
  <c r="C23" i="4"/>
  <c r="U23" i="4" s="1"/>
  <c r="F22" i="4"/>
  <c r="X22" i="4" s="1"/>
  <c r="E22" i="4"/>
  <c r="W22" i="4" s="1"/>
  <c r="D22" i="4"/>
  <c r="V22" i="4" s="1"/>
  <c r="C22" i="4"/>
  <c r="U22" i="4" s="1"/>
  <c r="F21" i="4"/>
  <c r="X21" i="4" s="1"/>
  <c r="E21" i="4"/>
  <c r="W21" i="4" s="1"/>
  <c r="D21" i="4"/>
  <c r="V21" i="4" s="1"/>
  <c r="C21" i="4"/>
  <c r="U21" i="4" s="1"/>
  <c r="F20" i="4"/>
  <c r="X20" i="4" s="1"/>
  <c r="E20" i="4"/>
  <c r="W20" i="4" s="1"/>
  <c r="D20" i="4"/>
  <c r="V20" i="4" s="1"/>
  <c r="C20" i="4"/>
  <c r="U20" i="4" s="1"/>
  <c r="F19" i="4"/>
  <c r="X19" i="4" s="1"/>
  <c r="E19" i="4"/>
  <c r="W19" i="4" s="1"/>
  <c r="D19" i="4"/>
  <c r="V19" i="4" s="1"/>
  <c r="C19" i="4"/>
  <c r="U19" i="4" s="1"/>
  <c r="L18" i="4"/>
  <c r="K18" i="4"/>
  <c r="J18" i="4"/>
  <c r="I18" i="4"/>
  <c r="F18" i="4"/>
  <c r="X18" i="4" s="1"/>
  <c r="E18" i="4"/>
  <c r="W18" i="4" s="1"/>
  <c r="D18" i="4"/>
  <c r="V18" i="4" s="1"/>
  <c r="C18" i="4"/>
  <c r="U18" i="4" s="1"/>
  <c r="L17" i="4"/>
  <c r="K17" i="4"/>
  <c r="J17" i="4"/>
  <c r="I17" i="4"/>
  <c r="F17" i="4"/>
  <c r="X17" i="4" s="1"/>
  <c r="E17" i="4"/>
  <c r="W17" i="4" s="1"/>
  <c r="D17" i="4"/>
  <c r="V17" i="4" s="1"/>
  <c r="C17" i="4"/>
  <c r="U17" i="4" s="1"/>
  <c r="L16" i="4"/>
  <c r="K16" i="4"/>
  <c r="J16" i="4"/>
  <c r="I16" i="4"/>
  <c r="F16" i="4"/>
  <c r="X16" i="4" s="1"/>
  <c r="E16" i="4"/>
  <c r="W16" i="4" s="1"/>
  <c r="D16" i="4"/>
  <c r="V16" i="4" s="1"/>
  <c r="C16" i="4"/>
  <c r="U16" i="4" s="1"/>
  <c r="W15" i="4"/>
  <c r="V15" i="4"/>
  <c r="U15" i="4"/>
  <c r="F15" i="4"/>
  <c r="F9" i="4" s="1"/>
  <c r="X9" i="4" s="1"/>
  <c r="E15" i="4"/>
  <c r="E9" i="4" s="1"/>
  <c r="W9" i="4" s="1"/>
  <c r="D15" i="4"/>
  <c r="C15" i="4"/>
  <c r="L10" i="4"/>
  <c r="I10" i="4"/>
  <c r="F10" i="4"/>
  <c r="X10" i="4" s="1"/>
  <c r="E10" i="4"/>
  <c r="D10" i="4"/>
  <c r="C10" i="4"/>
  <c r="U10" i="4" s="1"/>
  <c r="AF9" i="4"/>
  <c r="AE9" i="4"/>
  <c r="AD9" i="4"/>
  <c r="AB9" i="4"/>
  <c r="AA9" i="4"/>
  <c r="Z9" i="4"/>
  <c r="R9" i="4"/>
  <c r="P9" i="4"/>
  <c r="O9" i="4"/>
  <c r="L9" i="4"/>
  <c r="K9" i="4"/>
  <c r="J9" i="4"/>
  <c r="I9" i="4"/>
  <c r="C9" i="4"/>
  <c r="U9" i="4" s="1"/>
  <c r="AF4" i="4"/>
  <c r="AE4" i="4"/>
  <c r="AD4" i="4"/>
  <c r="AB4" i="4"/>
  <c r="AA4" i="4"/>
  <c r="Z4" i="4"/>
  <c r="R4" i="4"/>
  <c r="Q4" i="4"/>
  <c r="P4" i="4"/>
  <c r="O4" i="4"/>
  <c r="L4" i="4"/>
  <c r="K4" i="4"/>
  <c r="W4" i="4" s="1"/>
  <c r="J4" i="4"/>
  <c r="V4" i="4" s="1"/>
  <c r="I4" i="4"/>
  <c r="U4" i="4" s="1"/>
  <c r="F4" i="4"/>
  <c r="X4" i="4" s="1"/>
  <c r="E4" i="4"/>
  <c r="D4" i="4"/>
  <c r="C4" i="4"/>
  <c r="D9" i="4" l="1"/>
  <c r="V9" i="4" s="1"/>
  <c r="X15" i="4"/>
  <c r="J10" i="4"/>
  <c r="V10" i="4" s="1"/>
  <c r="K10" i="4"/>
  <c r="W10" i="4" s="1"/>
</calcChain>
</file>

<file path=xl/sharedStrings.xml><?xml version="1.0" encoding="utf-8"?>
<sst xmlns="http://schemas.openxmlformats.org/spreadsheetml/2006/main" count="783" uniqueCount="225">
  <si>
    <t>TOTAL POPs</t>
  </si>
  <si>
    <t>TOTAL ESTATUAs</t>
  </si>
  <si>
    <t>TOTAL MAMGÁs</t>
  </si>
  <si>
    <t>TOTAL GERAL</t>
  </si>
  <si>
    <t>TOTAL PEÇAS</t>
  </si>
  <si>
    <t>TOTAL COMPRA</t>
  </si>
  <si>
    <t>PEÇAS</t>
  </si>
  <si>
    <t>VALOR COMPRA</t>
  </si>
  <si>
    <t>VALOR VENDA</t>
  </si>
  <si>
    <t>MEDIA P/N</t>
  </si>
  <si>
    <t>TOTAL MANGÁs</t>
  </si>
  <si>
    <t>TOTAL POPs POR ANO</t>
  </si>
  <si>
    <t>TOTAL ESTATUAs POR ANO</t>
  </si>
  <si>
    <t>TOTAL MANGÁs POR ANO</t>
  </si>
  <si>
    <t>TOTAL VENDA</t>
  </si>
  <si>
    <t>TOTAL P/N</t>
  </si>
  <si>
    <t>ANO</t>
  </si>
  <si>
    <t>TOTAL POPs POR MÊS 2021</t>
  </si>
  <si>
    <t>TOTAL ESTATUAs POR MÊS 2021</t>
  </si>
  <si>
    <t>TOTAL GERAL NO ANO DE 2021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</si>
  <si>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</si>
  <si>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</si>
  <si>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</si>
  <si>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</si>
  <si>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</si>
  <si>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</si>
  <si>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</si>
  <si>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</si>
  <si>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</si>
  <si>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</si>
  <si>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TOTAL POPs POR MÊS 2022</t>
  </si>
  <si>
    <t>TOTAL ESTATUAs POR MÊS 2022</t>
  </si>
  <si>
    <t>TOTAL MANGÁs POR MÊS 2022</t>
  </si>
  <si>
    <t>TOTAL GERAL NO ANO DE 2022</t>
  </si>
  <si>
    <t>JANEIRO</t>
  </si>
  <si>
    <t>FEVEREIRO</t>
  </si>
  <si>
    <t>COLEÇÃO FUNKO POP</t>
  </si>
  <si>
    <t>COLEÇÃO FUNKO POP POR MÊS</t>
  </si>
  <si>
    <t>COLEÇÃO ESTATUAS</t>
  </si>
  <si>
    <t>COLEÇÃO ESTATUAS POR MÊS</t>
  </si>
  <si>
    <t>COLEÇÃO MANGÁ</t>
  </si>
  <si>
    <t>COLEÇÃO FUNKO MANGÁ POR MÊS</t>
  </si>
  <si>
    <t>Rótulos de Linha</t>
  </si>
  <si>
    <t>Contagem de COLEÇÃO</t>
  </si>
  <si>
    <t>Soma de VALOR COMPRA</t>
  </si>
  <si>
    <t>Soma de VALOR VENDA</t>
  </si>
  <si>
    <t>Soma de MEDIA P/N</t>
  </si>
  <si>
    <t>Contagem de MÊS</t>
  </si>
  <si>
    <t>Contagem de MES</t>
  </si>
  <si>
    <t>SANT SEIYA</t>
  </si>
  <si>
    <t>DEZEMBRO DE 2021</t>
  </si>
  <si>
    <t>ONE PIECE</t>
  </si>
  <si>
    <t>MAIO DE 2021</t>
  </si>
  <si>
    <t>ONE-PUNCH MAN</t>
  </si>
  <si>
    <t>MAIO DE 2022</t>
  </si>
  <si>
    <t>AVENGERS</t>
  </si>
  <si>
    <t>ABRIL DE 2021</t>
  </si>
  <si>
    <t>VINGADORES</t>
  </si>
  <si>
    <t>JUNHO DE 2021</t>
  </si>
  <si>
    <t>JUJUTSU KAISEN</t>
  </si>
  <si>
    <t>JUNHO DE 2022</t>
  </si>
  <si>
    <t>LORD OF THE RINGS</t>
  </si>
  <si>
    <t>OUTUBRO DE 2021</t>
  </si>
  <si>
    <t>LIGA DA JUSTIÇA</t>
  </si>
  <si>
    <t>ONE PIECE 3em1</t>
  </si>
  <si>
    <t>ABRIL DE 2022</t>
  </si>
  <si>
    <t>MINIONS</t>
  </si>
  <si>
    <t>Total Geral</t>
  </si>
  <si>
    <t>MARVEL</t>
  </si>
  <si>
    <t>NOVEMBRO DE 2021</t>
  </si>
  <si>
    <t>HE-MEN</t>
  </si>
  <si>
    <t>VENUM</t>
  </si>
  <si>
    <t>JULHO DE 2021</t>
  </si>
  <si>
    <t>TOY STORY</t>
  </si>
  <si>
    <t>MARÇO DE 2022</t>
  </si>
  <si>
    <t>GAME OF TRONES</t>
  </si>
  <si>
    <t>SETEMBRO DE 2021</t>
  </si>
  <si>
    <t>SIMPSON</t>
  </si>
  <si>
    <t>BIG BANG THEORY</t>
  </si>
  <si>
    <t>AGOSTO DE 2021</t>
  </si>
  <si>
    <t>SOBRENATURAL</t>
  </si>
  <si>
    <t>MARÇO DE 2021</t>
  </si>
  <si>
    <t>DISNEP</t>
  </si>
  <si>
    <t>GUARDIANS OF THE GALAXY VOL.2</t>
  </si>
  <si>
    <t>LA CASA DE PALEL</t>
  </si>
  <si>
    <t>X-MAN</t>
  </si>
  <si>
    <t>CHAVO</t>
  </si>
  <si>
    <t>DRAGONBALL Z</t>
  </si>
  <si>
    <t>BATMAN THE DARK KNIGHT RETURNS</t>
  </si>
  <si>
    <t>PREDATOR</t>
  </si>
  <si>
    <t>WOODY WOODPECKER</t>
  </si>
  <si>
    <t>DC LOONEY TUNES</t>
  </si>
  <si>
    <t>DC COMICS</t>
  </si>
  <si>
    <t>MR BEAN</t>
  </si>
  <si>
    <t>COLAÇÃO MANGÁ</t>
  </si>
  <si>
    <t>N° FUNKO</t>
  </si>
  <si>
    <t>PERSONAGUEM</t>
  </si>
  <si>
    <t>COLEÇÃO</t>
  </si>
  <si>
    <t>EXCLUSIVO</t>
  </si>
  <si>
    <t>FRANQUIA</t>
  </si>
  <si>
    <t>MÊS</t>
  </si>
  <si>
    <t>FABRICANTE</t>
  </si>
  <si>
    <t>VOLUME</t>
  </si>
  <si>
    <t>MES</t>
  </si>
  <si>
    <t>GROOT GOLD</t>
  </si>
  <si>
    <t>SIM</t>
  </si>
  <si>
    <t>CAPITÃO AMERICA</t>
  </si>
  <si>
    <t>DESCONHECIDA</t>
  </si>
  <si>
    <t>V1</t>
  </si>
  <si>
    <t>ARMORED BATMAN (UNMASKED)</t>
  </si>
  <si>
    <t>DC</t>
  </si>
  <si>
    <t>HOMEM DE FERRO</t>
  </si>
  <si>
    <t>CABLE</t>
  </si>
  <si>
    <t>NÃO</t>
  </si>
  <si>
    <t>MINIATURA SUPERMEM</t>
  </si>
  <si>
    <t>V2</t>
  </si>
  <si>
    <t>JON SNOW</t>
  </si>
  <si>
    <t>TELEVISION</t>
  </si>
  <si>
    <t>MINIATURA MULHER MARAVILHA</t>
  </si>
  <si>
    <t>V3</t>
  </si>
  <si>
    <t>DROGON</t>
  </si>
  <si>
    <t>MINIATURA CORINGA</t>
  </si>
  <si>
    <t>V4</t>
  </si>
  <si>
    <t>NIGNT KING</t>
  </si>
  <si>
    <t>MINIATURA FLASH</t>
  </si>
  <si>
    <t>V5</t>
  </si>
  <si>
    <t>DAENERYS TARGARYEN</t>
  </si>
  <si>
    <t>MINIATURA BATMAN</t>
  </si>
  <si>
    <t>V6</t>
  </si>
  <si>
    <t>MOVIES</t>
  </si>
  <si>
    <t>V7</t>
  </si>
  <si>
    <t>NEBULA</t>
  </si>
  <si>
    <t>MINIATURA  WOODY</t>
  </si>
  <si>
    <t>PIX</t>
  </si>
  <si>
    <t>V8</t>
  </si>
  <si>
    <t>THE PROFESSOR</t>
  </si>
  <si>
    <t>MINIATURA BUZZ</t>
  </si>
  <si>
    <t>V9</t>
  </si>
  <si>
    <t>DENVER</t>
  </si>
  <si>
    <t>MINIATURA  REX</t>
  </si>
  <si>
    <t>V10</t>
  </si>
  <si>
    <t>CORRUPTER VENUM</t>
  </si>
  <si>
    <t>MINIATURA FORK</t>
  </si>
  <si>
    <t>V11</t>
  </si>
  <si>
    <t>DEADPOOL / VENOM</t>
  </si>
  <si>
    <t>MINIATURA MINION BOB</t>
  </si>
  <si>
    <t>V12</t>
  </si>
  <si>
    <t>HOWARD WOLOWITZ AS BATMAN</t>
  </si>
  <si>
    <t>MINIATURA MINION KEVIN</t>
  </si>
  <si>
    <t>V13</t>
  </si>
  <si>
    <t>INFARMOUS IRON MEN</t>
  </si>
  <si>
    <t>MINIATURA KID GRU</t>
  </si>
  <si>
    <t>V14</t>
  </si>
  <si>
    <t>CARNAGE (CARLA UNGER)</t>
  </si>
  <si>
    <t>MINIATURA MINION DAVE</t>
  </si>
  <si>
    <t>V15</t>
  </si>
  <si>
    <t>WILE E. COYOTE AS CYBORG</t>
  </si>
  <si>
    <t>ANIMATION</t>
  </si>
  <si>
    <t>MINIATURA MINION STUART</t>
  </si>
  <si>
    <t>V16</t>
  </si>
  <si>
    <t>SABRETOOTH</t>
  </si>
  <si>
    <t>MINIATURA HOMER</t>
  </si>
  <si>
    <t>V17</t>
  </si>
  <si>
    <t>WAR MACHINE</t>
  </si>
  <si>
    <t>MINIATURA BART</t>
  </si>
  <si>
    <t>V18</t>
  </si>
  <si>
    <t>ANT-MAN</t>
  </si>
  <si>
    <t>MINIATURA VELMA</t>
  </si>
  <si>
    <t>V19</t>
  </si>
  <si>
    <t>GOKU (WORLD TOURNAMENT)</t>
  </si>
  <si>
    <t>MINIATURA LISA</t>
  </si>
  <si>
    <t>V20</t>
  </si>
  <si>
    <t>MINIATURA MEGUE</t>
  </si>
  <si>
    <t>V21</t>
  </si>
  <si>
    <t>DRAGON SHIRYU</t>
  </si>
  <si>
    <t>PANTERA NEGRA</t>
  </si>
  <si>
    <t>V22</t>
  </si>
  <si>
    <t>CYGNUS HYOGA</t>
  </si>
  <si>
    <t>MINIATURA HE-MAN</t>
  </si>
  <si>
    <t>V23</t>
  </si>
  <si>
    <t>COLOSSUS</t>
  </si>
  <si>
    <t>MINIATURA ESQUELETO</t>
  </si>
  <si>
    <t>V0</t>
  </si>
  <si>
    <t>ANDROMEDA SHUN</t>
  </si>
  <si>
    <t>MINIATURA GORPO</t>
  </si>
  <si>
    <t>EL CHAPULIN COLORADO</t>
  </si>
  <si>
    <t>MINIATURA</t>
  </si>
  <si>
    <t>EL CHAVO</t>
  </si>
  <si>
    <t>PHOENIX IKKI</t>
  </si>
  <si>
    <t>MINIATURA SUNNY</t>
  </si>
  <si>
    <t>GANDALF</t>
  </si>
  <si>
    <t>MONKEY. D. LUFFY</t>
  </si>
  <si>
    <t>BAMPRESTO</t>
  </si>
  <si>
    <t>FRODO BAGGINS</t>
  </si>
  <si>
    <t>RORONOA ZORO</t>
  </si>
  <si>
    <t>JULHO DE 2022</t>
  </si>
  <si>
    <t>TINKER BELL</t>
  </si>
  <si>
    <t>FRANKY</t>
  </si>
  <si>
    <t>SORCERES MICKEY</t>
  </si>
  <si>
    <t>MINIATURA MERRY</t>
  </si>
  <si>
    <t>BLEACH</t>
  </si>
  <si>
    <t>MR BEAN PAJAMAS</t>
  </si>
  <si>
    <t>TONY TONY CHOPPER</t>
  </si>
  <si>
    <t>V24</t>
  </si>
  <si>
    <t>AGOSTO DE 2022</t>
  </si>
  <si>
    <t>SUPER SAIYAN GOKU</t>
  </si>
  <si>
    <t>MINIATURA SHANKS</t>
  </si>
  <si>
    <t>MEGAHOUSE</t>
  </si>
  <si>
    <t>DARKSEID</t>
  </si>
  <si>
    <t>ANIME HERDES</t>
  </si>
  <si>
    <t>LOFFY GEAR FOUR</t>
  </si>
  <si>
    <t>EUSTASS KID</t>
  </si>
  <si>
    <t>LOFFYTARO</t>
  </si>
  <si>
    <t>TRAFALGAR.D.LAN</t>
  </si>
  <si>
    <t>AGOSTO DE2022</t>
  </si>
  <si>
    <t>PEGASUS SEIYA</t>
  </si>
  <si>
    <t>STAN LEE</t>
  </si>
  <si>
    <t>SAM WINCHESTER</t>
  </si>
  <si>
    <t>DEN WINCHESTER</t>
  </si>
  <si>
    <t>Criado por</t>
  </si>
  <si>
    <t>Vitor Fernandes</t>
  </si>
  <si>
    <t xml:space="preserve">Criado por              </t>
  </si>
  <si>
    <t xml:space="preserve">Criado por  </t>
  </si>
  <si>
    <t xml:space="preserve">                                        Criado por  </t>
  </si>
  <si>
    <t xml:space="preserve">                                             Vitor Fernandes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</si>
</sst>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-[$R$-416]\ * #,##0.00_-;\-[$R$-416]\ * #,##0.00_-;_-[$R$-416]\ * &quot;-&quot;??_-;_-@"/>
    <numFmt numFmtId="165" formatCode="_-&quot;R$&quot;* #,##0.00_-;\-&quot;R$&quot;* #,##0.00_-;_-&quot;R$&quot;* &quot;-&quot;??_-;_-@"/>
  </numFmts>
  <fonts count="8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sz val="11"/>
      <name val="Calibri"/>
    </font>
    <font>
      <b/>
      <sz val="20"/>
      <color rgb="FF00B0F0"/>
      <name val="Calibri"/>
    </font>
    <font>
      <b/>
      <sz val="25"/>
      <color rgb="FF00B0F0"/>
      <name val="Calibri"/>
    </font>
    <font>
      <sz val="11"/>
      <color theme="1"/>
      <name val="Calibri"/>
      <family val="2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BFBFBF"/>
        <bgColor rgb="FFBFBFBF"/>
      </patternFill>
    </fill>
    <fill>
      <patternFill patternType="solid">
        <fgColor rgb="FF002060"/>
        <bgColor rgb="FF002060"/>
      </patternFill>
    </fill>
  </fills>
  <borders count="39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82">
    <xf numFmtId="0" fontId="0" fillId="0" borderId="0" xfId="0" applyFont="1" applyAlignment="1"/>
    <xf numFmtId="0" fontId="2" fillId="0" borderId="15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4" fontId="2" fillId="0" borderId="29" xfId="0" applyNumberFormat="1" applyFont="1" applyBorder="1" applyAlignment="1">
      <alignment horizontal="center" vertical="center"/>
    </xf>
    <xf numFmtId="165" fontId="2" fillId="0" borderId="29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165" fontId="2" fillId="0" borderId="8" xfId="0" applyNumberFormat="1" applyFont="1" applyBorder="1" applyAlignment="1">
      <alignment horizontal="center"/>
    </xf>
    <xf numFmtId="165" fontId="2" fillId="0" borderId="29" xfId="0" applyNumberFormat="1" applyFont="1" applyBorder="1" applyAlignment="1">
      <alignment horizontal="center"/>
    </xf>
    <xf numFmtId="165" fontId="2" fillId="0" borderId="6" xfId="0" applyNumberFormat="1" applyFont="1" applyBorder="1" applyAlignment="1">
      <alignment horizontal="center"/>
    </xf>
    <xf numFmtId="0" fontId="2" fillId="0" borderId="36" xfId="0" applyFont="1" applyBorder="1" applyAlignment="1">
      <alignment horizontal="center" vertical="center"/>
    </xf>
    <xf numFmtId="165" fontId="2" fillId="0" borderId="36" xfId="0" applyNumberFormat="1" applyFont="1" applyBorder="1" applyAlignment="1">
      <alignment horizontal="center" vertical="center"/>
    </xf>
    <xf numFmtId="1" fontId="2" fillId="0" borderId="36" xfId="0" applyNumberFormat="1" applyFont="1" applyBorder="1" applyAlignment="1">
      <alignment horizontal="center" vertical="center"/>
    </xf>
    <xf numFmtId="0" fontId="2" fillId="0" borderId="36" xfId="0" applyFont="1" applyBorder="1" applyAlignment="1">
      <alignment horizontal="center"/>
    </xf>
    <xf numFmtId="165" fontId="2" fillId="0" borderId="36" xfId="0" applyNumberFormat="1" applyFont="1" applyBorder="1" applyAlignment="1">
      <alignment horizontal="center"/>
    </xf>
    <xf numFmtId="0" fontId="2" fillId="0" borderId="37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165" fontId="2" fillId="0" borderId="36" xfId="0" applyNumberFormat="1" applyFont="1" applyBorder="1" applyAlignment="1">
      <alignment horizontal="center" vertical="center"/>
    </xf>
    <xf numFmtId="165" fontId="2" fillId="0" borderId="38" xfId="0" applyNumberFormat="1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165" fontId="2" fillId="0" borderId="36" xfId="0" applyNumberFormat="1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165" fontId="2" fillId="0" borderId="29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0" fontId="1" fillId="0" borderId="0" xfId="0" applyFont="1" applyAlignment="1"/>
    <xf numFmtId="14" fontId="0" fillId="0" borderId="0" xfId="0" applyNumberFormat="1" applyFont="1" applyAlignment="1"/>
    <xf numFmtId="0" fontId="7" fillId="0" borderId="35" xfId="0" applyFont="1" applyBorder="1" applyAlignment="1"/>
    <xf numFmtId="14" fontId="7" fillId="0" borderId="35" xfId="0" applyNumberFormat="1" applyFont="1" applyBorder="1" applyAlignment="1"/>
    <xf numFmtId="0" fontId="0" fillId="0" borderId="0" xfId="0" applyFont="1" applyAlignment="1" applyProtection="1">
      <protection locked="0"/>
    </xf>
    <xf numFmtId="0" fontId="2" fillId="2" borderId="1" xfId="0" applyFont="1" applyFill="1" applyBorder="1" applyProtection="1"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3" fillId="0" borderId="3" xfId="0" applyFont="1" applyBorder="1" applyProtection="1">
      <protection locked="0"/>
    </xf>
    <xf numFmtId="0" fontId="3" fillId="0" borderId="4" xfId="0" applyFont="1" applyBorder="1" applyProtection="1"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3" fillId="0" borderId="7" xfId="0" applyFont="1" applyBorder="1" applyProtection="1">
      <protection locked="0"/>
    </xf>
    <xf numFmtId="0" fontId="3" fillId="0" borderId="8" xfId="0" applyFont="1" applyBorder="1" applyProtection="1">
      <protection locked="0"/>
    </xf>
    <xf numFmtId="0" fontId="1" fillId="0" borderId="0" xfId="0" applyFont="1" applyAlignment="1" applyProtection="1">
      <alignment horizontal="right"/>
      <protection locked="0"/>
    </xf>
    <xf numFmtId="0" fontId="3" fillId="0" borderId="9" xfId="0" applyFont="1" applyBorder="1" applyProtection="1">
      <protection locked="0"/>
    </xf>
    <xf numFmtId="0" fontId="3" fillId="0" borderId="10" xfId="0" applyFont="1" applyBorder="1" applyProtection="1">
      <protection locked="0"/>
    </xf>
    <xf numFmtId="0" fontId="0" fillId="0" borderId="0" xfId="0" applyFont="1" applyAlignment="1" applyProtection="1">
      <protection locked="0"/>
    </xf>
    <xf numFmtId="0" fontId="3" fillId="0" borderId="11" xfId="0" applyFont="1" applyBorder="1" applyProtection="1">
      <protection locked="0"/>
    </xf>
    <xf numFmtId="14" fontId="0" fillId="0" borderId="0" xfId="0" applyNumberFormat="1" applyFont="1" applyAlignment="1" applyProtection="1">
      <alignment horizontal="right"/>
      <protection locked="0"/>
    </xf>
    <xf numFmtId="0" fontId="3" fillId="0" borderId="12" xfId="0" applyFont="1" applyBorder="1" applyProtection="1">
      <protection locked="0"/>
    </xf>
    <xf numFmtId="0" fontId="3" fillId="0" borderId="13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" fillId="0" borderId="15" xfId="0" applyFont="1" applyBorder="1" applyProtection="1">
      <protection locked="0"/>
    </xf>
    <xf numFmtId="0" fontId="2" fillId="3" borderId="16" xfId="0" applyFont="1" applyFill="1" applyBorder="1" applyAlignment="1" applyProtection="1">
      <alignment horizontal="center"/>
      <protection locked="0"/>
    </xf>
    <xf numFmtId="0" fontId="3" fillId="0" borderId="17" xfId="0" applyFont="1" applyBorder="1" applyProtection="1">
      <protection locked="0"/>
    </xf>
    <xf numFmtId="0" fontId="3" fillId="0" borderId="18" xfId="0" applyFont="1" applyBorder="1" applyProtection="1">
      <protection locked="0"/>
    </xf>
    <xf numFmtId="0" fontId="2" fillId="3" borderId="19" xfId="0" applyFont="1" applyFill="1" applyBorder="1" applyAlignment="1" applyProtection="1">
      <alignment horizontal="center"/>
      <protection locked="0"/>
    </xf>
    <xf numFmtId="0" fontId="3" fillId="0" borderId="20" xfId="0" applyFont="1" applyBorder="1" applyProtection="1">
      <protection locked="0"/>
    </xf>
    <xf numFmtId="0" fontId="3" fillId="0" borderId="21" xfId="0" applyFont="1" applyBorder="1" applyProtection="1">
      <protection locked="0"/>
    </xf>
    <xf numFmtId="0" fontId="6" fillId="0" borderId="6" xfId="0" applyFont="1" applyBorder="1" applyAlignment="1" applyProtection="1">
      <alignment horizontal="center" vertical="center"/>
      <protection locked="0"/>
    </xf>
    <xf numFmtId="0" fontId="6" fillId="3" borderId="16" xfId="0" applyFont="1" applyFill="1" applyBorder="1" applyAlignment="1" applyProtection="1">
      <alignment horizontal="center"/>
      <protection locked="0"/>
    </xf>
    <xf numFmtId="0" fontId="2" fillId="3" borderId="22" xfId="0" applyFont="1" applyFill="1" applyBorder="1" applyAlignment="1" applyProtection="1">
      <alignment horizontal="center"/>
      <protection locked="0"/>
    </xf>
    <xf numFmtId="0" fontId="3" fillId="0" borderId="23" xfId="0" applyFont="1" applyBorder="1" applyProtection="1">
      <protection locked="0"/>
    </xf>
    <xf numFmtId="0" fontId="3" fillId="0" borderId="24" xfId="0" applyFont="1" applyBorder="1" applyProtection="1">
      <protection locked="0"/>
    </xf>
    <xf numFmtId="0" fontId="2" fillId="3" borderId="25" xfId="0" applyFont="1" applyFill="1" applyBorder="1" applyAlignment="1" applyProtection="1">
      <alignment horizontal="center"/>
      <protection locked="0"/>
    </xf>
    <xf numFmtId="0" fontId="3" fillId="0" borderId="26" xfId="0" applyFont="1" applyBorder="1" applyProtection="1">
      <protection locked="0"/>
    </xf>
    <xf numFmtId="0" fontId="3" fillId="0" borderId="27" xfId="0" applyFont="1" applyBorder="1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4" fillId="4" borderId="30" xfId="0" applyFont="1" applyFill="1" applyBorder="1" applyAlignment="1" applyProtection="1">
      <alignment horizontal="center" vertical="center"/>
      <protection locked="0"/>
    </xf>
    <xf numFmtId="0" fontId="3" fillId="0" borderId="31" xfId="0" applyFont="1" applyBorder="1" applyProtection="1">
      <protection locked="0"/>
    </xf>
    <xf numFmtId="0" fontId="3" fillId="0" borderId="32" xfId="0" applyFont="1" applyBorder="1" applyProtection="1">
      <protection locked="0"/>
    </xf>
    <xf numFmtId="0" fontId="3" fillId="0" borderId="33" xfId="0" applyFont="1" applyBorder="1" applyProtection="1">
      <protection locked="0"/>
    </xf>
    <xf numFmtId="0" fontId="3" fillId="0" borderId="34" xfId="0" applyFont="1" applyBorder="1" applyProtection="1">
      <protection locked="0"/>
    </xf>
    <xf numFmtId="0" fontId="3" fillId="0" borderId="35" xfId="0" applyFont="1" applyBorder="1" applyProtection="1">
      <protection locked="0"/>
    </xf>
    <xf numFmtId="0" fontId="2" fillId="0" borderId="0" xfId="0" applyFont="1" applyProtection="1"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4" fillId="4" borderId="6" xfId="0" applyFont="1" applyFill="1" applyBorder="1" applyAlignment="1" applyProtection="1">
      <alignment horizontal="center" vertical="center"/>
      <protection locked="0"/>
    </xf>
    <xf numFmtId="0" fontId="5" fillId="4" borderId="6" xfId="0" applyFont="1" applyFill="1" applyBorder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0" fontId="2" fillId="0" borderId="36" xfId="0" applyFont="1" applyBorder="1" applyProtection="1">
      <protection locked="0"/>
    </xf>
    <xf numFmtId="0" fontId="2" fillId="0" borderId="36" xfId="0" applyFont="1" applyBorder="1" applyAlignment="1" applyProtection="1">
      <alignment horizontal="left"/>
      <protection locked="0"/>
    </xf>
    <xf numFmtId="164" fontId="2" fillId="0" borderId="36" xfId="0" applyNumberFormat="1" applyFont="1" applyBorder="1" applyProtection="1">
      <protection locked="0"/>
    </xf>
    <xf numFmtId="165" fontId="2" fillId="0" borderId="36" xfId="0" applyNumberFormat="1" applyFont="1" applyBorder="1" applyProtection="1">
      <protection locked="0"/>
    </xf>
    <xf numFmtId="0" fontId="1" fillId="0" borderId="0" xfId="0" applyFont="1" applyAlignment="1" applyProtection="1">
      <protection locked="0"/>
    </xf>
  </cellXfs>
  <cellStyles count="1">
    <cellStyle name="Normal" xfId="0" builtinId="0"/>
  </cellStyles>
  <dxfs count="33"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</dxfs>
  <tableStyles count="11">
    <tableStyle name="TOTAL.GERAL-style" pivot="0" count="3" xr9:uid="{00000000-0011-0000-FFFF-FFFF00000000}">
      <tableStyleElement type="headerRow" dxfId="32"/>
      <tableStyleElement type="firstRowStripe" dxfId="31"/>
      <tableStyleElement type="secondRowStripe" dxfId="30"/>
    </tableStyle>
    <tableStyle name="TOTAL.GERAL-style 2" pivot="0" count="3" xr9:uid="{00000000-0011-0000-FFFF-FFFF01000000}">
      <tableStyleElement type="headerRow" dxfId="29"/>
      <tableStyleElement type="firstRowStripe" dxfId="28"/>
      <tableStyleElement type="secondRowStripe" dxfId="27"/>
    </tableStyle>
    <tableStyle name="TOTAL.GERAL-style 3" pivot="0" count="3" xr9:uid="{00000000-0011-0000-FFFF-FFFF02000000}">
      <tableStyleElement type="headerRow" dxfId="26"/>
      <tableStyleElement type="firstRowStripe" dxfId="25"/>
      <tableStyleElement type="secondRowStripe" dxfId="24"/>
    </tableStyle>
    <tableStyle name="TOTAL.GERAL-style 4" pivot="0" count="3" xr9:uid="{00000000-0011-0000-FFFF-FFFF03000000}">
      <tableStyleElement type="headerRow" dxfId="23"/>
      <tableStyleElement type="firstRowStripe" dxfId="22"/>
      <tableStyleElement type="secondRowStripe" dxfId="21"/>
    </tableStyle>
    <tableStyle name="TOTAL.GERAL-style 5" pivot="0" count="3" xr9:uid="{00000000-0011-0000-FFFF-FFFF04000000}">
      <tableStyleElement type="headerRow" dxfId="20"/>
      <tableStyleElement type="firstRowStripe" dxfId="19"/>
      <tableStyleElement type="secondRowStripe" dxfId="18"/>
    </tableStyle>
    <tableStyle name="TOTAL.GERAL-style 6" pivot="0" count="3" xr9:uid="{00000000-0011-0000-FFFF-FFFF05000000}">
      <tableStyleElement type="headerRow" dxfId="17"/>
      <tableStyleElement type="firstRowStripe" dxfId="16"/>
      <tableStyleElement type="secondRowStripe" dxfId="15"/>
    </tableStyle>
    <tableStyle name="TOTAL.GERAL-style 7" pivot="0" count="3" xr9:uid="{00000000-0011-0000-FFFF-FFFF06000000}">
      <tableStyleElement type="headerRow" dxfId="14"/>
      <tableStyleElement type="firstRowStripe" dxfId="13"/>
      <tableStyleElement type="secondRowStripe" dxfId="12"/>
    </tableStyle>
    <tableStyle name="TOTAL.GERAL-style 8" pivot="0" count="3" xr9:uid="{00000000-0011-0000-FFFF-FFFF07000000}">
      <tableStyleElement type="headerRow" dxfId="11"/>
      <tableStyleElement type="firstRowStripe" dxfId="10"/>
      <tableStyleElement type="secondRowStripe" dxfId="9"/>
    </tableStyle>
    <tableStyle name="DADOS.GERAL-style" pivot="0" count="3" xr9:uid="{00000000-0011-0000-FFFF-FFFF08000000}">
      <tableStyleElement type="headerRow" dxfId="8"/>
      <tableStyleElement type="firstRowStripe" dxfId="7"/>
      <tableStyleElement type="secondRowStripe" dxfId="6"/>
    </tableStyle>
    <tableStyle name="DADOS.GERAL-style 2" pivot="0" count="3" xr9:uid="{00000000-0011-0000-FFFF-FFFF09000000}">
      <tableStyleElement type="headerRow" dxfId="5"/>
      <tableStyleElement type="firstRowStripe" dxfId="4"/>
      <tableStyleElement type="secondRowStripe" dxfId="3"/>
    </tableStyle>
    <tableStyle name="DADOS.GERAL-style 3" pivot="0" count="3" xr9:uid="{00000000-0011-0000-FFFF-FFFF0A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600" b="1" i="0">
                <a:solidFill>
                  <a:schemeClr val="lt1"/>
                </a:solidFill>
                <a:latin typeface="+mn-lt"/>
              </a:defRPr>
            </a:pPr>
            <a:r>
              <a:rPr lang="pt-BR" sz="1600" b="1" i="0">
                <a:solidFill>
                  <a:schemeClr val="lt1"/>
                </a:solidFill>
                <a:latin typeface="+mn-lt"/>
              </a:rPr>
              <a:t>POPs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TOTAL.GERAL!$D$3:$F$3</c:f>
              <c:strCache>
                <c:ptCount val="3"/>
                <c:pt idx="0">
                  <c:v>VALOR COMPRA</c:v>
                </c:pt>
                <c:pt idx="1">
                  <c:v>VALOR VENDA</c:v>
                </c:pt>
                <c:pt idx="2">
                  <c:v>MEDIA P/N</c:v>
                </c:pt>
              </c:strCache>
            </c:strRef>
          </c:cat>
          <c:val>
            <c:numRef>
              <c:f>TOTAL.GERAL!$D$4:$F$4</c:f>
              <c:numCache>
                <c:formatCode>_-[$R$-416]\ * #,##0.00_-;\-[$R$-416]\ * #,##0.00_-;_-[$R$-416]\ * "-"??_-;_-@</c:formatCode>
                <c:ptCount val="3"/>
                <c:pt idx="0">
                  <c:v>4101.5200000000004</c:v>
                </c:pt>
                <c:pt idx="1">
                  <c:v>6551.2599999999993</c:v>
                </c:pt>
                <c:pt idx="2">
                  <c:v>2449.7400000000007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DCB-4AD1-BD50-439194E4D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6013911"/>
        <c:axId val="244175881"/>
      </c:barChart>
      <c:catAx>
        <c:axId val="12560139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244175881"/>
        <c:crosses val="autoZero"/>
        <c:auto val="1"/>
        <c:lblAlgn val="ctr"/>
        <c:lblOffset val="100"/>
        <c:noMultiLvlLbl val="1"/>
      </c:catAx>
      <c:valAx>
        <c:axId val="24417588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_-[$R$-416]\ * #,##0.00_-;\-[$R$-416]\ * #,##0.00_-;_-[$R$-416]\ * &quot;-&quot;??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256013911"/>
        <c:crosses val="autoZero"/>
        <c:crossBetween val="between"/>
      </c:valAx>
    </c:plotArea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600" b="1" i="0">
                <a:solidFill>
                  <a:schemeClr val="lt1"/>
                </a:solidFill>
                <a:latin typeface="+mn-lt"/>
              </a:defRPr>
            </a:pPr>
            <a:r>
              <a:rPr lang="pt-BR" sz="1600" b="1" i="0">
                <a:solidFill>
                  <a:schemeClr val="lt1"/>
                </a:solidFill>
                <a:latin typeface="+mn-lt"/>
              </a:rPr>
              <a:t>ESTATUAs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TOTAL.GERAL!$J$3:$L$3</c:f>
              <c:strCache>
                <c:ptCount val="3"/>
                <c:pt idx="0">
                  <c:v>VALOR COMPRA</c:v>
                </c:pt>
                <c:pt idx="1">
                  <c:v>VALOR VENDA</c:v>
                </c:pt>
                <c:pt idx="2">
                  <c:v>MEDIA P/N</c:v>
                </c:pt>
              </c:strCache>
            </c:strRef>
          </c:cat>
          <c:val>
            <c:numRef>
              <c:f>TOTAL.GERAL!$J$4:$L$4</c:f>
              <c:numCache>
                <c:formatCode>_-"R$"* #,##0.00_-;\-"R$"* #,##0.00_-;_-"R$"* "-"??_-;_-@</c:formatCode>
                <c:ptCount val="3"/>
                <c:pt idx="0">
                  <c:v>1774.9</c:v>
                </c:pt>
                <c:pt idx="1">
                  <c:v>2123.7000000000003</c:v>
                </c:pt>
                <c:pt idx="2">
                  <c:v>348.79999999999995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5C1-4E2A-9B6C-F33E538A80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779001"/>
        <c:axId val="272675708"/>
      </c:barChart>
      <c:catAx>
        <c:axId val="897790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272675708"/>
        <c:crosses val="autoZero"/>
        <c:auto val="1"/>
        <c:lblAlgn val="ctr"/>
        <c:lblOffset val="100"/>
        <c:noMultiLvlLbl val="1"/>
      </c:catAx>
      <c:valAx>
        <c:axId val="27267570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_-&quot;R$&quot;* #,##0.00_-;\-&quot;R$&quot;* #,##0.00_-;_-&quot;R$&quot;* &quot;-&quot;??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89779001"/>
        <c:crosses val="autoZero"/>
        <c:crossBetween val="between"/>
      </c:valAx>
    </c:plotArea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600" b="1" i="0">
                <a:solidFill>
                  <a:schemeClr val="lt1"/>
                </a:solidFill>
                <a:latin typeface="+mn-lt"/>
              </a:defRPr>
            </a:pPr>
            <a:r>
              <a:rPr lang="pt-BR" sz="1600" b="1" i="0">
                <a:solidFill>
                  <a:schemeClr val="lt1"/>
                </a:solidFill>
                <a:latin typeface="+mn-lt"/>
              </a:rPr>
              <a:t>MANGÁs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TOTAL.GERAL!$P$3:$R$3</c:f>
              <c:strCache>
                <c:ptCount val="3"/>
                <c:pt idx="0">
                  <c:v>VALOR COMPRA</c:v>
                </c:pt>
                <c:pt idx="1">
                  <c:v>VALOR VENDA</c:v>
                </c:pt>
                <c:pt idx="2">
                  <c:v>MEDIA P/N</c:v>
                </c:pt>
              </c:strCache>
            </c:strRef>
          </c:cat>
          <c:val>
            <c:numRef>
              <c:f>TOTAL.GERAL!$P$4:$R$4</c:f>
              <c:numCache>
                <c:formatCode>_-"R$"* #,##0.00_-;\-"R$"* #,##0.00_-;_-"R$"* "-"??_-;_-@</c:formatCode>
                <c:ptCount val="3"/>
                <c:pt idx="0">
                  <c:v>739.09</c:v>
                </c:pt>
                <c:pt idx="1">
                  <c:v>955.71999999999957</c:v>
                </c:pt>
                <c:pt idx="2">
                  <c:v>216.62999999999991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B46-4D95-997C-3C112FBA3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3396896"/>
        <c:axId val="1801778839"/>
      </c:barChart>
      <c:catAx>
        <c:axId val="543396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801778839"/>
        <c:crosses val="autoZero"/>
        <c:auto val="1"/>
        <c:lblAlgn val="ctr"/>
        <c:lblOffset val="100"/>
        <c:noMultiLvlLbl val="1"/>
      </c:catAx>
      <c:valAx>
        <c:axId val="180177883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_-&quot;R$&quot;* #,##0.00_-;\-&quot;R$&quot;* #,##0.00_-;_-&quot;R$&quot;* &quot;-&quot;??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543396896"/>
        <c:crosses val="autoZero"/>
        <c:crossBetween val="between"/>
      </c:valAx>
    </c:plotArea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600" b="1" i="0">
                <a:solidFill>
                  <a:schemeClr val="dk1"/>
                </a:solidFill>
                <a:latin typeface="+mn-lt"/>
              </a:defRPr>
            </a:pPr>
            <a:r>
              <a:rPr lang="pt-BR" sz="1600" b="1" i="0">
                <a:solidFill>
                  <a:schemeClr val="dk1"/>
                </a:solidFill>
                <a:latin typeface="+mn-lt"/>
              </a:rPr>
              <a:t>TOTAL POR ANO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TOTAL.GERAL!$T$9:$T$10</c:f>
              <c:numCache>
                <c:formatCode>General</c:formatCode>
                <c:ptCount val="2"/>
                <c:pt idx="0">
                  <c:v>2021</c:v>
                </c:pt>
                <c:pt idx="1">
                  <c:v>2022</c:v>
                </c:pt>
              </c:numCache>
            </c:numRef>
          </c:cat>
          <c:val>
            <c:numRef>
              <c:f>TOTAL.GERAL!$U$9:$U$10</c:f>
              <c:numCache>
                <c:formatCode>0</c:formatCode>
                <c:ptCount val="2"/>
                <c:pt idx="0" formatCode="General">
                  <c:v>66</c:v>
                </c:pt>
                <c:pt idx="1">
                  <c:v>43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DA7-4EA0-8CC4-7ABC4DF2F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0313184"/>
        <c:axId val="742394456"/>
      </c:barChart>
      <c:catAx>
        <c:axId val="240313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pt-BR"/>
          </a:p>
        </c:txPr>
        <c:crossAx val="742394456"/>
        <c:crosses val="autoZero"/>
        <c:auto val="1"/>
        <c:lblAlgn val="ctr"/>
        <c:lblOffset val="100"/>
        <c:noMultiLvlLbl val="1"/>
      </c:catAx>
      <c:valAx>
        <c:axId val="74239445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pt-BR"/>
          </a:p>
        </c:txPr>
        <c:crossAx val="240313184"/>
        <c:crosses val="autoZero"/>
        <c:crossBetween val="between"/>
      </c:valAx>
    </c:plotArea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600" b="1" i="0">
                <a:solidFill>
                  <a:schemeClr val="lt1"/>
                </a:solidFill>
                <a:latin typeface="+mn-lt"/>
              </a:defRPr>
            </a:pPr>
            <a:r>
              <a:rPr lang="pt-BR" sz="1600" b="1" i="0">
                <a:solidFill>
                  <a:schemeClr val="lt1"/>
                </a:solidFill>
                <a:latin typeface="+mn-lt"/>
              </a:rPr>
              <a:t>TOTAL COMPRA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TOTAL.GERAL!$AD$3:$AF$3</c:f>
              <c:strCache>
                <c:ptCount val="3"/>
                <c:pt idx="0">
                  <c:v>TOTAL POPs</c:v>
                </c:pt>
                <c:pt idx="1">
                  <c:v>TOTAL ESTATUAs</c:v>
                </c:pt>
                <c:pt idx="2">
                  <c:v>TOTAL MANGÁs</c:v>
                </c:pt>
              </c:strCache>
            </c:strRef>
          </c:cat>
          <c:val>
            <c:numRef>
              <c:f>TOTAL.GERAL!$AD$4:$AF$4</c:f>
              <c:numCache>
                <c:formatCode>_-"R$"* #,##0.00_-;\-"R$"* #,##0.00_-;_-"R$"* "-"??_-;_-@</c:formatCode>
                <c:ptCount val="3"/>
                <c:pt idx="0">
                  <c:v>4101.5200000000004</c:v>
                </c:pt>
                <c:pt idx="1">
                  <c:v>1774.9</c:v>
                </c:pt>
                <c:pt idx="2">
                  <c:v>739.09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D525-408E-8FD8-9B9F171D0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1779717"/>
        <c:axId val="1401368406"/>
      </c:barChart>
      <c:catAx>
        <c:axId val="15617797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401368406"/>
        <c:crosses val="autoZero"/>
        <c:auto val="1"/>
        <c:lblAlgn val="ctr"/>
        <c:lblOffset val="100"/>
        <c:noMultiLvlLbl val="1"/>
      </c:catAx>
      <c:valAx>
        <c:axId val="140136840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_-&quot;R$&quot;* #,##0.00_-;\-&quot;R$&quot;* #,##0.00_-;_-&quot;R$&quot;* &quot;-&quot;??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561779717"/>
        <c:crosses val="autoZero"/>
        <c:crossBetween val="between"/>
      </c:valAx>
    </c:plotArea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600" b="1" i="0">
                <a:solidFill>
                  <a:schemeClr val="lt1"/>
                </a:solidFill>
                <a:latin typeface="+mn-lt"/>
              </a:defRPr>
            </a:pPr>
            <a:r>
              <a:rPr lang="pt-BR" sz="1600" b="1" i="0">
                <a:solidFill>
                  <a:schemeClr val="lt1"/>
                </a:solidFill>
                <a:latin typeface="+mn-lt"/>
              </a:rPr>
              <a:t>TOTAL VENDA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TOTAL.GERAL!$Z$8:$AB$8</c:f>
              <c:strCache>
                <c:ptCount val="3"/>
                <c:pt idx="0">
                  <c:v>TOTAL POPs</c:v>
                </c:pt>
                <c:pt idx="1">
                  <c:v>TOTAL ESTATUAs</c:v>
                </c:pt>
                <c:pt idx="2">
                  <c:v>TOTAL MANGÁs</c:v>
                </c:pt>
              </c:strCache>
            </c:strRef>
          </c:cat>
          <c:val>
            <c:numRef>
              <c:f>TOTAL.GERAL!$Z$9:$AB$9</c:f>
              <c:numCache>
                <c:formatCode>_-"R$"* #,##0.00_-;\-"R$"* #,##0.00_-;_-"R$"* "-"??_-;_-@</c:formatCode>
                <c:ptCount val="3"/>
                <c:pt idx="0">
                  <c:v>6551.2599999999993</c:v>
                </c:pt>
                <c:pt idx="1">
                  <c:v>2123.7000000000003</c:v>
                </c:pt>
                <c:pt idx="2">
                  <c:v>955.71999999999957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38DF-4CD2-8963-66664D38D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8999987"/>
        <c:axId val="891044196"/>
      </c:barChart>
      <c:catAx>
        <c:axId val="17889999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891044196"/>
        <c:crosses val="autoZero"/>
        <c:auto val="1"/>
        <c:lblAlgn val="ctr"/>
        <c:lblOffset val="100"/>
        <c:noMultiLvlLbl val="1"/>
      </c:catAx>
      <c:valAx>
        <c:axId val="89104419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_-&quot;R$&quot;* #,##0.00_-;\-&quot;R$&quot;* #,##0.00_-;_-&quot;R$&quot;* &quot;-&quot;??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788999987"/>
        <c:crosses val="autoZero"/>
        <c:crossBetween val="between"/>
      </c:valAx>
    </c:plotArea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600" b="1" i="0">
                <a:solidFill>
                  <a:schemeClr val="lt1"/>
                </a:solidFill>
                <a:latin typeface="+mn-lt"/>
              </a:defRPr>
            </a:pPr>
            <a:r>
              <a:rPr lang="pt-BR" sz="1600" b="1" i="0">
                <a:solidFill>
                  <a:schemeClr val="lt1"/>
                </a:solidFill>
                <a:latin typeface="+mn-lt"/>
              </a:rPr>
              <a:t>TOTAL DE VALOR P/N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TOTAL.GERAL!$AD$8:$AF$8</c:f>
              <c:strCache>
                <c:ptCount val="3"/>
                <c:pt idx="0">
                  <c:v>TOTAL POPs</c:v>
                </c:pt>
                <c:pt idx="1">
                  <c:v>TOTAL ESTATUAs</c:v>
                </c:pt>
                <c:pt idx="2">
                  <c:v>TOTAL MANGÁs</c:v>
                </c:pt>
              </c:strCache>
            </c:strRef>
          </c:cat>
          <c:val>
            <c:numRef>
              <c:f>TOTAL.GERAL!$AD$9:$AF$9</c:f>
              <c:numCache>
                <c:formatCode>_-"R$"* #,##0.00_-;\-"R$"* #,##0.00_-;_-"R$"* "-"??_-;_-@</c:formatCode>
                <c:ptCount val="3"/>
                <c:pt idx="0">
                  <c:v>2449.7400000000007</c:v>
                </c:pt>
                <c:pt idx="1">
                  <c:v>348.79999999999995</c:v>
                </c:pt>
                <c:pt idx="2">
                  <c:v>216.62999999999991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574-4A14-A8A8-17D888960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8349725"/>
        <c:axId val="1565712287"/>
      </c:barChart>
      <c:catAx>
        <c:axId val="151834972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565712287"/>
        <c:crosses val="autoZero"/>
        <c:auto val="1"/>
        <c:lblAlgn val="ctr"/>
        <c:lblOffset val="100"/>
        <c:noMultiLvlLbl val="1"/>
      </c:catAx>
      <c:valAx>
        <c:axId val="156571228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_-&quot;R$&quot;* #,##0.00_-;\-&quot;R$&quot;* #,##0.00_-;_-&quot;R$&quot;* &quot;-&quot;??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518349725"/>
        <c:crosses val="autoZero"/>
        <c:crossBetween val="between"/>
      </c:valAx>
    </c:plotArea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800" b="1" i="0">
                <a:solidFill>
                  <a:schemeClr val="dk1"/>
                </a:solidFill>
                <a:latin typeface="+mn-lt"/>
              </a:defRPr>
            </a:pPr>
            <a:r>
              <a:rPr lang="pt-BR" sz="1800" b="1" i="0">
                <a:solidFill>
                  <a:schemeClr val="dk1"/>
                </a:solidFill>
                <a:latin typeface="+mn-lt"/>
              </a:rPr>
              <a:t>TOTAL DE PEÇAS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1-2496-4796-982A-FC3E36C1F42D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TOTAL.GERAL!$Z$3:$AB$3</c:f>
              <c:strCache>
                <c:ptCount val="3"/>
                <c:pt idx="0">
                  <c:v>TOTAL POPs</c:v>
                </c:pt>
                <c:pt idx="1">
                  <c:v>TOTAL ESTATUAs</c:v>
                </c:pt>
                <c:pt idx="2">
                  <c:v>TOTAL MANGÁs</c:v>
                </c:pt>
              </c:strCache>
            </c:strRef>
          </c:cat>
          <c:val>
            <c:numRef>
              <c:f>TOTAL.GERAL!$Z$4:$AB$4</c:f>
              <c:numCache>
                <c:formatCode>General</c:formatCode>
                <c:ptCount val="3"/>
                <c:pt idx="0">
                  <c:v>42</c:v>
                </c:pt>
                <c:pt idx="1">
                  <c:v>37</c:v>
                </c:pt>
                <c:pt idx="2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96-4796-982A-FC3E36C1F4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sz="900" b="0" i="0">
              <a:solidFill>
                <a:schemeClr val="dk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lt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400" b="1" i="0">
                <a:solidFill>
                  <a:schemeClr val="lt1"/>
                </a:solidFill>
                <a:latin typeface="+mn-lt"/>
              </a:defRPr>
            </a:pPr>
            <a:r>
              <a:rPr lang="pt-BR" sz="1400" b="1" i="0">
                <a:solidFill>
                  <a:schemeClr val="lt1"/>
                </a:solidFill>
                <a:latin typeface="+mn-lt"/>
              </a:rPr>
              <a:t>VALOR TOTAL EM REAL DE 2021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VALOR COMPRA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TOTAL.GERAL!$T$15:$T$24</c:f>
              <c:strCache>
                <c:ptCount val="10"/>
                <c:pt idx="0">
                  <c:v>MARÇO</c:v>
                </c:pt>
                <c:pt idx="1">
                  <c:v>ABRIL</c:v>
                </c:pt>
                <c:pt idx="2">
                  <c:v>MAIO</c:v>
                </c:pt>
                <c:pt idx="3">
                  <c:v>JUNHO</c:v>
                </c:pt>
                <c:pt idx="4">
                  <c:v>JULHO</c:v>
                </c:pt>
                <c:pt idx="5">
                  <c:v>AGOSTO</c:v>
                </c:pt>
                <c:pt idx="6">
                  <c:v>SETEMBRO</c:v>
                </c:pt>
                <c:pt idx="7">
                  <c:v>OUTUBRO</c:v>
                </c:pt>
                <c:pt idx="8">
                  <c:v>NOVEMBRO</c:v>
                </c:pt>
                <c:pt idx="9">
                  <c:v>DEZEMBRO</c:v>
                </c:pt>
              </c:strCache>
            </c:strRef>
          </c:cat>
          <c:val>
            <c:numRef>
              <c:f>TOTAL.GERAL!$V$15:$V$24</c:f>
              <c:numCache>
                <c:formatCode>_-"R$"* #,##0.00_-;\-"R$"* #,##0.00_-;_-"R$"* "-"??_-;_-@</c:formatCode>
                <c:ptCount val="10"/>
                <c:pt idx="0">
                  <c:v>148.15</c:v>
                </c:pt>
                <c:pt idx="1">
                  <c:v>412.66999999999996</c:v>
                </c:pt>
                <c:pt idx="2">
                  <c:v>389</c:v>
                </c:pt>
                <c:pt idx="3">
                  <c:v>111.5</c:v>
                </c:pt>
                <c:pt idx="4">
                  <c:v>340</c:v>
                </c:pt>
                <c:pt idx="5">
                  <c:v>280</c:v>
                </c:pt>
                <c:pt idx="6">
                  <c:v>358.79999999999995</c:v>
                </c:pt>
                <c:pt idx="7">
                  <c:v>440</c:v>
                </c:pt>
                <c:pt idx="8">
                  <c:v>532.1</c:v>
                </c:pt>
                <c:pt idx="9">
                  <c:v>830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384B-41DC-B8AF-AE918E6DBD41}"/>
            </c:ext>
          </c:extLst>
        </c:ser>
        <c:ser>
          <c:idx val="1"/>
          <c:order val="1"/>
          <c:tx>
            <c:v>VALOR VENDA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TOTAL.GERAL!$T$15:$T$24</c:f>
              <c:strCache>
                <c:ptCount val="10"/>
                <c:pt idx="0">
                  <c:v>MARÇO</c:v>
                </c:pt>
                <c:pt idx="1">
                  <c:v>ABRIL</c:v>
                </c:pt>
                <c:pt idx="2">
                  <c:v>MAIO</c:v>
                </c:pt>
                <c:pt idx="3">
                  <c:v>JUNHO</c:v>
                </c:pt>
                <c:pt idx="4">
                  <c:v>JULHO</c:v>
                </c:pt>
                <c:pt idx="5">
                  <c:v>AGOSTO</c:v>
                </c:pt>
                <c:pt idx="6">
                  <c:v>SETEMBRO</c:v>
                </c:pt>
                <c:pt idx="7">
                  <c:v>OUTUBRO</c:v>
                </c:pt>
                <c:pt idx="8">
                  <c:v>NOVEMBRO</c:v>
                </c:pt>
                <c:pt idx="9">
                  <c:v>DEZEMBRO</c:v>
                </c:pt>
              </c:strCache>
            </c:strRef>
          </c:cat>
          <c:val>
            <c:numRef>
              <c:f>TOTAL.GERAL!$W$15:$W$24</c:f>
              <c:numCache>
                <c:formatCode>_-"R$"* #,##0.00_-;\-"R$"* #,##0.00_-;_-"R$"* "-"??_-;_-@</c:formatCode>
                <c:ptCount val="10"/>
                <c:pt idx="0">
                  <c:v>349.9</c:v>
                </c:pt>
                <c:pt idx="1">
                  <c:v>559.9</c:v>
                </c:pt>
                <c:pt idx="2">
                  <c:v>902.87</c:v>
                </c:pt>
                <c:pt idx="3">
                  <c:v>503.52</c:v>
                </c:pt>
                <c:pt idx="4">
                  <c:v>751.89</c:v>
                </c:pt>
                <c:pt idx="5">
                  <c:v>546.4</c:v>
                </c:pt>
                <c:pt idx="6">
                  <c:v>579.68999999999994</c:v>
                </c:pt>
                <c:pt idx="7">
                  <c:v>556.29</c:v>
                </c:pt>
                <c:pt idx="8">
                  <c:v>717.39</c:v>
                </c:pt>
                <c:pt idx="9">
                  <c:v>947.49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384B-41DC-B8AF-AE918E6DBD41}"/>
            </c:ext>
          </c:extLst>
        </c:ser>
        <c:ser>
          <c:idx val="2"/>
          <c:order val="2"/>
          <c:tx>
            <c:v>MEDIA P/N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TOTAL.GERAL!$T$15:$T$24</c:f>
              <c:strCache>
                <c:ptCount val="10"/>
                <c:pt idx="0">
                  <c:v>MARÇO</c:v>
                </c:pt>
                <c:pt idx="1">
                  <c:v>ABRIL</c:v>
                </c:pt>
                <c:pt idx="2">
                  <c:v>MAIO</c:v>
                </c:pt>
                <c:pt idx="3">
                  <c:v>JUNHO</c:v>
                </c:pt>
                <c:pt idx="4">
                  <c:v>JULHO</c:v>
                </c:pt>
                <c:pt idx="5">
                  <c:v>AGOSTO</c:v>
                </c:pt>
                <c:pt idx="6">
                  <c:v>SETEMBRO</c:v>
                </c:pt>
                <c:pt idx="7">
                  <c:v>OUTUBRO</c:v>
                </c:pt>
                <c:pt idx="8">
                  <c:v>NOVEMBRO</c:v>
                </c:pt>
                <c:pt idx="9">
                  <c:v>DEZEMBRO</c:v>
                </c:pt>
              </c:strCache>
            </c:strRef>
          </c:cat>
          <c:val>
            <c:numRef>
              <c:f>TOTAL.GERAL!$X$15:$X$24</c:f>
              <c:numCache>
                <c:formatCode>_-"R$"* #,##0.00_-;\-"R$"* #,##0.00_-;_-"R$"* "-"??_-;_-@</c:formatCode>
                <c:ptCount val="10"/>
                <c:pt idx="0">
                  <c:v>201.75</c:v>
                </c:pt>
                <c:pt idx="1">
                  <c:v>147.22999999999999</c:v>
                </c:pt>
                <c:pt idx="2">
                  <c:v>513.87</c:v>
                </c:pt>
                <c:pt idx="3">
                  <c:v>392.02</c:v>
                </c:pt>
                <c:pt idx="4">
                  <c:v>411.89</c:v>
                </c:pt>
                <c:pt idx="5">
                  <c:v>266.39999999999998</c:v>
                </c:pt>
                <c:pt idx="6">
                  <c:v>220.89000000000001</c:v>
                </c:pt>
                <c:pt idx="7">
                  <c:v>116.29000000000002</c:v>
                </c:pt>
                <c:pt idx="8">
                  <c:v>185.28999999999996</c:v>
                </c:pt>
                <c:pt idx="9">
                  <c:v>117.49000000000001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384B-41DC-B8AF-AE918E6DB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644366"/>
        <c:axId val="905869416"/>
      </c:barChart>
      <c:catAx>
        <c:axId val="14164436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905869416"/>
        <c:crosses val="autoZero"/>
        <c:auto val="1"/>
        <c:lblAlgn val="ctr"/>
        <c:lblOffset val="100"/>
        <c:noMultiLvlLbl val="1"/>
      </c:catAx>
      <c:valAx>
        <c:axId val="90586941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_-&quot;R$&quot;* #,##0.00_-;\-&quot;R$&quot;* #,##0.00_-;_-&quot;R$&quot;* &quot;-&quot;??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41644366"/>
        <c:crosses val="autoZero"/>
        <c:crossBetween val="between"/>
      </c:valAx>
    </c:plotArea>
    <c:legend>
      <c:legendPos val="t"/>
      <c:overlay val="0"/>
      <c:txPr>
        <a:bodyPr/>
        <a:lstStyle/>
        <a:p>
          <a:pPr lvl="0">
            <a:defRPr sz="900" b="0" i="0">
              <a:solidFill>
                <a:schemeClr val="lt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800" b="1" i="0">
                <a:solidFill>
                  <a:schemeClr val="dk1"/>
                </a:solidFill>
                <a:latin typeface="+mn-lt"/>
              </a:defRPr>
            </a:pPr>
            <a:r>
              <a:rPr lang="pt-BR" sz="1800" b="1" i="0">
                <a:solidFill>
                  <a:schemeClr val="dk1"/>
                </a:solidFill>
                <a:latin typeface="+mn-lt"/>
              </a:rPr>
              <a:t>QTD. TOTAL DE PEÇAS DE 2021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MARÇO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TOTAL.GERAL!$U$14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TOTAL.GERAL!$U$15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FA7-4E31-BA2F-02255066F49A}"/>
            </c:ext>
          </c:extLst>
        </c:ser>
        <c:ser>
          <c:idx val="1"/>
          <c:order val="1"/>
          <c:tx>
            <c:v>ABRIL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TOTAL.GERAL!$U$14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TOTAL.GERAL!$U$16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CFA7-4E31-BA2F-02255066F49A}"/>
            </c:ext>
          </c:extLst>
        </c:ser>
        <c:ser>
          <c:idx val="2"/>
          <c:order val="2"/>
          <c:tx>
            <c:v>MAIO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TOTAL.GERAL!$U$14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TOTAL.GERAL!$U$17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CFA7-4E31-BA2F-02255066F49A}"/>
            </c:ext>
          </c:extLst>
        </c:ser>
        <c:ser>
          <c:idx val="3"/>
          <c:order val="3"/>
          <c:tx>
            <c:v>JUNHO</c:v>
          </c:tx>
          <c:spPr>
            <a:solidFill>
              <a:srgbClr val="FFC000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TOTAL.GERAL!$U$14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TOTAL.GERAL!$U$18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3-CFA7-4E31-BA2F-02255066F49A}"/>
            </c:ext>
          </c:extLst>
        </c:ser>
        <c:ser>
          <c:idx val="4"/>
          <c:order val="4"/>
          <c:tx>
            <c:v>JULHO</c:v>
          </c:tx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TOTAL.GERAL!$U$14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TOTAL.GERAL!$U$19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4-CFA7-4E31-BA2F-02255066F49A}"/>
            </c:ext>
          </c:extLst>
        </c:ser>
        <c:ser>
          <c:idx val="5"/>
          <c:order val="5"/>
          <c:tx>
            <c:v>AGOSTO</c:v>
          </c:tx>
          <c:spPr>
            <a:solidFill>
              <a:srgbClr val="70AD47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TOTAL.GERAL!$U$14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TOTAL.GERAL!$U$20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5-CFA7-4E31-BA2F-02255066F49A}"/>
            </c:ext>
          </c:extLst>
        </c:ser>
        <c:ser>
          <c:idx val="6"/>
          <c:order val="6"/>
          <c:tx>
            <c:v>SETEMBRO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TOTAL.GERAL!$U$14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TOTAL.GERAL!$U$21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6-CFA7-4E31-BA2F-02255066F49A}"/>
            </c:ext>
          </c:extLst>
        </c:ser>
        <c:ser>
          <c:idx val="7"/>
          <c:order val="7"/>
          <c:tx>
            <c:v>OUTUBRO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TOTAL.GERAL!$U$14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TOTAL.GERAL!$U$22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7-CFA7-4E31-BA2F-02255066F49A}"/>
            </c:ext>
          </c:extLst>
        </c:ser>
        <c:ser>
          <c:idx val="8"/>
          <c:order val="8"/>
          <c:tx>
            <c:v>NOVEMBRO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TOTAL.GERAL!$U$14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TOTAL.GERAL!$U$23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CFA7-4E31-BA2F-02255066F49A}"/>
            </c:ext>
          </c:extLst>
        </c:ser>
        <c:ser>
          <c:idx val="9"/>
          <c:order val="9"/>
          <c:tx>
            <c:v>DEZEMBRO</c:v>
          </c:tx>
          <c:spPr>
            <a:solidFill>
              <a:srgbClr val="FFC000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TOTAL.GERAL!$U$14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TOTAL.GERAL!$U$24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9-CFA7-4E31-BA2F-02255066F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4284186"/>
        <c:axId val="958572457"/>
      </c:barChart>
      <c:catAx>
        <c:axId val="79428418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pt-BR"/>
          </a:p>
        </c:txPr>
        <c:crossAx val="958572457"/>
        <c:crosses val="autoZero"/>
        <c:auto val="1"/>
        <c:lblAlgn val="ctr"/>
        <c:lblOffset val="100"/>
        <c:noMultiLvlLbl val="1"/>
      </c:catAx>
      <c:valAx>
        <c:axId val="95857245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794284186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chemeClr val="dk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lt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800" b="1" i="0">
                <a:solidFill>
                  <a:schemeClr val="dk1"/>
                </a:solidFill>
                <a:latin typeface="+mn-lt"/>
              </a:defRPr>
            </a:pPr>
            <a:r>
              <a:rPr lang="pt-BR" sz="1800" b="1" i="0">
                <a:solidFill>
                  <a:schemeClr val="dk1"/>
                </a:solidFill>
                <a:latin typeface="+mn-lt"/>
              </a:rPr>
              <a:t>QTD. TOTAL DE PEÇAS DE 2022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JANEIRO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A394-491A-A666-E278FC55B1E3}"/>
            </c:ext>
          </c:extLst>
        </c:ser>
        <c:ser>
          <c:idx val="1"/>
          <c:order val="1"/>
          <c:tx>
            <c:v>FEVEREIRO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A394-491A-A666-E278FC55B1E3}"/>
            </c:ext>
          </c:extLst>
        </c:ser>
        <c:ser>
          <c:idx val="2"/>
          <c:order val="2"/>
          <c:tx>
            <c:v>MARÇO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TOTAL.GERAL!$U$31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A394-491A-A666-E278FC55B1E3}"/>
            </c:ext>
          </c:extLst>
        </c:ser>
        <c:ser>
          <c:idx val="3"/>
          <c:order val="3"/>
          <c:tx>
            <c:v>ABRIL</c:v>
          </c:tx>
          <c:spPr>
            <a:solidFill>
              <a:srgbClr val="FFC000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TOTAL.GERAL!$U$32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3-A394-491A-A666-E278FC55B1E3}"/>
            </c:ext>
          </c:extLst>
        </c:ser>
        <c:ser>
          <c:idx val="4"/>
          <c:order val="4"/>
          <c:tx>
            <c:v>MAIO</c:v>
          </c:tx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TOTAL.GERAL!$U$33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4-A394-491A-A666-E278FC55B1E3}"/>
            </c:ext>
          </c:extLst>
        </c:ser>
        <c:ser>
          <c:idx val="5"/>
          <c:order val="5"/>
          <c:tx>
            <c:v>JUNHO</c:v>
          </c:tx>
          <c:spPr>
            <a:solidFill>
              <a:srgbClr val="70AD47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TOTAL.GERAL!$U$34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5-A394-491A-A666-E278FC55B1E3}"/>
            </c:ext>
          </c:extLst>
        </c:ser>
        <c:ser>
          <c:idx val="6"/>
          <c:order val="6"/>
          <c:tx>
            <c:v>JULHO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TOTAL.GERAL!$U$35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6-A394-491A-A666-E278FC55B1E3}"/>
            </c:ext>
          </c:extLst>
        </c:ser>
        <c:ser>
          <c:idx val="7"/>
          <c:order val="7"/>
          <c:tx>
            <c:v>AGOSTO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TOTAL.GERAL!$U$36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7-A394-491A-A666-E278FC55B1E3}"/>
            </c:ext>
          </c:extLst>
        </c:ser>
        <c:ser>
          <c:idx val="8"/>
          <c:order val="8"/>
          <c:tx>
            <c:v>SETEMBRO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TOTAL.GERAL!$U$37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A394-491A-A666-E278FC55B1E3}"/>
            </c:ext>
          </c:extLst>
        </c:ser>
        <c:ser>
          <c:idx val="9"/>
          <c:order val="9"/>
          <c:tx>
            <c:v>OUTUBRO</c:v>
          </c:tx>
          <c:spPr>
            <a:solidFill>
              <a:srgbClr val="FFC000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TOTAL.GERAL!$U$38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9-A394-491A-A666-E278FC55B1E3}"/>
            </c:ext>
          </c:extLst>
        </c:ser>
        <c:ser>
          <c:idx val="10"/>
          <c:order val="10"/>
          <c:tx>
            <c:v>NOVEMBRO</c:v>
          </c:tx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TOTAL.GERAL!$U$39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A-A394-491A-A666-E278FC55B1E3}"/>
            </c:ext>
          </c:extLst>
        </c:ser>
        <c:ser>
          <c:idx val="11"/>
          <c:order val="11"/>
          <c:tx>
            <c:v>DEZEMBRO</c:v>
          </c:tx>
          <c:spPr>
            <a:solidFill>
              <a:srgbClr val="70AD47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TOTAL.GERAL!$U$28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TOTAL.GERAL!$U$40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B-A394-491A-A666-E278FC55B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001277"/>
        <c:axId val="1280722753"/>
      </c:barChart>
      <c:catAx>
        <c:axId val="38500127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pt-BR"/>
          </a:p>
        </c:txPr>
        <c:crossAx val="1280722753"/>
        <c:crosses val="autoZero"/>
        <c:auto val="1"/>
        <c:lblAlgn val="ctr"/>
        <c:lblOffset val="100"/>
        <c:noMultiLvlLbl val="1"/>
      </c:catAx>
      <c:valAx>
        <c:axId val="128072275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385001277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chemeClr val="dk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lt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400" b="1" i="0">
                <a:solidFill>
                  <a:schemeClr val="lt1"/>
                </a:solidFill>
                <a:latin typeface="+mn-lt"/>
              </a:defRPr>
            </a:pPr>
            <a:r>
              <a:rPr lang="pt-BR" sz="1400" b="1" i="0">
                <a:solidFill>
                  <a:schemeClr val="lt1"/>
                </a:solidFill>
                <a:latin typeface="+mn-lt"/>
              </a:rPr>
              <a:t>VALOR TOTAL EM REAL DE 2022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VALOR COMPRA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TOTAL.GERAL!$T$29:$T$40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TOTAL.GERAL!$V$29:$V$40</c:f>
              <c:numCache>
                <c:formatCode>_-"R$"* #,##0.00_-;\-"R$"* #,##0.00_-;_-"R$"* "-"??_-;_-@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143.9</c:v>
                </c:pt>
                <c:pt idx="3">
                  <c:v>439.79999999999995</c:v>
                </c:pt>
                <c:pt idx="4">
                  <c:v>1175.5900000000001</c:v>
                </c:pt>
                <c:pt idx="5">
                  <c:v>1013.9999999999999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2E0-4567-836E-12D26F20A4CA}"/>
            </c:ext>
          </c:extLst>
        </c:ser>
        <c:ser>
          <c:idx val="1"/>
          <c:order val="1"/>
          <c:tx>
            <c:v>VALOR VENDA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TOTAL.GERAL!$T$29:$T$40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TOTAL.GERAL!$W$29:$W$40</c:f>
              <c:numCache>
                <c:formatCode>_-"R$"* #,##0.00_-;\-"R$"* #,##0.00_-;_-"R$"* "-"??_-;_-@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170.9</c:v>
                </c:pt>
                <c:pt idx="3">
                  <c:v>519.79999999999995</c:v>
                </c:pt>
                <c:pt idx="4">
                  <c:v>1435.3199999999997</c:v>
                </c:pt>
                <c:pt idx="5">
                  <c:v>1089.32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92E0-4567-836E-12D26F20A4CA}"/>
            </c:ext>
          </c:extLst>
        </c:ser>
        <c:ser>
          <c:idx val="2"/>
          <c:order val="2"/>
          <c:tx>
            <c:v>MEDIA P/N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TOTAL.GERAL!$T$29:$T$40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TOTAL.GERAL!$X$29:$X$40</c:f>
              <c:numCache>
                <c:formatCode>_-"R$"* #,##0.00_-;\-"R$"* #,##0.00_-;_-"R$"* "-"??_-;_-@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27</c:v>
                </c:pt>
                <c:pt idx="3">
                  <c:v>80</c:v>
                </c:pt>
                <c:pt idx="4">
                  <c:v>259.7299999999999</c:v>
                </c:pt>
                <c:pt idx="5">
                  <c:v>75.319999999999993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92E0-4567-836E-12D26F20A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568703"/>
        <c:axId val="658887572"/>
      </c:barChart>
      <c:catAx>
        <c:axId val="1865687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658887572"/>
        <c:crosses val="autoZero"/>
        <c:auto val="1"/>
        <c:lblAlgn val="ctr"/>
        <c:lblOffset val="100"/>
        <c:noMultiLvlLbl val="1"/>
      </c:catAx>
      <c:valAx>
        <c:axId val="65888757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_-&quot;R$&quot;* #,##0.00_-;\-&quot;R$&quot;* #,##0.00_-;_-&quot;R$&quot;* &quot;-&quot;??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86568703"/>
        <c:crosses val="autoZero"/>
        <c:crossBetween val="between"/>
      </c:valAx>
    </c:plotArea>
    <c:legend>
      <c:legendPos val="t"/>
      <c:overlay val="0"/>
      <c:txPr>
        <a:bodyPr/>
        <a:lstStyle/>
        <a:p>
          <a:pPr lvl="0">
            <a:defRPr sz="900" b="0" i="0">
              <a:solidFill>
                <a:schemeClr val="lt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400" b="1" i="0">
                <a:solidFill>
                  <a:schemeClr val="lt1"/>
                </a:solidFill>
                <a:latin typeface="+mn-lt"/>
              </a:defRPr>
            </a:pPr>
            <a:r>
              <a:rPr lang="pt-BR" sz="1400" b="1" i="0">
                <a:solidFill>
                  <a:schemeClr val="lt1"/>
                </a:solidFill>
                <a:latin typeface="+mn-lt"/>
              </a:rPr>
              <a:t>POPs EM RELA NO ANO DE 2021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VALOR COMPRA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TOTAL.GERAL!$B$15:$B$24</c:f>
              <c:strCache>
                <c:ptCount val="10"/>
                <c:pt idx="0">
                  <c:v>MARÇO</c:v>
                </c:pt>
                <c:pt idx="1">
                  <c:v>ABRIL</c:v>
                </c:pt>
                <c:pt idx="2">
                  <c:v>MAIO</c:v>
                </c:pt>
                <c:pt idx="3">
                  <c:v>JUNHO</c:v>
                </c:pt>
                <c:pt idx="4">
                  <c:v>JULHO</c:v>
                </c:pt>
                <c:pt idx="5">
                  <c:v>AGOSTO</c:v>
                </c:pt>
                <c:pt idx="6">
                  <c:v>SETEMBRO</c:v>
                </c:pt>
                <c:pt idx="7">
                  <c:v>OUTUBRO</c:v>
                </c:pt>
                <c:pt idx="8">
                  <c:v>NOVEMBRO</c:v>
                </c:pt>
                <c:pt idx="9">
                  <c:v>DEZEMBRO</c:v>
                </c:pt>
              </c:strCache>
            </c:strRef>
          </c:cat>
          <c:val>
            <c:numRef>
              <c:f>TOTAL.GERAL!$D$15:$D$24</c:f>
              <c:numCache>
                <c:formatCode>_-"R$"* #,##0.00_-;\-"R$"* #,##0.00_-;_-"R$"* "-"??_-;_-@</c:formatCode>
                <c:ptCount val="10"/>
                <c:pt idx="0">
                  <c:v>148.15</c:v>
                </c:pt>
                <c:pt idx="1">
                  <c:v>312.77</c:v>
                </c:pt>
                <c:pt idx="2">
                  <c:v>290</c:v>
                </c:pt>
                <c:pt idx="3">
                  <c:v>0</c:v>
                </c:pt>
                <c:pt idx="4">
                  <c:v>340</c:v>
                </c:pt>
                <c:pt idx="5">
                  <c:v>280</c:v>
                </c:pt>
                <c:pt idx="6">
                  <c:v>358.79999999999995</c:v>
                </c:pt>
                <c:pt idx="7">
                  <c:v>440</c:v>
                </c:pt>
                <c:pt idx="8">
                  <c:v>532.1</c:v>
                </c:pt>
                <c:pt idx="9">
                  <c:v>830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5A2-418B-80CA-EA2AC3BF7D43}"/>
            </c:ext>
          </c:extLst>
        </c:ser>
        <c:ser>
          <c:idx val="1"/>
          <c:order val="1"/>
          <c:tx>
            <c:v>VALOR VENDA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TOTAL.GERAL!$B$15:$B$24</c:f>
              <c:strCache>
                <c:ptCount val="10"/>
                <c:pt idx="0">
                  <c:v>MARÇO</c:v>
                </c:pt>
                <c:pt idx="1">
                  <c:v>ABRIL</c:v>
                </c:pt>
                <c:pt idx="2">
                  <c:v>MAIO</c:v>
                </c:pt>
                <c:pt idx="3">
                  <c:v>JUNHO</c:v>
                </c:pt>
                <c:pt idx="4">
                  <c:v>JULHO</c:v>
                </c:pt>
                <c:pt idx="5">
                  <c:v>AGOSTO</c:v>
                </c:pt>
                <c:pt idx="6">
                  <c:v>SETEMBRO</c:v>
                </c:pt>
                <c:pt idx="7">
                  <c:v>OUTUBRO</c:v>
                </c:pt>
                <c:pt idx="8">
                  <c:v>NOVEMBRO</c:v>
                </c:pt>
                <c:pt idx="9">
                  <c:v>DEZEMBRO</c:v>
                </c:pt>
              </c:strCache>
            </c:strRef>
          </c:cat>
          <c:val>
            <c:numRef>
              <c:f>TOTAL.GERAL!$E$15:$E$24</c:f>
              <c:numCache>
                <c:formatCode>_-"R$"* #,##0.00_-;\-"R$"* #,##0.00_-;_-"R$"* "-"??_-;_-@</c:formatCode>
                <c:ptCount val="10"/>
                <c:pt idx="0">
                  <c:v>349.9</c:v>
                </c:pt>
                <c:pt idx="1">
                  <c:v>479.9</c:v>
                </c:pt>
                <c:pt idx="2">
                  <c:v>627.87</c:v>
                </c:pt>
                <c:pt idx="3">
                  <c:v>343.52</c:v>
                </c:pt>
                <c:pt idx="4">
                  <c:v>751.89</c:v>
                </c:pt>
                <c:pt idx="5">
                  <c:v>546.4</c:v>
                </c:pt>
                <c:pt idx="6">
                  <c:v>579.68999999999994</c:v>
                </c:pt>
                <c:pt idx="7">
                  <c:v>556.29</c:v>
                </c:pt>
                <c:pt idx="8">
                  <c:v>717.39</c:v>
                </c:pt>
                <c:pt idx="9">
                  <c:v>947.49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E5A2-418B-80CA-EA2AC3BF7D43}"/>
            </c:ext>
          </c:extLst>
        </c:ser>
        <c:ser>
          <c:idx val="2"/>
          <c:order val="2"/>
          <c:tx>
            <c:v>MEDIA P/N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TOTAL.GERAL!$B$15:$B$24</c:f>
              <c:strCache>
                <c:ptCount val="10"/>
                <c:pt idx="0">
                  <c:v>MARÇO</c:v>
                </c:pt>
                <c:pt idx="1">
                  <c:v>ABRIL</c:v>
                </c:pt>
                <c:pt idx="2">
                  <c:v>MAIO</c:v>
                </c:pt>
                <c:pt idx="3">
                  <c:v>JUNHO</c:v>
                </c:pt>
                <c:pt idx="4">
                  <c:v>JULHO</c:v>
                </c:pt>
                <c:pt idx="5">
                  <c:v>AGOSTO</c:v>
                </c:pt>
                <c:pt idx="6">
                  <c:v>SETEMBRO</c:v>
                </c:pt>
                <c:pt idx="7">
                  <c:v>OUTUBRO</c:v>
                </c:pt>
                <c:pt idx="8">
                  <c:v>NOVEMBRO</c:v>
                </c:pt>
                <c:pt idx="9">
                  <c:v>DEZEMBRO</c:v>
                </c:pt>
              </c:strCache>
            </c:strRef>
          </c:cat>
          <c:val>
            <c:numRef>
              <c:f>TOTAL.GERAL!$F$15:$F$24</c:f>
              <c:numCache>
                <c:formatCode>_-"R$"* #,##0.00_-;\-"R$"* #,##0.00_-;_-"R$"* "-"??_-;_-@</c:formatCode>
                <c:ptCount val="10"/>
                <c:pt idx="0">
                  <c:v>201.75</c:v>
                </c:pt>
                <c:pt idx="1">
                  <c:v>167.13</c:v>
                </c:pt>
                <c:pt idx="2">
                  <c:v>337.87</c:v>
                </c:pt>
                <c:pt idx="3">
                  <c:v>343.52</c:v>
                </c:pt>
                <c:pt idx="4">
                  <c:v>411.89</c:v>
                </c:pt>
                <c:pt idx="5">
                  <c:v>266.39999999999998</c:v>
                </c:pt>
                <c:pt idx="6">
                  <c:v>220.89000000000001</c:v>
                </c:pt>
                <c:pt idx="7">
                  <c:v>116.29000000000002</c:v>
                </c:pt>
                <c:pt idx="8">
                  <c:v>185.28999999999996</c:v>
                </c:pt>
                <c:pt idx="9">
                  <c:v>117.49000000000001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E5A2-418B-80CA-EA2AC3BF7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14099796"/>
        <c:axId val="70002832"/>
      </c:barChart>
      <c:catAx>
        <c:axId val="12140997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70002832"/>
        <c:crosses val="autoZero"/>
        <c:auto val="1"/>
        <c:lblAlgn val="ctr"/>
        <c:lblOffset val="100"/>
        <c:noMultiLvlLbl val="1"/>
      </c:catAx>
      <c:valAx>
        <c:axId val="7000283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_-&quot;R$&quot;* #,##0.00_-;\-&quot;R$&quot;* #,##0.00_-;_-&quot;R$&quot;* &quot;-&quot;??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214099796"/>
        <c:crosses val="autoZero"/>
        <c:crossBetween val="between"/>
      </c:valAx>
    </c:plotArea>
    <c:legend>
      <c:legendPos val="t"/>
      <c:overlay val="0"/>
      <c:txPr>
        <a:bodyPr/>
        <a:lstStyle/>
        <a:p>
          <a:pPr lvl="0">
            <a:defRPr sz="900" b="0" i="0">
              <a:solidFill>
                <a:schemeClr val="lt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800" b="1" i="0">
                <a:solidFill>
                  <a:schemeClr val="dk1"/>
                </a:solidFill>
                <a:latin typeface="+mn-lt"/>
              </a:defRPr>
            </a:pPr>
            <a:r>
              <a:rPr lang="pt-BR" sz="1800" b="1" i="0">
                <a:solidFill>
                  <a:schemeClr val="dk1"/>
                </a:solidFill>
                <a:latin typeface="+mn-lt"/>
              </a:rPr>
              <a:t>POPs QTD. PEÇAS NO ANO DE 2021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MARÇO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TOTAL.GERAL!$C$15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003-4FF0-82A8-27DB99F5A86E}"/>
            </c:ext>
          </c:extLst>
        </c:ser>
        <c:ser>
          <c:idx val="1"/>
          <c:order val="1"/>
          <c:tx>
            <c:v>ABRIL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TOTAL.GERAL!$C$16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0003-4FF0-82A8-27DB99F5A86E}"/>
            </c:ext>
          </c:extLst>
        </c:ser>
        <c:ser>
          <c:idx val="2"/>
          <c:order val="2"/>
          <c:tx>
            <c:v>MAIO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TOTAL.GERAL!$C$17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0003-4FF0-82A8-27DB99F5A86E}"/>
            </c:ext>
          </c:extLst>
        </c:ser>
        <c:ser>
          <c:idx val="3"/>
          <c:order val="3"/>
          <c:tx>
            <c:v>JUNHO</c:v>
          </c:tx>
          <c:spPr>
            <a:solidFill>
              <a:srgbClr val="FFC000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TOTAL.GERAL!$C$18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3-0003-4FF0-82A8-27DB99F5A86E}"/>
            </c:ext>
          </c:extLst>
        </c:ser>
        <c:ser>
          <c:idx val="4"/>
          <c:order val="4"/>
          <c:tx>
            <c:v>JULHO</c:v>
          </c:tx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TOTAL.GERAL!$C$19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4-0003-4FF0-82A8-27DB99F5A86E}"/>
            </c:ext>
          </c:extLst>
        </c:ser>
        <c:ser>
          <c:idx val="5"/>
          <c:order val="5"/>
          <c:tx>
            <c:v>AGOSTO</c:v>
          </c:tx>
          <c:spPr>
            <a:solidFill>
              <a:srgbClr val="70AD47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TOTAL.GERAL!$C$20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5-0003-4FF0-82A8-27DB99F5A86E}"/>
            </c:ext>
          </c:extLst>
        </c:ser>
        <c:ser>
          <c:idx val="6"/>
          <c:order val="6"/>
          <c:tx>
            <c:v>SETEMBRO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TOTAL.GERAL!$C$21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6-0003-4FF0-82A8-27DB99F5A86E}"/>
            </c:ext>
          </c:extLst>
        </c:ser>
        <c:ser>
          <c:idx val="7"/>
          <c:order val="7"/>
          <c:tx>
            <c:v>OUTUBRO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TOTAL.GERAL!$C$22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7-0003-4FF0-82A8-27DB99F5A86E}"/>
            </c:ext>
          </c:extLst>
        </c:ser>
        <c:ser>
          <c:idx val="8"/>
          <c:order val="8"/>
          <c:tx>
            <c:v>NOVEMBRO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TOTAL.GERAL!$C$23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0003-4FF0-82A8-27DB99F5A86E}"/>
            </c:ext>
          </c:extLst>
        </c:ser>
        <c:ser>
          <c:idx val="9"/>
          <c:order val="9"/>
          <c:tx>
            <c:v>DEZEMBRO</c:v>
          </c:tx>
          <c:spPr>
            <a:solidFill>
              <a:srgbClr val="FFC000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TOTAL.GERAL!$C$24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9-0003-4FF0-82A8-27DB99F5A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5035185"/>
        <c:axId val="646907534"/>
      </c:barChart>
      <c:catAx>
        <c:axId val="75503518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pt-BR"/>
          </a:p>
        </c:txPr>
        <c:crossAx val="646907534"/>
        <c:crosses val="autoZero"/>
        <c:auto val="1"/>
        <c:lblAlgn val="ctr"/>
        <c:lblOffset val="100"/>
        <c:noMultiLvlLbl val="1"/>
      </c:catAx>
      <c:valAx>
        <c:axId val="64690753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755035185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chemeClr val="dk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lt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400" b="1" i="0">
                <a:solidFill>
                  <a:schemeClr val="lt1"/>
                </a:solidFill>
                <a:latin typeface="+mn-lt"/>
              </a:defRPr>
            </a:pPr>
            <a:r>
              <a:rPr lang="pt-BR" sz="1400" b="1" i="0">
                <a:solidFill>
                  <a:schemeClr val="lt1"/>
                </a:solidFill>
                <a:latin typeface="+mn-lt"/>
              </a:rPr>
              <a:t>POPs EM RELA NO ANO DE 2022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VALOR COMPRA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TOTAL.GERAL!$B$29:$B$40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TOTAL.GERAL!$D$29:$D$40</c:f>
              <c:numCache>
                <c:formatCode>_-"R$"* #,##0.00_-;\-"R$"* #,##0.00_-;_-"R$"* "-"??_-;_-@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129.9</c:v>
                </c:pt>
                <c:pt idx="3">
                  <c:v>150</c:v>
                </c:pt>
                <c:pt idx="4">
                  <c:v>0</c:v>
                </c:pt>
                <c:pt idx="5">
                  <c:v>289.8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619A-44C6-87B8-D0BADD0D90A5}"/>
            </c:ext>
          </c:extLst>
        </c:ser>
        <c:ser>
          <c:idx val="1"/>
          <c:order val="1"/>
          <c:tx>
            <c:v>VALOR VENDA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TOTAL.GERAL!$B$29:$B$40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TOTAL.GERAL!$E$29:$E$40</c:f>
              <c:numCache>
                <c:formatCode>_-"R$"* #,##0.00_-;\-"R$"* #,##0.00_-;_-"R$"* "-"??_-;_-@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150.9</c:v>
                </c:pt>
                <c:pt idx="3">
                  <c:v>189.9</c:v>
                </c:pt>
                <c:pt idx="4">
                  <c:v>0</c:v>
                </c:pt>
                <c:pt idx="5">
                  <c:v>310.12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619A-44C6-87B8-D0BADD0D90A5}"/>
            </c:ext>
          </c:extLst>
        </c:ser>
        <c:ser>
          <c:idx val="2"/>
          <c:order val="2"/>
          <c:tx>
            <c:v>MEDIA P/N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TOTAL.GERAL!$B$29:$B$40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TOTAL.GERAL!$F$29:$F$40</c:f>
              <c:numCache>
                <c:formatCode>_-"R$"* #,##0.00_-;\-"R$"* #,##0.00_-;_-"R$"* "-"??_-;_-@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21</c:v>
                </c:pt>
                <c:pt idx="3">
                  <c:v>39.900000000000006</c:v>
                </c:pt>
                <c:pt idx="4">
                  <c:v>0</c:v>
                </c:pt>
                <c:pt idx="5">
                  <c:v>20.319999999999993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619A-44C6-87B8-D0BADD0D9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3140461"/>
        <c:axId val="106761054"/>
      </c:barChart>
      <c:catAx>
        <c:axId val="94314046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06761054"/>
        <c:crosses val="autoZero"/>
        <c:auto val="1"/>
        <c:lblAlgn val="ctr"/>
        <c:lblOffset val="100"/>
        <c:noMultiLvlLbl val="1"/>
      </c:catAx>
      <c:valAx>
        <c:axId val="10676105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_-&quot;R$&quot;* #,##0.00_-;\-&quot;R$&quot;* #,##0.00_-;_-&quot;R$&quot;* &quot;-&quot;??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943140461"/>
        <c:crosses val="autoZero"/>
        <c:crossBetween val="between"/>
      </c:valAx>
    </c:plotArea>
    <c:legend>
      <c:legendPos val="t"/>
      <c:overlay val="0"/>
      <c:txPr>
        <a:bodyPr/>
        <a:lstStyle/>
        <a:p>
          <a:pPr lvl="0">
            <a:defRPr sz="900" b="0" i="0">
              <a:solidFill>
                <a:schemeClr val="lt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800" b="1" i="0">
                <a:solidFill>
                  <a:schemeClr val="dk1"/>
                </a:solidFill>
                <a:latin typeface="+mn-lt"/>
              </a:defRPr>
            </a:pPr>
            <a:r>
              <a:rPr lang="pt-BR" sz="1800" b="1" i="0">
                <a:solidFill>
                  <a:schemeClr val="dk1"/>
                </a:solidFill>
                <a:latin typeface="+mn-lt"/>
              </a:rPr>
              <a:t>POPs QTD. PEÇAS NO ANO DE 2022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JANEIRO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TOTAL.GERAL!$C$28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TOTAL.GERAL!$C$29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8EDE-487F-8F20-A5FAC04E19BD}"/>
            </c:ext>
          </c:extLst>
        </c:ser>
        <c:ser>
          <c:idx val="1"/>
          <c:order val="1"/>
          <c:tx>
            <c:v>FEVEREIRO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TOTAL.GERAL!$C$28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TOTAL.GERAL!$C$30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8EDE-487F-8F20-A5FAC04E19BD}"/>
            </c:ext>
          </c:extLst>
        </c:ser>
        <c:ser>
          <c:idx val="2"/>
          <c:order val="2"/>
          <c:tx>
            <c:v>MARÇO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TOTAL.GERAL!$C$28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TOTAL.GERAL!$C$31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8EDE-487F-8F20-A5FAC04E19BD}"/>
            </c:ext>
          </c:extLst>
        </c:ser>
        <c:ser>
          <c:idx val="3"/>
          <c:order val="3"/>
          <c:tx>
            <c:v>ABRIL</c:v>
          </c:tx>
          <c:spPr>
            <a:solidFill>
              <a:srgbClr val="FFC000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TOTAL.GERAL!$C$28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TOTAL.GERAL!$C$32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3-8EDE-487F-8F20-A5FAC04E19BD}"/>
            </c:ext>
          </c:extLst>
        </c:ser>
        <c:ser>
          <c:idx val="4"/>
          <c:order val="4"/>
          <c:tx>
            <c:v>MAIO</c:v>
          </c:tx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TOTAL.GERAL!$C$28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TOTAL.GERAL!$C$33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4-8EDE-487F-8F20-A5FAC04E19BD}"/>
            </c:ext>
          </c:extLst>
        </c:ser>
        <c:ser>
          <c:idx val="5"/>
          <c:order val="5"/>
          <c:tx>
            <c:v>JUNHO</c:v>
          </c:tx>
          <c:spPr>
            <a:solidFill>
              <a:srgbClr val="70AD47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TOTAL.GERAL!$C$28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TOTAL.GERAL!$C$34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5-8EDE-487F-8F20-A5FAC04E19BD}"/>
            </c:ext>
          </c:extLst>
        </c:ser>
        <c:ser>
          <c:idx val="6"/>
          <c:order val="6"/>
          <c:tx>
            <c:strRef>
              <c:f>TOTAL.GERAL!$B$35</c:f>
              <c:strCache>
                <c:ptCount val="1"/>
                <c:pt idx="0">
                  <c:v>JULHO</c:v>
                </c:pt>
              </c:strCache>
            </c:strRef>
          </c:tx>
          <c:invertIfNegative val="1"/>
          <c:cat>
            <c:strRef>
              <c:f>TOTAL.GERAL!$C$28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TOTAL.GERAL!$C$35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8EDE-487F-8F20-A5FAC04E19BD}"/>
            </c:ext>
          </c:extLst>
        </c:ser>
        <c:ser>
          <c:idx val="7"/>
          <c:order val="7"/>
          <c:tx>
            <c:strRef>
              <c:f>TOTAL.GERAL!$B$36</c:f>
              <c:strCache>
                <c:ptCount val="1"/>
                <c:pt idx="0">
                  <c:v>AGOSTO</c:v>
                </c:pt>
              </c:strCache>
            </c:strRef>
          </c:tx>
          <c:invertIfNegative val="1"/>
          <c:cat>
            <c:strRef>
              <c:f>TOTAL.GERAL!$C$28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TOTAL.GERAL!$C$36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8EDE-487F-8F20-A5FAC04E19BD}"/>
            </c:ext>
          </c:extLst>
        </c:ser>
        <c:ser>
          <c:idx val="8"/>
          <c:order val="8"/>
          <c:tx>
            <c:strRef>
              <c:f>TOTAL.GERAL!$B$37</c:f>
              <c:strCache>
                <c:ptCount val="1"/>
                <c:pt idx="0">
                  <c:v>SETEMBRO</c:v>
                </c:pt>
              </c:strCache>
            </c:strRef>
          </c:tx>
          <c:invertIfNegative val="1"/>
          <c:cat>
            <c:strRef>
              <c:f>TOTAL.GERAL!$C$28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TOTAL.GERAL!$C$37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8EDE-487F-8F20-A5FAC04E19BD}"/>
            </c:ext>
          </c:extLst>
        </c:ser>
        <c:ser>
          <c:idx val="9"/>
          <c:order val="9"/>
          <c:tx>
            <c:strRef>
              <c:f>TOTAL.GERAL!$B$38</c:f>
              <c:strCache>
                <c:ptCount val="1"/>
                <c:pt idx="0">
                  <c:v>OUTUBRO</c:v>
                </c:pt>
              </c:strCache>
            </c:strRef>
          </c:tx>
          <c:invertIfNegative val="1"/>
          <c:cat>
            <c:strRef>
              <c:f>TOTAL.GERAL!$C$28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TOTAL.GERAL!$C$38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8EDE-487F-8F20-A5FAC04E19BD}"/>
            </c:ext>
          </c:extLst>
        </c:ser>
        <c:ser>
          <c:idx val="10"/>
          <c:order val="10"/>
          <c:tx>
            <c:strRef>
              <c:f>TOTAL.GERAL!$B$39</c:f>
              <c:strCache>
                <c:ptCount val="1"/>
                <c:pt idx="0">
                  <c:v>NOVEMBRO</c:v>
                </c:pt>
              </c:strCache>
            </c:strRef>
          </c:tx>
          <c:invertIfNegative val="1"/>
          <c:cat>
            <c:strRef>
              <c:f>TOTAL.GERAL!$C$28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TOTAL.GERAL!$C$39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8EDE-487F-8F20-A5FAC04E19BD}"/>
            </c:ext>
          </c:extLst>
        </c:ser>
        <c:ser>
          <c:idx val="11"/>
          <c:order val="11"/>
          <c:tx>
            <c:strRef>
              <c:f>TOTAL.GERAL!$B$40</c:f>
              <c:strCache>
                <c:ptCount val="1"/>
                <c:pt idx="0">
                  <c:v>DEZEMBRO</c:v>
                </c:pt>
              </c:strCache>
            </c:strRef>
          </c:tx>
          <c:invertIfNegative val="1"/>
          <c:cat>
            <c:strRef>
              <c:f>TOTAL.GERAL!$C$28</c:f>
              <c:strCache>
                <c:ptCount val="1"/>
                <c:pt idx="0">
                  <c:v>PEÇAS</c:v>
                </c:pt>
              </c:strCache>
            </c:strRef>
          </c:cat>
          <c:val>
            <c:numRef>
              <c:f>TOTAL.GERAL!$C$40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8EDE-487F-8F20-A5FAC04E1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1205870"/>
        <c:axId val="1657816418"/>
      </c:barChart>
      <c:catAx>
        <c:axId val="96120587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pt-BR"/>
          </a:p>
        </c:txPr>
        <c:crossAx val="1657816418"/>
        <c:crosses val="autoZero"/>
        <c:auto val="1"/>
        <c:lblAlgn val="ctr"/>
        <c:lblOffset val="100"/>
        <c:noMultiLvlLbl val="1"/>
      </c:catAx>
      <c:valAx>
        <c:axId val="165781641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961205870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chemeClr val="dk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lt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400" b="1" i="0">
                <a:solidFill>
                  <a:schemeClr val="lt1"/>
                </a:solidFill>
                <a:latin typeface="+mn-lt"/>
              </a:defRPr>
            </a:pPr>
            <a:r>
              <a:rPr lang="pt-BR" sz="1400" b="1" i="0">
                <a:solidFill>
                  <a:schemeClr val="lt1"/>
                </a:solidFill>
                <a:latin typeface="+mn-lt"/>
              </a:rPr>
              <a:t>ESTATUAS EM RELA NO ANO DE 2021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TOTAL.GERAL!$H$15:$H$24</c:f>
              <c:strCache>
                <c:ptCount val="10"/>
                <c:pt idx="0">
                  <c:v>MARÇO</c:v>
                </c:pt>
                <c:pt idx="1">
                  <c:v>ABRIL</c:v>
                </c:pt>
                <c:pt idx="2">
                  <c:v>MAIO</c:v>
                </c:pt>
                <c:pt idx="3">
                  <c:v>JUNHO</c:v>
                </c:pt>
                <c:pt idx="4">
                  <c:v>JULHO</c:v>
                </c:pt>
                <c:pt idx="5">
                  <c:v>AGOSTO</c:v>
                </c:pt>
                <c:pt idx="6">
                  <c:v>SETEMBRO</c:v>
                </c:pt>
                <c:pt idx="7">
                  <c:v>OUTUBRO</c:v>
                </c:pt>
                <c:pt idx="8">
                  <c:v>NOVEMBRO</c:v>
                </c:pt>
                <c:pt idx="9">
                  <c:v>DEZEMBRO</c:v>
                </c:pt>
              </c:strCache>
            </c:strRef>
          </c:cat>
          <c:val>
            <c:numRef>
              <c:f>TOTAL.GERAL!$J$15:$J$24</c:f>
              <c:numCache>
                <c:formatCode>_-"R$"* #,##0.00_-;\-"R$"* #,##0.00_-;_-"R$"* "-"??_-;_-@</c:formatCode>
                <c:ptCount val="10"/>
                <c:pt idx="0">
                  <c:v>0</c:v>
                </c:pt>
                <c:pt idx="1">
                  <c:v>99.9</c:v>
                </c:pt>
                <c:pt idx="2">
                  <c:v>99</c:v>
                </c:pt>
                <c:pt idx="3">
                  <c:v>111.5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BE8-418B-AE70-52B52C1FA287}"/>
            </c:ext>
          </c:extLst>
        </c:ser>
        <c:ser>
          <c:idx val="1"/>
          <c:order val="1"/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TOTAL.GERAL!$H$15:$H$24</c:f>
              <c:strCache>
                <c:ptCount val="10"/>
                <c:pt idx="0">
                  <c:v>MARÇO</c:v>
                </c:pt>
                <c:pt idx="1">
                  <c:v>ABRIL</c:v>
                </c:pt>
                <c:pt idx="2">
                  <c:v>MAIO</c:v>
                </c:pt>
                <c:pt idx="3">
                  <c:v>JUNHO</c:v>
                </c:pt>
                <c:pt idx="4">
                  <c:v>JULHO</c:v>
                </c:pt>
                <c:pt idx="5">
                  <c:v>AGOSTO</c:v>
                </c:pt>
                <c:pt idx="6">
                  <c:v>SETEMBRO</c:v>
                </c:pt>
                <c:pt idx="7">
                  <c:v>OUTUBRO</c:v>
                </c:pt>
                <c:pt idx="8">
                  <c:v>NOVEMBRO</c:v>
                </c:pt>
                <c:pt idx="9">
                  <c:v>DEZEMBRO</c:v>
                </c:pt>
              </c:strCache>
            </c:strRef>
          </c:cat>
          <c:val>
            <c:numRef>
              <c:f>TOTAL.GERAL!$K$15:$K$24</c:f>
              <c:numCache>
                <c:formatCode>_-"R$"* #,##0.00_-;\-"R$"* #,##0.00_-;_-"R$"* "-"??_-;_-@</c:formatCode>
                <c:ptCount val="10"/>
                <c:pt idx="0">
                  <c:v>0</c:v>
                </c:pt>
                <c:pt idx="1">
                  <c:v>80</c:v>
                </c:pt>
                <c:pt idx="2">
                  <c:v>275</c:v>
                </c:pt>
                <c:pt idx="3">
                  <c:v>160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9BE8-418B-AE70-52B52C1FA287}"/>
            </c:ext>
          </c:extLst>
        </c:ser>
        <c:ser>
          <c:idx val="2"/>
          <c:order val="2"/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TOTAL.GERAL!$H$15:$H$24</c:f>
              <c:strCache>
                <c:ptCount val="10"/>
                <c:pt idx="0">
                  <c:v>MARÇO</c:v>
                </c:pt>
                <c:pt idx="1">
                  <c:v>ABRIL</c:v>
                </c:pt>
                <c:pt idx="2">
                  <c:v>MAIO</c:v>
                </c:pt>
                <c:pt idx="3">
                  <c:v>JUNHO</c:v>
                </c:pt>
                <c:pt idx="4">
                  <c:v>JULHO</c:v>
                </c:pt>
                <c:pt idx="5">
                  <c:v>AGOSTO</c:v>
                </c:pt>
                <c:pt idx="6">
                  <c:v>SETEMBRO</c:v>
                </c:pt>
                <c:pt idx="7">
                  <c:v>OUTUBRO</c:v>
                </c:pt>
                <c:pt idx="8">
                  <c:v>NOVEMBRO</c:v>
                </c:pt>
                <c:pt idx="9">
                  <c:v>DEZEMBRO</c:v>
                </c:pt>
              </c:strCache>
            </c:strRef>
          </c:cat>
          <c:val>
            <c:numRef>
              <c:f>TOTAL.GERAL!$L$15:$L$24</c:f>
              <c:numCache>
                <c:formatCode>_-"R$"* #,##0.00_-;\-"R$"* #,##0.00_-;_-"R$"* "-"??_-;_-@</c:formatCode>
                <c:ptCount val="10"/>
                <c:pt idx="0">
                  <c:v>0</c:v>
                </c:pt>
                <c:pt idx="1">
                  <c:v>-19.900000000000006</c:v>
                </c:pt>
                <c:pt idx="2">
                  <c:v>176</c:v>
                </c:pt>
                <c:pt idx="3">
                  <c:v>48.5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9BE8-418B-AE70-52B52C1FA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5700217"/>
        <c:axId val="1892134171"/>
      </c:barChart>
      <c:catAx>
        <c:axId val="13957002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892134171"/>
        <c:crosses val="autoZero"/>
        <c:auto val="1"/>
        <c:lblAlgn val="ctr"/>
        <c:lblOffset val="100"/>
        <c:noMultiLvlLbl val="1"/>
      </c:catAx>
      <c:valAx>
        <c:axId val="189213417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_-&quot;R$&quot;* #,##0.00_-;\-&quot;R$&quot;* #,##0.00_-;_-&quot;R$&quot;* &quot;-&quot;??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395700217"/>
        <c:crosses val="autoZero"/>
        <c:crossBetween val="between"/>
      </c:valAx>
    </c:plotArea>
    <c:legend>
      <c:legendPos val="t"/>
      <c:overlay val="0"/>
      <c:txPr>
        <a:bodyPr/>
        <a:lstStyle/>
        <a:p>
          <a:pPr lvl="0">
            <a:defRPr sz="900" b="0" i="0">
              <a:solidFill>
                <a:schemeClr val="lt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800" b="1" i="0">
                <a:solidFill>
                  <a:schemeClr val="dk1"/>
                </a:solidFill>
                <a:latin typeface="+mn-lt"/>
              </a:defRPr>
            </a:pPr>
            <a:r>
              <a:rPr lang="pt-BR" sz="1800" b="1" i="0">
                <a:solidFill>
                  <a:schemeClr val="dk1"/>
                </a:solidFill>
                <a:latin typeface="+mn-lt"/>
              </a:rPr>
              <a:t>ESTATUAS QTD. PEÇAS NO ANO DE 2021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MARÇO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2E0-4889-AE4B-6C31E97125DC}"/>
            </c:ext>
          </c:extLst>
        </c:ser>
        <c:ser>
          <c:idx val="1"/>
          <c:order val="1"/>
          <c:tx>
            <c:v>ABRIL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42E0-4889-AE4B-6C31E97125DC}"/>
            </c:ext>
          </c:extLst>
        </c:ser>
        <c:ser>
          <c:idx val="2"/>
          <c:order val="2"/>
          <c:tx>
            <c:v>MAIO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TOTAL.GERAL!$I$17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42E0-4889-AE4B-6C31E97125DC}"/>
            </c:ext>
          </c:extLst>
        </c:ser>
        <c:ser>
          <c:idx val="3"/>
          <c:order val="3"/>
          <c:tx>
            <c:v>JUNHO</c:v>
          </c:tx>
          <c:spPr>
            <a:solidFill>
              <a:srgbClr val="FFC000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TOTAL.GERAL!$I$18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3-42E0-4889-AE4B-6C31E97125DC}"/>
            </c:ext>
          </c:extLst>
        </c:ser>
        <c:ser>
          <c:idx val="4"/>
          <c:order val="4"/>
          <c:tx>
            <c:v>JULHO</c:v>
          </c:tx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4-42E0-4889-AE4B-6C31E97125DC}"/>
            </c:ext>
          </c:extLst>
        </c:ser>
        <c:ser>
          <c:idx val="5"/>
          <c:order val="5"/>
          <c:tx>
            <c:v>AGOSTO</c:v>
          </c:tx>
          <c:spPr>
            <a:solidFill>
              <a:srgbClr val="70AD47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5-42E0-4889-AE4B-6C31E97125DC}"/>
            </c:ext>
          </c:extLst>
        </c:ser>
        <c:ser>
          <c:idx val="6"/>
          <c:order val="6"/>
          <c:tx>
            <c:v>SETEMBRO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6-42E0-4889-AE4B-6C31E97125DC}"/>
            </c:ext>
          </c:extLst>
        </c:ser>
        <c:ser>
          <c:idx val="7"/>
          <c:order val="7"/>
          <c:tx>
            <c:v>OUTUBRO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7-42E0-4889-AE4B-6C31E97125DC}"/>
            </c:ext>
          </c:extLst>
        </c:ser>
        <c:ser>
          <c:idx val="8"/>
          <c:order val="8"/>
          <c:tx>
            <c:v>NOVEMBRO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42E0-4889-AE4B-6C31E97125DC}"/>
            </c:ext>
          </c:extLst>
        </c:ser>
        <c:ser>
          <c:idx val="9"/>
          <c:order val="9"/>
          <c:tx>
            <c:v>DEZEMBRO</c:v>
          </c:tx>
          <c:spPr>
            <a:solidFill>
              <a:srgbClr val="FFC000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9-42E0-4889-AE4B-6C31E971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4788142"/>
        <c:axId val="1244030144"/>
      </c:barChart>
      <c:catAx>
        <c:axId val="161478814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pt-BR"/>
          </a:p>
        </c:txPr>
        <c:crossAx val="1244030144"/>
        <c:crosses val="autoZero"/>
        <c:auto val="1"/>
        <c:lblAlgn val="ctr"/>
        <c:lblOffset val="100"/>
        <c:noMultiLvlLbl val="1"/>
      </c:catAx>
      <c:valAx>
        <c:axId val="124403014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1614788142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chemeClr val="dk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lt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800" b="1" i="0">
                <a:solidFill>
                  <a:schemeClr val="dk1"/>
                </a:solidFill>
                <a:latin typeface="+mn-lt"/>
              </a:defRPr>
            </a:pPr>
            <a:r>
              <a:rPr sz="1800" b="1" i="0">
                <a:solidFill>
                  <a:schemeClr val="dk1"/>
                </a:solidFill>
                <a:latin typeface="+mn-lt"/>
              </a:rPr>
              <a:t>MANGÁ QTD. PEÇAS NO ANO DE 2022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JANEIRO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TOTAL.GERAL!$O$29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29E-41C0-B443-36F24ACA3671}"/>
            </c:ext>
          </c:extLst>
        </c:ser>
        <c:ser>
          <c:idx val="1"/>
          <c:order val="1"/>
          <c:tx>
            <c:v>FEVEREIRO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TOTAL.GERAL!$O$30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929E-41C0-B443-36F24ACA3671}"/>
            </c:ext>
          </c:extLst>
        </c:ser>
        <c:ser>
          <c:idx val="2"/>
          <c:order val="2"/>
          <c:tx>
            <c:v>MARÇO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TOTAL.GERAL!$O$31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929E-41C0-B443-36F24ACA3671}"/>
            </c:ext>
          </c:extLst>
        </c:ser>
        <c:ser>
          <c:idx val="3"/>
          <c:order val="3"/>
          <c:tx>
            <c:v>ABRIL</c:v>
          </c:tx>
          <c:spPr>
            <a:solidFill>
              <a:srgbClr val="FFC000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TOTAL.GERAL!$O$32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3-929E-41C0-B443-36F24ACA3671}"/>
            </c:ext>
          </c:extLst>
        </c:ser>
        <c:ser>
          <c:idx val="4"/>
          <c:order val="4"/>
          <c:tx>
            <c:v>MAIO</c:v>
          </c:tx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TOTAL.GERAL!$O$33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4-929E-41C0-B443-36F24ACA3671}"/>
            </c:ext>
          </c:extLst>
        </c:ser>
        <c:ser>
          <c:idx val="5"/>
          <c:order val="5"/>
          <c:tx>
            <c:v>JUNHO</c:v>
          </c:tx>
          <c:spPr>
            <a:solidFill>
              <a:srgbClr val="70AD47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TOTAL.GERAL!$O$34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5-929E-41C0-B443-36F24ACA3671}"/>
            </c:ext>
          </c:extLst>
        </c:ser>
        <c:ser>
          <c:idx val="6"/>
          <c:order val="6"/>
          <c:tx>
            <c:strRef>
              <c:f>TOTAL.GERAL!$N$35</c:f>
              <c:strCache>
                <c:ptCount val="1"/>
                <c:pt idx="0">
                  <c:v>JULHO</c:v>
                </c:pt>
              </c:strCache>
            </c:strRef>
          </c:tx>
          <c:invertIfNegative val="1"/>
          <c:val>
            <c:numRef>
              <c:f>TOTAL.GERAL!$O$35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929E-41C0-B443-36F24ACA3671}"/>
            </c:ext>
          </c:extLst>
        </c:ser>
        <c:ser>
          <c:idx val="7"/>
          <c:order val="7"/>
          <c:tx>
            <c:strRef>
              <c:f>TOTAL.GERAL!$N$36</c:f>
              <c:strCache>
                <c:ptCount val="1"/>
                <c:pt idx="0">
                  <c:v>AGOSTO</c:v>
                </c:pt>
              </c:strCache>
            </c:strRef>
          </c:tx>
          <c:invertIfNegative val="1"/>
          <c:val>
            <c:numRef>
              <c:f>TOTAL.GERAL!$O$36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929E-41C0-B443-36F24ACA3671}"/>
            </c:ext>
          </c:extLst>
        </c:ser>
        <c:ser>
          <c:idx val="8"/>
          <c:order val="8"/>
          <c:tx>
            <c:strRef>
              <c:f>TOTAL.GERAL!$N$37</c:f>
              <c:strCache>
                <c:ptCount val="1"/>
                <c:pt idx="0">
                  <c:v>SETEMBRO</c:v>
                </c:pt>
              </c:strCache>
            </c:strRef>
          </c:tx>
          <c:invertIfNegative val="1"/>
          <c:val>
            <c:numRef>
              <c:f>TOTAL.GERAL!$O$37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929E-41C0-B443-36F24ACA3671}"/>
            </c:ext>
          </c:extLst>
        </c:ser>
        <c:ser>
          <c:idx val="9"/>
          <c:order val="9"/>
          <c:tx>
            <c:strRef>
              <c:f>TOTAL.GERAL!$N$38</c:f>
              <c:strCache>
                <c:ptCount val="1"/>
                <c:pt idx="0">
                  <c:v>OUTUBRO</c:v>
                </c:pt>
              </c:strCache>
            </c:strRef>
          </c:tx>
          <c:invertIfNegative val="1"/>
          <c:val>
            <c:numRef>
              <c:f>TOTAL.GERAL!$O$38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929E-41C0-B443-36F24ACA3671}"/>
            </c:ext>
          </c:extLst>
        </c:ser>
        <c:ser>
          <c:idx val="10"/>
          <c:order val="10"/>
          <c:tx>
            <c:strRef>
              <c:f>TOTAL.GERAL!$N$39</c:f>
              <c:strCache>
                <c:ptCount val="1"/>
                <c:pt idx="0">
                  <c:v>NOVEMBRO</c:v>
                </c:pt>
              </c:strCache>
            </c:strRef>
          </c:tx>
          <c:invertIfNegative val="1"/>
          <c:val>
            <c:numRef>
              <c:f>TOTAL.GERAL!$O$39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929E-41C0-B443-36F24ACA3671}"/>
            </c:ext>
          </c:extLst>
        </c:ser>
        <c:ser>
          <c:idx val="11"/>
          <c:order val="11"/>
          <c:tx>
            <c:strRef>
              <c:f>TOTAL.GERAL!$N$40</c:f>
              <c:strCache>
                <c:ptCount val="1"/>
                <c:pt idx="0">
                  <c:v>DEZEMBRO</c:v>
                </c:pt>
              </c:strCache>
            </c:strRef>
          </c:tx>
          <c:invertIfNegative val="1"/>
          <c:val>
            <c:numRef>
              <c:f>TOTAL.GERAL!$O$40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929E-41C0-B443-36F24ACA3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5006482"/>
        <c:axId val="1942060471"/>
      </c:barChart>
      <c:catAx>
        <c:axId val="17500648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pt-BR"/>
          </a:p>
        </c:txPr>
        <c:crossAx val="1942060471"/>
        <c:crosses val="autoZero"/>
        <c:auto val="1"/>
        <c:lblAlgn val="ctr"/>
        <c:lblOffset val="100"/>
        <c:noMultiLvlLbl val="1"/>
      </c:catAx>
      <c:valAx>
        <c:axId val="194206047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175006482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chemeClr val="dk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lt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400" b="1" i="0">
                <a:solidFill>
                  <a:schemeClr val="lt1"/>
                </a:solidFill>
                <a:latin typeface="+mn-lt"/>
              </a:defRPr>
            </a:pPr>
            <a:r>
              <a:rPr lang="pt-BR" sz="1400" b="1" i="0">
                <a:solidFill>
                  <a:schemeClr val="lt1"/>
                </a:solidFill>
                <a:latin typeface="+mn-lt"/>
              </a:rPr>
              <a:t>MANGÁ EM RELA NO ANO DE 2022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TOTAL.GERAL!$N$29:$N$40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TOTAL.GERAL!$P$29:$P$40</c:f>
              <c:numCache>
                <c:formatCode>_-"R$"* #,##0.00_-;\-"R$"* #,##0.00_-;_-"R$"* "-"??_-;_-@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49.9</c:v>
                </c:pt>
                <c:pt idx="4">
                  <c:v>499.79000000000013</c:v>
                </c:pt>
                <c:pt idx="5">
                  <c:v>189.4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FDD6-4BD9-AACD-835AC22E0330}"/>
            </c:ext>
          </c:extLst>
        </c:ser>
        <c:ser>
          <c:idx val="1"/>
          <c:order val="1"/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TOTAL.GERAL!$N$29:$N$40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TOTAL.GERAL!$Q$29:$Q$40</c:f>
              <c:numCache>
                <c:formatCode>_-"R$"* #,##0.00_-;\-"R$"* #,##0.00_-;_-"R$"* "-"??_-;_-@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49.9</c:v>
                </c:pt>
                <c:pt idx="4">
                  <c:v>666.41999999999973</c:v>
                </c:pt>
                <c:pt idx="5">
                  <c:v>239.4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FDD6-4BD9-AACD-835AC22E0330}"/>
            </c:ext>
          </c:extLst>
        </c:ser>
        <c:ser>
          <c:idx val="2"/>
          <c:order val="2"/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TOTAL.GERAL!$N$29:$N$40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TOTAL.GERAL!$R$29:$R$40</c:f>
              <c:numCache>
                <c:formatCode>_-"R$"* #,##0.00_-;\-"R$"* #,##0.00_-;_-"R$"* "-"??_-;_-@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166.62999999999991</c:v>
                </c:pt>
                <c:pt idx="5">
                  <c:v>50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FDD6-4BD9-AACD-835AC22E0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445994"/>
        <c:axId val="1055845888"/>
      </c:barChart>
      <c:catAx>
        <c:axId val="136644599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055845888"/>
        <c:crosses val="autoZero"/>
        <c:auto val="1"/>
        <c:lblAlgn val="ctr"/>
        <c:lblOffset val="100"/>
        <c:noMultiLvlLbl val="1"/>
      </c:catAx>
      <c:valAx>
        <c:axId val="105584588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_-&quot;R$&quot;* #,##0.00_-;\-&quot;R$&quot;* #,##0.00_-;_-&quot;R$&quot;* &quot;-&quot;??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366445994"/>
        <c:crosses val="autoZero"/>
        <c:crossBetween val="between"/>
      </c:valAx>
    </c:plotArea>
    <c:legend>
      <c:legendPos val="t"/>
      <c:overlay val="0"/>
      <c:txPr>
        <a:bodyPr/>
        <a:lstStyle/>
        <a:p>
          <a:pPr lvl="0">
            <a:defRPr sz="900" b="0" i="0">
              <a:solidFill>
                <a:schemeClr val="lt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800" b="1" i="0">
                <a:solidFill>
                  <a:schemeClr val="dk1"/>
                </a:solidFill>
                <a:latin typeface="+mn-lt"/>
              </a:defRPr>
            </a:pPr>
            <a:r>
              <a:rPr lang="pt-BR" sz="1800" b="1" i="0">
                <a:solidFill>
                  <a:schemeClr val="dk1"/>
                </a:solidFill>
                <a:latin typeface="+mn-lt"/>
              </a:rPr>
              <a:t>ESTATUAS QTD. PEÇAS NO ANO DE 2022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JANEIRO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829F-4DD2-A182-82FA836F455A}"/>
            </c:ext>
          </c:extLst>
        </c:ser>
        <c:ser>
          <c:idx val="1"/>
          <c:order val="1"/>
          <c:tx>
            <c:v>FEVEREIRO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829F-4DD2-A182-82FA836F455A}"/>
            </c:ext>
          </c:extLst>
        </c:ser>
        <c:ser>
          <c:idx val="2"/>
          <c:order val="2"/>
          <c:tx>
            <c:v>MARÇO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TOTAL.GERAL!$I$31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829F-4DD2-A182-82FA836F455A}"/>
            </c:ext>
          </c:extLst>
        </c:ser>
        <c:ser>
          <c:idx val="3"/>
          <c:order val="3"/>
          <c:tx>
            <c:v>ABRIL</c:v>
          </c:tx>
          <c:spPr>
            <a:solidFill>
              <a:srgbClr val="FFC000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TOTAL.GERAL!$I$32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3-829F-4DD2-A182-82FA836F455A}"/>
            </c:ext>
          </c:extLst>
        </c:ser>
        <c:ser>
          <c:idx val="4"/>
          <c:order val="4"/>
          <c:tx>
            <c:v>MAIO</c:v>
          </c:tx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TOTAL.GERAL!$I$33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4-829F-4DD2-A182-82FA836F455A}"/>
            </c:ext>
          </c:extLst>
        </c:ser>
        <c:ser>
          <c:idx val="5"/>
          <c:order val="5"/>
          <c:tx>
            <c:v>JUNHO</c:v>
          </c:tx>
          <c:spPr>
            <a:solidFill>
              <a:srgbClr val="70AD47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TOTAL.GERAL!$I$34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5-829F-4DD2-A182-82FA836F455A}"/>
            </c:ext>
          </c:extLst>
        </c:ser>
        <c:ser>
          <c:idx val="6"/>
          <c:order val="6"/>
          <c:tx>
            <c:strRef>
              <c:f>TOTAL.GERAL!$H$35</c:f>
              <c:strCache>
                <c:ptCount val="1"/>
                <c:pt idx="0">
                  <c:v>JULHO</c:v>
                </c:pt>
              </c:strCache>
            </c:strRef>
          </c:tx>
          <c:invertIfNegative val="1"/>
          <c:val>
            <c:numRef>
              <c:f>TOTAL.GERAL!$I$35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829F-4DD2-A182-82FA836F455A}"/>
            </c:ext>
          </c:extLst>
        </c:ser>
        <c:ser>
          <c:idx val="7"/>
          <c:order val="7"/>
          <c:tx>
            <c:strRef>
              <c:f>TOTAL.GERAL!$H$36</c:f>
              <c:strCache>
                <c:ptCount val="1"/>
                <c:pt idx="0">
                  <c:v>AGOSTO</c:v>
                </c:pt>
              </c:strCache>
            </c:strRef>
          </c:tx>
          <c:invertIfNegative val="1"/>
          <c:val>
            <c:numRef>
              <c:f>TOTAL.GERAL!$I$36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829F-4DD2-A182-82FA836F455A}"/>
            </c:ext>
          </c:extLst>
        </c:ser>
        <c:ser>
          <c:idx val="8"/>
          <c:order val="8"/>
          <c:tx>
            <c:strRef>
              <c:f>TOTAL.GERAL!$H$37</c:f>
              <c:strCache>
                <c:ptCount val="1"/>
                <c:pt idx="0">
                  <c:v>SETEMBRO</c:v>
                </c:pt>
              </c:strCache>
            </c:strRef>
          </c:tx>
          <c:invertIfNegative val="1"/>
          <c:val>
            <c:numRef>
              <c:f>TOTAL.GERAL!$I$37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829F-4DD2-A182-82FA836F455A}"/>
            </c:ext>
          </c:extLst>
        </c:ser>
        <c:ser>
          <c:idx val="9"/>
          <c:order val="9"/>
          <c:tx>
            <c:strRef>
              <c:f>TOTAL.GERAL!$H$38</c:f>
              <c:strCache>
                <c:ptCount val="1"/>
                <c:pt idx="0">
                  <c:v>OUTUBRO</c:v>
                </c:pt>
              </c:strCache>
            </c:strRef>
          </c:tx>
          <c:invertIfNegative val="1"/>
          <c:val>
            <c:numRef>
              <c:f>TOTAL.GERAL!$I$38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829F-4DD2-A182-82FA836F455A}"/>
            </c:ext>
          </c:extLst>
        </c:ser>
        <c:ser>
          <c:idx val="10"/>
          <c:order val="10"/>
          <c:tx>
            <c:strRef>
              <c:f>TOTAL.GERAL!$H$39</c:f>
              <c:strCache>
                <c:ptCount val="1"/>
                <c:pt idx="0">
                  <c:v>NOVEMBRO</c:v>
                </c:pt>
              </c:strCache>
            </c:strRef>
          </c:tx>
          <c:invertIfNegative val="1"/>
          <c:val>
            <c:numRef>
              <c:f>TOTAL.GERAL!$I$39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829F-4DD2-A182-82FA836F455A}"/>
            </c:ext>
          </c:extLst>
        </c:ser>
        <c:ser>
          <c:idx val="11"/>
          <c:order val="11"/>
          <c:tx>
            <c:strRef>
              <c:f>TOTAL.GERAL!$H$40</c:f>
              <c:strCache>
                <c:ptCount val="1"/>
                <c:pt idx="0">
                  <c:v>DEZEMBRO</c:v>
                </c:pt>
              </c:strCache>
            </c:strRef>
          </c:tx>
          <c:invertIfNegative val="1"/>
          <c:val>
            <c:numRef>
              <c:f>TOTAL.GERAL!$I$40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829F-4DD2-A182-82FA836F4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3780566"/>
        <c:axId val="1170352451"/>
      </c:barChart>
      <c:catAx>
        <c:axId val="41378056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pt-BR"/>
          </a:p>
        </c:txPr>
        <c:crossAx val="1170352451"/>
        <c:crosses val="autoZero"/>
        <c:auto val="1"/>
        <c:lblAlgn val="ctr"/>
        <c:lblOffset val="100"/>
        <c:noMultiLvlLbl val="1"/>
      </c:catAx>
      <c:valAx>
        <c:axId val="117035245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413780566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chemeClr val="dk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lt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400" b="1" i="0">
                <a:solidFill>
                  <a:schemeClr val="lt1"/>
                </a:solidFill>
                <a:latin typeface="+mn-lt"/>
              </a:defRPr>
            </a:pPr>
            <a:r>
              <a:rPr lang="pt-BR" sz="1400" b="1" i="0">
                <a:solidFill>
                  <a:schemeClr val="lt1"/>
                </a:solidFill>
                <a:latin typeface="+mn-lt"/>
              </a:rPr>
              <a:t>ESTATUAS EM RELA NO ANO DE 2022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VALOR COMPRA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TOTAL.GERAL!$H$29:$H$40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TOTAL.GERAL!$J$29:$J$40</c:f>
              <c:numCache>
                <c:formatCode>_-"R$"* #,##0.00_-;\-"R$"* #,##0.00_-;_-"R$"* "-"??_-;_-@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14</c:v>
                </c:pt>
                <c:pt idx="3">
                  <c:v>239.9</c:v>
                </c:pt>
                <c:pt idx="4">
                  <c:v>675.8</c:v>
                </c:pt>
                <c:pt idx="5">
                  <c:v>534.79999999999995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086-4C2A-B277-BE4F7ED6FAD8}"/>
            </c:ext>
          </c:extLst>
        </c:ser>
        <c:ser>
          <c:idx val="1"/>
          <c:order val="1"/>
          <c:tx>
            <c:v>VALOR VENDA</c:v>
          </c:tx>
          <c:spPr>
            <a:solidFill>
              <a:srgbClr val="ED7D31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TOTAL.GERAL!$H$29:$H$40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TOTAL.GERAL!$K$29:$K$40</c:f>
              <c:numCache>
                <c:formatCode>_-"R$"* #,##0.00_-;\-"R$"* #,##0.00_-;_-"R$"* "-"??_-;_-@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20</c:v>
                </c:pt>
                <c:pt idx="3">
                  <c:v>280</c:v>
                </c:pt>
                <c:pt idx="4">
                  <c:v>768.9</c:v>
                </c:pt>
                <c:pt idx="5">
                  <c:v>539.79999999999995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4086-4C2A-B277-BE4F7ED6FAD8}"/>
            </c:ext>
          </c:extLst>
        </c:ser>
        <c:ser>
          <c:idx val="2"/>
          <c:order val="2"/>
          <c:tx>
            <c:v>MEDIA P/N</c:v>
          </c:tx>
          <c:spPr>
            <a:solidFill>
              <a:srgbClr val="A5A5A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0" i="0">
                    <a:solidFill>
                      <a:srgbClr val="FFFFFF"/>
                    </a:solidFill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TOTAL.GERAL!$H$29:$H$40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TOTAL.GERAL!$L$29:$L$40</c:f>
              <c:numCache>
                <c:formatCode>_-"R$"* #,##0.00_-;\-"R$"* #,##0.00_-;_-"R$"* "-"??_-;_-@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40.099999999999994</c:v>
                </c:pt>
                <c:pt idx="4">
                  <c:v>93.099999999999966</c:v>
                </c:pt>
                <c:pt idx="5">
                  <c:v>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4086-4C2A-B277-BE4F7ED6F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7458355"/>
        <c:axId val="1176409721"/>
      </c:barChart>
      <c:catAx>
        <c:axId val="7874583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1176409721"/>
        <c:crosses val="autoZero"/>
        <c:auto val="1"/>
        <c:lblAlgn val="ctr"/>
        <c:lblOffset val="100"/>
        <c:noMultiLvlLbl val="1"/>
      </c:catAx>
      <c:valAx>
        <c:axId val="117640972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_-&quot;R$&quot;* #,##0.00_-;\-&quot;R$&quot;* #,##0.00_-;_-&quot;R$&quot;* &quot;-&quot;??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pt-BR"/>
          </a:p>
        </c:txPr>
        <c:crossAx val="787458355"/>
        <c:crosses val="autoZero"/>
        <c:crossBetween val="between"/>
      </c:valAx>
    </c:plotArea>
    <c:legend>
      <c:legendPos val="t"/>
      <c:overlay val="0"/>
      <c:txPr>
        <a:bodyPr/>
        <a:lstStyle/>
        <a:p>
          <a:pPr lvl="0">
            <a:defRPr sz="900" b="0" i="0">
              <a:solidFill>
                <a:schemeClr val="lt1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chemeClr val="dk1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10" Type="http://schemas.openxmlformats.org/officeDocument/2006/relationships/chart" Target="../charts/chart22.xml"/><Relationship Id="rId4" Type="http://schemas.openxmlformats.org/officeDocument/2006/relationships/chart" Target="../charts/chart16.xml"/><Relationship Id="rId9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95250</xdr:colOff>
      <xdr:row>1</xdr:row>
      <xdr:rowOff>0</xdr:rowOff>
    </xdr:from>
    <xdr:ext cx="4610100" cy="2933700"/>
    <xdr:graphicFrame macro="">
      <xdr:nvGraphicFramePr>
        <xdr:cNvPr id="2084239193" name="Chart 1">
          <a:extLst>
            <a:ext uri="{FF2B5EF4-FFF2-40B4-BE49-F238E27FC236}">
              <a16:creationId xmlns:a16="http://schemas.microsoft.com/office/drawing/2014/main" id="{00000000-0008-0000-0100-000059F73A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28575</xdr:colOff>
      <xdr:row>1</xdr:row>
      <xdr:rowOff>19050</xdr:rowOff>
    </xdr:from>
    <xdr:ext cx="4591050" cy="2924175"/>
    <xdr:graphicFrame macro="">
      <xdr:nvGraphicFramePr>
        <xdr:cNvPr id="574782913" name="Chart 2">
          <a:extLst>
            <a:ext uri="{FF2B5EF4-FFF2-40B4-BE49-F238E27FC236}">
              <a16:creationId xmlns:a16="http://schemas.microsoft.com/office/drawing/2014/main" id="{00000000-0008-0000-0100-0000C17D42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19050</xdr:colOff>
      <xdr:row>1</xdr:row>
      <xdr:rowOff>9525</xdr:rowOff>
    </xdr:from>
    <xdr:ext cx="4591050" cy="2943225"/>
    <xdr:graphicFrame macro="">
      <xdr:nvGraphicFramePr>
        <xdr:cNvPr id="1465312118" name="Chart 3">
          <a:extLst>
            <a:ext uri="{FF2B5EF4-FFF2-40B4-BE49-F238E27FC236}">
              <a16:creationId xmlns:a16="http://schemas.microsoft.com/office/drawing/2014/main" id="{00000000-0008-0000-0100-000076E356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28</xdr:col>
      <xdr:colOff>38100</xdr:colOff>
      <xdr:row>17</xdr:row>
      <xdr:rowOff>28575</xdr:rowOff>
    </xdr:from>
    <xdr:ext cx="4600575" cy="2924175"/>
    <xdr:graphicFrame macro="">
      <xdr:nvGraphicFramePr>
        <xdr:cNvPr id="1438239106" name="Chart 4">
          <a:extLst>
            <a:ext uri="{FF2B5EF4-FFF2-40B4-BE49-F238E27FC236}">
              <a16:creationId xmlns:a16="http://schemas.microsoft.com/office/drawing/2014/main" id="{00000000-0008-0000-0100-000082C9B9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1</xdr:col>
      <xdr:colOff>57150</xdr:colOff>
      <xdr:row>17</xdr:row>
      <xdr:rowOff>19050</xdr:rowOff>
    </xdr:from>
    <xdr:ext cx="4591050" cy="2943225"/>
    <xdr:graphicFrame macro="">
      <xdr:nvGraphicFramePr>
        <xdr:cNvPr id="1214077659" name="Chart 5">
          <a:extLst>
            <a:ext uri="{FF2B5EF4-FFF2-40B4-BE49-F238E27FC236}">
              <a16:creationId xmlns:a16="http://schemas.microsoft.com/office/drawing/2014/main" id="{00000000-0008-0000-0100-0000DB5A5D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10</xdr:col>
      <xdr:colOff>47625</xdr:colOff>
      <xdr:row>17</xdr:row>
      <xdr:rowOff>28575</xdr:rowOff>
    </xdr:from>
    <xdr:ext cx="4610100" cy="2905125"/>
    <xdr:graphicFrame macro="">
      <xdr:nvGraphicFramePr>
        <xdr:cNvPr id="320729244" name="Chart 6">
          <a:extLst>
            <a:ext uri="{FF2B5EF4-FFF2-40B4-BE49-F238E27FC236}">
              <a16:creationId xmlns:a16="http://schemas.microsoft.com/office/drawing/2014/main" id="{00000000-0008-0000-0100-00009CF01D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19</xdr:col>
      <xdr:colOff>28575</xdr:colOff>
      <xdr:row>17</xdr:row>
      <xdr:rowOff>19050</xdr:rowOff>
    </xdr:from>
    <xdr:ext cx="4619625" cy="2924175"/>
    <xdr:graphicFrame macro="">
      <xdr:nvGraphicFramePr>
        <xdr:cNvPr id="518090598" name="Chart 7">
          <a:extLst>
            <a:ext uri="{FF2B5EF4-FFF2-40B4-BE49-F238E27FC236}">
              <a16:creationId xmlns:a16="http://schemas.microsoft.com/office/drawing/2014/main" id="{00000000-0008-0000-0100-0000666FE1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oneCellAnchor>
  <xdr:oneCellAnchor>
    <xdr:from>
      <xdr:col>28</xdr:col>
      <xdr:colOff>28575</xdr:colOff>
      <xdr:row>1</xdr:row>
      <xdr:rowOff>38100</xdr:rowOff>
    </xdr:from>
    <xdr:ext cx="4533900" cy="2924175"/>
    <xdr:graphicFrame macro="">
      <xdr:nvGraphicFramePr>
        <xdr:cNvPr id="1451853067" name="Chart 8">
          <a:extLst>
            <a:ext uri="{FF2B5EF4-FFF2-40B4-BE49-F238E27FC236}">
              <a16:creationId xmlns:a16="http://schemas.microsoft.com/office/drawing/2014/main" id="{00000000-0008-0000-0100-00000B8589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oneCellAnchor>
  <xdr:oneCellAnchor>
    <xdr:from>
      <xdr:col>1</xdr:col>
      <xdr:colOff>38100</xdr:colOff>
      <xdr:row>33</xdr:row>
      <xdr:rowOff>19050</xdr:rowOff>
    </xdr:from>
    <xdr:ext cx="9439275" cy="2943225"/>
    <xdr:graphicFrame macro="">
      <xdr:nvGraphicFramePr>
        <xdr:cNvPr id="1125780753" name="Chart 9">
          <a:extLst>
            <a:ext uri="{FF2B5EF4-FFF2-40B4-BE49-F238E27FC236}">
              <a16:creationId xmlns:a16="http://schemas.microsoft.com/office/drawing/2014/main" id="{00000000-0008-0000-0100-0000110D1A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oneCellAnchor>
  <xdr:oneCellAnchor>
    <xdr:from>
      <xdr:col>19</xdr:col>
      <xdr:colOff>47625</xdr:colOff>
      <xdr:row>33</xdr:row>
      <xdr:rowOff>28575</xdr:rowOff>
    </xdr:from>
    <xdr:ext cx="4562475" cy="2914650"/>
    <xdr:graphicFrame macro="">
      <xdr:nvGraphicFramePr>
        <xdr:cNvPr id="323467082" name="Chart 10">
          <a:extLst>
            <a:ext uri="{FF2B5EF4-FFF2-40B4-BE49-F238E27FC236}">
              <a16:creationId xmlns:a16="http://schemas.microsoft.com/office/drawing/2014/main" id="{00000000-0008-0000-0100-00004AB747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oneCellAnchor>
  <xdr:oneCellAnchor>
    <xdr:from>
      <xdr:col>19</xdr:col>
      <xdr:colOff>47625</xdr:colOff>
      <xdr:row>49</xdr:row>
      <xdr:rowOff>19050</xdr:rowOff>
    </xdr:from>
    <xdr:ext cx="4581525" cy="2933700"/>
    <xdr:graphicFrame macro="">
      <xdr:nvGraphicFramePr>
        <xdr:cNvPr id="1849060507" name="Chart 11">
          <a:extLst>
            <a:ext uri="{FF2B5EF4-FFF2-40B4-BE49-F238E27FC236}">
              <a16:creationId xmlns:a16="http://schemas.microsoft.com/office/drawing/2014/main" id="{00000000-0008-0000-0100-00009B6C36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oneCellAnchor>
  <xdr:oneCellAnchor>
    <xdr:from>
      <xdr:col>1</xdr:col>
      <xdr:colOff>38100</xdr:colOff>
      <xdr:row>49</xdr:row>
      <xdr:rowOff>28575</xdr:rowOff>
    </xdr:from>
    <xdr:ext cx="9420225" cy="2933700"/>
    <xdr:graphicFrame macro="">
      <xdr:nvGraphicFramePr>
        <xdr:cNvPr id="1991974214" name="Chart 12">
          <a:extLst>
            <a:ext uri="{FF2B5EF4-FFF2-40B4-BE49-F238E27FC236}">
              <a16:creationId xmlns:a16="http://schemas.microsoft.com/office/drawing/2014/main" id="{00000000-0008-0000-0100-0000461DBB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28575</xdr:colOff>
      <xdr:row>1</xdr:row>
      <xdr:rowOff>19050</xdr:rowOff>
    </xdr:from>
    <xdr:ext cx="9829800" cy="2952750"/>
    <xdr:graphicFrame macro="">
      <xdr:nvGraphicFramePr>
        <xdr:cNvPr id="1083307523" name="Chart 13">
          <a:extLst>
            <a:ext uri="{FF2B5EF4-FFF2-40B4-BE49-F238E27FC236}">
              <a16:creationId xmlns:a16="http://schemas.microsoft.com/office/drawing/2014/main" id="{00000000-0008-0000-0200-000003F691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19</xdr:col>
      <xdr:colOff>28575</xdr:colOff>
      <xdr:row>1</xdr:row>
      <xdr:rowOff>9525</xdr:rowOff>
    </xdr:from>
    <xdr:ext cx="4581525" cy="2933700"/>
    <xdr:graphicFrame macro="">
      <xdr:nvGraphicFramePr>
        <xdr:cNvPr id="1648040339" name="Chart 14">
          <a:extLst>
            <a:ext uri="{FF2B5EF4-FFF2-40B4-BE49-F238E27FC236}">
              <a16:creationId xmlns:a16="http://schemas.microsoft.com/office/drawing/2014/main" id="{00000000-0008-0000-0200-000093193B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</xdr:col>
      <xdr:colOff>28575</xdr:colOff>
      <xdr:row>17</xdr:row>
      <xdr:rowOff>9525</xdr:rowOff>
    </xdr:from>
    <xdr:ext cx="9839325" cy="2943225"/>
    <xdr:graphicFrame macro="">
      <xdr:nvGraphicFramePr>
        <xdr:cNvPr id="1632361480" name="Chart 15">
          <a:extLst>
            <a:ext uri="{FF2B5EF4-FFF2-40B4-BE49-F238E27FC236}">
              <a16:creationId xmlns:a16="http://schemas.microsoft.com/office/drawing/2014/main" id="{00000000-0008-0000-0200-000008DC4B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19</xdr:col>
      <xdr:colOff>38100</xdr:colOff>
      <xdr:row>17</xdr:row>
      <xdr:rowOff>9525</xdr:rowOff>
    </xdr:from>
    <xdr:ext cx="4581525" cy="2943225"/>
    <xdr:graphicFrame macro="">
      <xdr:nvGraphicFramePr>
        <xdr:cNvPr id="1611545646" name="Chart 16">
          <a:extLst>
            <a:ext uri="{FF2B5EF4-FFF2-40B4-BE49-F238E27FC236}">
              <a16:creationId xmlns:a16="http://schemas.microsoft.com/office/drawing/2014/main" id="{00000000-0008-0000-0200-00002E3C0E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28</xdr:col>
      <xdr:colOff>38100</xdr:colOff>
      <xdr:row>1</xdr:row>
      <xdr:rowOff>9525</xdr:rowOff>
    </xdr:from>
    <xdr:ext cx="9810750" cy="2943225"/>
    <xdr:graphicFrame macro="">
      <xdr:nvGraphicFramePr>
        <xdr:cNvPr id="1518426134" name="Chart 17">
          <a:extLst>
            <a:ext uri="{FF2B5EF4-FFF2-40B4-BE49-F238E27FC236}">
              <a16:creationId xmlns:a16="http://schemas.microsoft.com/office/drawing/2014/main" id="{00000000-0008-0000-0200-0000165881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46</xdr:col>
      <xdr:colOff>28575</xdr:colOff>
      <xdr:row>1</xdr:row>
      <xdr:rowOff>19050</xdr:rowOff>
    </xdr:from>
    <xdr:ext cx="4619625" cy="2933700"/>
    <xdr:graphicFrame macro="">
      <xdr:nvGraphicFramePr>
        <xdr:cNvPr id="1299421117" name="Chart 18">
          <a:extLst>
            <a:ext uri="{FF2B5EF4-FFF2-40B4-BE49-F238E27FC236}">
              <a16:creationId xmlns:a16="http://schemas.microsoft.com/office/drawing/2014/main" id="{00000000-0008-0000-0200-0000BD977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73</xdr:col>
      <xdr:colOff>28575</xdr:colOff>
      <xdr:row>17</xdr:row>
      <xdr:rowOff>19050</xdr:rowOff>
    </xdr:from>
    <xdr:ext cx="4572000" cy="2905125"/>
    <xdr:graphicFrame macro="">
      <xdr:nvGraphicFramePr>
        <xdr:cNvPr id="707663315" name="Chart 19">
          <a:extLst>
            <a:ext uri="{FF2B5EF4-FFF2-40B4-BE49-F238E27FC236}">
              <a16:creationId xmlns:a16="http://schemas.microsoft.com/office/drawing/2014/main" id="{00000000-0008-0000-0200-0000D3152E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oneCellAnchor>
  <xdr:oneCellAnchor>
    <xdr:from>
      <xdr:col>55</xdr:col>
      <xdr:colOff>19050</xdr:colOff>
      <xdr:row>16</xdr:row>
      <xdr:rowOff>180975</xdr:rowOff>
    </xdr:from>
    <xdr:ext cx="9820275" cy="2933700"/>
    <xdr:graphicFrame macro="">
      <xdr:nvGraphicFramePr>
        <xdr:cNvPr id="1452450462" name="Chart 20">
          <a:extLst>
            <a:ext uri="{FF2B5EF4-FFF2-40B4-BE49-F238E27FC236}">
              <a16:creationId xmlns:a16="http://schemas.microsoft.com/office/drawing/2014/main" id="{00000000-0008-0000-0200-00009EA292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oneCellAnchor>
  <xdr:oneCellAnchor>
    <xdr:from>
      <xdr:col>46</xdr:col>
      <xdr:colOff>28575</xdr:colOff>
      <xdr:row>17</xdr:row>
      <xdr:rowOff>19050</xdr:rowOff>
    </xdr:from>
    <xdr:ext cx="4619625" cy="2924175"/>
    <xdr:graphicFrame macro="">
      <xdr:nvGraphicFramePr>
        <xdr:cNvPr id="136639218" name="Chart 21">
          <a:extLst>
            <a:ext uri="{FF2B5EF4-FFF2-40B4-BE49-F238E27FC236}">
              <a16:creationId xmlns:a16="http://schemas.microsoft.com/office/drawing/2014/main" id="{00000000-0008-0000-0200-0000F2F224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oneCellAnchor>
  <xdr:oneCellAnchor>
    <xdr:from>
      <xdr:col>28</xdr:col>
      <xdr:colOff>19050</xdr:colOff>
      <xdr:row>17</xdr:row>
      <xdr:rowOff>19050</xdr:rowOff>
    </xdr:from>
    <xdr:ext cx="9858375" cy="2933700"/>
    <xdr:graphicFrame macro="">
      <xdr:nvGraphicFramePr>
        <xdr:cNvPr id="684253479" name="Chart 22">
          <a:extLst>
            <a:ext uri="{FF2B5EF4-FFF2-40B4-BE49-F238E27FC236}">
              <a16:creationId xmlns:a16="http://schemas.microsoft.com/office/drawing/2014/main" id="{00000000-0008-0000-0200-000027E1C8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D3:AF4">
  <tableColumns count="3">
    <tableColumn id="1" xr3:uid="{00000000-0010-0000-0000-000001000000}" name="TOTAL POPs"/>
    <tableColumn id="2" xr3:uid="{00000000-0010-0000-0000-000002000000}" name="TOTAL ESTATUAs"/>
    <tableColumn id="3" xr3:uid="{00000000-0010-0000-0000-000003000000}" name="TOTAL MANGÁs"/>
  </tableColumns>
  <tableStyleInfo name="TOTAL.GERAL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I3:L4">
  <tableColumns count="4">
    <tableColumn id="1" xr3:uid="{00000000-0010-0000-0100-000001000000}" name="PEÇAS"/>
    <tableColumn id="2" xr3:uid="{00000000-0010-0000-0100-000002000000}" name="VALOR COMPRA"/>
    <tableColumn id="3" xr3:uid="{00000000-0010-0000-0100-000003000000}" name="VALOR VENDA"/>
    <tableColumn id="4" xr3:uid="{00000000-0010-0000-0100-000004000000}" name="MEDIA P/N"/>
  </tableColumns>
  <tableStyleInfo name="TOTAL.GERAL-style 2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Z8:AB9">
  <tableColumns count="3">
    <tableColumn id="1" xr3:uid="{00000000-0010-0000-0200-000001000000}" name="TOTAL POPs"/>
    <tableColumn id="2" xr3:uid="{00000000-0010-0000-0200-000002000000}" name="TOTAL ESTATUAs"/>
    <tableColumn id="3" xr3:uid="{00000000-0010-0000-0200-000003000000}" name="TOTAL MANGÁs"/>
  </tableColumns>
  <tableStyleInfo name="TOTAL.GERAL-style 3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D8:AF9">
  <tableColumns count="3">
    <tableColumn id="1" xr3:uid="{00000000-0010-0000-0300-000001000000}" name="TOTAL POPs"/>
    <tableColumn id="2" xr3:uid="{00000000-0010-0000-0300-000002000000}" name="TOTAL ESTATUAs"/>
    <tableColumn id="3" xr3:uid="{00000000-0010-0000-0300-000003000000}" name="TOTAL MANGÁs"/>
  </tableColumns>
  <tableStyleInfo name="TOTAL.GERAL-style 4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_5" displayName="Table_5" ref="Z3:AB4">
  <tableColumns count="3">
    <tableColumn id="1" xr3:uid="{00000000-0010-0000-0400-000001000000}" name="TOTAL POPs"/>
    <tableColumn id="2" xr3:uid="{00000000-0010-0000-0400-000002000000}" name="TOTAL ESTATUAs"/>
    <tableColumn id="3" xr3:uid="{00000000-0010-0000-0400-000003000000}" name="TOTAL MANGÁs"/>
  </tableColumns>
  <tableStyleInfo name="TOTAL.GERAL-style 5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6" displayName="Table_6" ref="C3:F4">
  <tableColumns count="4">
    <tableColumn id="1" xr3:uid="{00000000-0010-0000-0500-000001000000}" name="PEÇAS"/>
    <tableColumn id="2" xr3:uid="{00000000-0010-0000-0500-000002000000}" name="VALOR COMPRA"/>
    <tableColumn id="3" xr3:uid="{00000000-0010-0000-0500-000003000000}" name="VALOR VENDA"/>
    <tableColumn id="4" xr3:uid="{00000000-0010-0000-0500-000004000000}" name="MEDIA P/N"/>
  </tableColumns>
  <tableStyleInfo name="TOTAL.GERAL-style 6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_7" displayName="Table_7" ref="U3:X4">
  <tableColumns count="4">
    <tableColumn id="1" xr3:uid="{00000000-0010-0000-0600-000001000000}" name="PEÇAS"/>
    <tableColumn id="2" xr3:uid="{00000000-0010-0000-0600-000002000000}" name="VALOR COMPRA"/>
    <tableColumn id="3" xr3:uid="{00000000-0010-0000-0600-000003000000}" name="VALOR VENDA"/>
    <tableColumn id="4" xr3:uid="{00000000-0010-0000-0600-000004000000}" name="MEDIA P/N"/>
  </tableColumns>
  <tableStyleInfo name="TOTAL.GERAL-style 7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_8" displayName="Table_8" ref="O3:R4">
  <tableColumns count="4">
    <tableColumn id="1" xr3:uid="{00000000-0010-0000-0700-000001000000}" name="PEÇAS"/>
    <tableColumn id="2" xr3:uid="{00000000-0010-0000-0700-000002000000}" name="VALOR COMPRA"/>
    <tableColumn id="3" xr3:uid="{00000000-0010-0000-0700-000003000000}" name="VALOR VENDA"/>
    <tableColumn id="4" xr3:uid="{00000000-0010-0000-0700-000004000000}" name="MEDIA P/N"/>
  </tableColumns>
  <tableStyleInfo name="TOTAL.GERAL-style 8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_9" displayName="Table_9" ref="B3:J45">
  <tableColumns count="9">
    <tableColumn id="1" xr3:uid="{00000000-0010-0000-0800-000001000000}" name="N° FUNKO"/>
    <tableColumn id="2" xr3:uid="{00000000-0010-0000-0800-000002000000}" name="PERSONAGUEM"/>
    <tableColumn id="3" xr3:uid="{00000000-0010-0000-0800-000003000000}" name="COLEÇÃO"/>
    <tableColumn id="4" xr3:uid="{00000000-0010-0000-0800-000004000000}" name="EXCLUSIVO"/>
    <tableColumn id="5" xr3:uid="{00000000-0010-0000-0800-000005000000}" name="FRANQUIA"/>
    <tableColumn id="6" xr3:uid="{00000000-0010-0000-0800-000006000000}" name="MÊS"/>
    <tableColumn id="7" xr3:uid="{00000000-0010-0000-0800-000007000000}" name="VALOR COMPRA"/>
    <tableColumn id="8" xr3:uid="{00000000-0010-0000-0800-000008000000}" name="VALOR VENDA"/>
    <tableColumn id="9" xr3:uid="{00000000-0010-0000-0800-000009000000}" name="MEDIA P/N"/>
  </tableColumns>
  <tableStyleInfo name="DADOS.GERAL-style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_10" displayName="Table_10" ref="L3:R41">
  <tableColumns count="7">
    <tableColumn id="1" xr3:uid="{00000000-0010-0000-0900-000001000000}" name="PERSONAGUEM"/>
    <tableColumn id="2" xr3:uid="{00000000-0010-0000-0900-000002000000}" name="COLEÇÃO"/>
    <tableColumn id="3" xr3:uid="{00000000-0010-0000-0900-000003000000}" name="FABRICANTE"/>
    <tableColumn id="4" xr3:uid="{00000000-0010-0000-0900-000004000000}" name="MÊS"/>
    <tableColumn id="5" xr3:uid="{00000000-0010-0000-0900-000005000000}" name="VALOR COMPRA"/>
    <tableColumn id="6" xr3:uid="{00000000-0010-0000-0900-000006000000}" name="VALOR VENDA"/>
    <tableColumn id="7" xr3:uid="{00000000-0010-0000-0900-000007000000}" name="MEDIA P/N"/>
  </tableColumns>
  <tableStyleInfo name="DADOS.GERAL-style 2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_11" displayName="Table_11" ref="T3:Y39">
  <tableColumns count="6">
    <tableColumn id="1" xr3:uid="{00000000-0010-0000-0A00-000001000000}" name="COLEÇÃO"/>
    <tableColumn id="2" xr3:uid="{00000000-0010-0000-0A00-000002000000}" name="VOLUME"/>
    <tableColumn id="3" xr3:uid="{00000000-0010-0000-0A00-000003000000}" name="MES"/>
    <tableColumn id="4" xr3:uid="{00000000-0010-0000-0A00-000004000000}" name="VALOR COMPRA"/>
    <tableColumn id="5" xr3:uid="{00000000-0010-0000-0A00-000005000000}" name="VALOR VENDA"/>
    <tableColumn id="6" xr3:uid="{00000000-0010-0000-0A00-000006000000}" name="MEDIA P/N"/>
  </tableColumns>
  <tableStyleInfo name="DADOS.GERAL-style 3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K1000"/>
  <sheetViews>
    <sheetView showGridLines="0" topLeftCell="A36" workbookViewId="0"/>
  </sheetViews>
  <sheetFormatPr defaultColWidth="14.42578125" defaultRowHeight="15" customHeight="1"/>
  <cols>
    <col min="1" max="1" width="2.7109375" style="31" customWidth="1"/>
    <col min="2" max="2" width="15.85546875" style="31" bestFit="1" customWidth="1"/>
    <col min="3" max="9" width="8.7109375" style="31" customWidth="1"/>
    <col min="10" max="10" width="2.7109375" style="31" customWidth="1"/>
    <col min="11" max="18" width="8.7109375" style="31" customWidth="1"/>
    <col min="19" max="19" width="2.7109375" style="31" customWidth="1"/>
    <col min="20" max="27" width="8.7109375" style="31" customWidth="1"/>
    <col min="28" max="28" width="2.7109375" style="31" customWidth="1"/>
    <col min="29" max="36" width="8.7109375" style="31" customWidth="1"/>
    <col min="37" max="37" width="16.28515625" style="31" bestFit="1" customWidth="1"/>
    <col min="38" max="16384" width="14.42578125" style="31"/>
  </cols>
  <sheetData>
    <row r="1" spans="1:37">
      <c r="A1" s="32"/>
      <c r="B1" s="33"/>
      <c r="C1" s="34"/>
      <c r="D1" s="34"/>
      <c r="E1" s="34"/>
      <c r="F1" s="34"/>
      <c r="G1" s="34"/>
      <c r="H1" s="34"/>
      <c r="I1" s="35"/>
      <c r="J1" s="32"/>
      <c r="K1" s="33"/>
      <c r="L1" s="34"/>
      <c r="M1" s="34"/>
      <c r="N1" s="34"/>
      <c r="O1" s="34"/>
      <c r="P1" s="34"/>
      <c r="Q1" s="34"/>
      <c r="R1" s="35"/>
      <c r="S1" s="32"/>
      <c r="T1" s="33"/>
      <c r="U1" s="35"/>
    </row>
    <row r="2" spans="1:37">
      <c r="A2" s="36"/>
      <c r="B2" s="56"/>
      <c r="C2" s="38"/>
      <c r="D2" s="38"/>
      <c r="E2" s="38"/>
      <c r="F2" s="38"/>
      <c r="G2" s="38"/>
      <c r="H2" s="38"/>
      <c r="I2" s="39"/>
      <c r="J2" s="36"/>
      <c r="K2" s="37"/>
      <c r="L2" s="38"/>
      <c r="M2" s="38"/>
      <c r="N2" s="38"/>
      <c r="O2" s="38"/>
      <c r="P2" s="38"/>
      <c r="Q2" s="38"/>
      <c r="R2" s="39"/>
      <c r="S2" s="36"/>
      <c r="T2" s="37"/>
      <c r="U2" s="39"/>
      <c r="AK2" s="40" t="s">
        <v>221</v>
      </c>
    </row>
    <row r="3" spans="1:37">
      <c r="A3" s="41"/>
      <c r="B3" s="42"/>
      <c r="C3" s="43"/>
      <c r="D3" s="43"/>
      <c r="E3" s="43"/>
      <c r="F3" s="43"/>
      <c r="G3" s="43"/>
      <c r="H3" s="43"/>
      <c r="I3" s="44"/>
      <c r="J3" s="41"/>
      <c r="K3" s="42"/>
      <c r="L3" s="43"/>
      <c r="M3" s="43"/>
      <c r="N3" s="43"/>
      <c r="O3" s="43"/>
      <c r="P3" s="43"/>
      <c r="Q3" s="43"/>
      <c r="R3" s="44"/>
      <c r="S3" s="41"/>
      <c r="T3" s="42"/>
      <c r="U3" s="44"/>
      <c r="AK3" s="40" t="s">
        <v>220</v>
      </c>
    </row>
    <row r="4" spans="1:37">
      <c r="A4" s="41"/>
      <c r="B4" s="42"/>
      <c r="C4" s="43"/>
      <c r="D4" s="43"/>
      <c r="E4" s="43"/>
      <c r="F4" s="43"/>
      <c r="G4" s="43"/>
      <c r="H4" s="43"/>
      <c r="I4" s="44"/>
      <c r="J4" s="41"/>
      <c r="K4" s="42"/>
      <c r="L4" s="43"/>
      <c r="M4" s="43"/>
      <c r="N4" s="43"/>
      <c r="O4" s="43"/>
      <c r="P4" s="43"/>
      <c r="Q4" s="43"/>
      <c r="R4" s="44"/>
      <c r="S4" s="41"/>
      <c r="T4" s="42"/>
      <c r="U4" s="44"/>
      <c r="AK4" s="45">
        <v>44790</v>
      </c>
    </row>
    <row r="5" spans="1:37">
      <c r="A5" s="41"/>
      <c r="B5" s="42"/>
      <c r="C5" s="43"/>
      <c r="D5" s="43"/>
      <c r="E5" s="43"/>
      <c r="F5" s="43"/>
      <c r="G5" s="43"/>
      <c r="H5" s="43"/>
      <c r="I5" s="44"/>
      <c r="J5" s="41"/>
      <c r="K5" s="42"/>
      <c r="L5" s="43"/>
      <c r="M5" s="43"/>
      <c r="N5" s="43"/>
      <c r="O5" s="43"/>
      <c r="P5" s="43"/>
      <c r="Q5" s="43"/>
      <c r="R5" s="44"/>
      <c r="S5" s="41"/>
      <c r="T5" s="42"/>
      <c r="U5" s="44"/>
    </row>
    <row r="6" spans="1:37">
      <c r="A6" s="41"/>
      <c r="B6" s="42"/>
      <c r="C6" s="43"/>
      <c r="D6" s="43"/>
      <c r="E6" s="43"/>
      <c r="F6" s="43"/>
      <c r="G6" s="43"/>
      <c r="H6" s="43"/>
      <c r="I6" s="44"/>
      <c r="J6" s="41"/>
      <c r="K6" s="42"/>
      <c r="L6" s="43"/>
      <c r="M6" s="43"/>
      <c r="N6" s="43"/>
      <c r="O6" s="43"/>
      <c r="P6" s="43"/>
      <c r="Q6" s="43"/>
      <c r="R6" s="44"/>
      <c r="S6" s="41"/>
      <c r="T6" s="42"/>
      <c r="U6" s="44"/>
    </row>
    <row r="7" spans="1:37">
      <c r="A7" s="41"/>
      <c r="B7" s="42"/>
      <c r="C7" s="43"/>
      <c r="D7" s="43"/>
      <c r="E7" s="43"/>
      <c r="F7" s="43"/>
      <c r="G7" s="43"/>
      <c r="H7" s="43"/>
      <c r="I7" s="44"/>
      <c r="J7" s="41"/>
      <c r="K7" s="42"/>
      <c r="L7" s="43"/>
      <c r="M7" s="43"/>
      <c r="N7" s="43"/>
      <c r="O7" s="43"/>
      <c r="P7" s="43"/>
      <c r="Q7" s="43"/>
      <c r="R7" s="44"/>
      <c r="S7" s="41"/>
      <c r="T7" s="42"/>
      <c r="U7" s="44"/>
    </row>
    <row r="8" spans="1:37">
      <c r="A8" s="41"/>
      <c r="B8" s="42"/>
      <c r="C8" s="43"/>
      <c r="D8" s="43"/>
      <c r="E8" s="43"/>
      <c r="F8" s="43"/>
      <c r="G8" s="43"/>
      <c r="H8" s="43"/>
      <c r="I8" s="44"/>
      <c r="J8" s="41"/>
      <c r="K8" s="42"/>
      <c r="L8" s="43"/>
      <c r="M8" s="43"/>
      <c r="N8" s="43"/>
      <c r="O8" s="43"/>
      <c r="P8" s="43"/>
      <c r="Q8" s="43"/>
      <c r="R8" s="44"/>
      <c r="S8" s="41"/>
      <c r="T8" s="42"/>
      <c r="U8" s="44"/>
    </row>
    <row r="9" spans="1:37">
      <c r="A9" s="41"/>
      <c r="B9" s="42"/>
      <c r="C9" s="43"/>
      <c r="D9" s="43"/>
      <c r="E9" s="43"/>
      <c r="F9" s="43"/>
      <c r="G9" s="43"/>
      <c r="H9" s="43"/>
      <c r="I9" s="44"/>
      <c r="J9" s="41"/>
      <c r="K9" s="42"/>
      <c r="L9" s="43"/>
      <c r="M9" s="43"/>
      <c r="N9" s="43"/>
      <c r="O9" s="43"/>
      <c r="P9" s="43"/>
      <c r="Q9" s="43"/>
      <c r="R9" s="44"/>
      <c r="S9" s="41"/>
      <c r="T9" s="42"/>
      <c r="U9" s="44"/>
    </row>
    <row r="10" spans="1:37">
      <c r="A10" s="41"/>
      <c r="B10" s="42"/>
      <c r="C10" s="43"/>
      <c r="D10" s="43"/>
      <c r="E10" s="43"/>
      <c r="F10" s="43"/>
      <c r="G10" s="43"/>
      <c r="H10" s="43"/>
      <c r="I10" s="44"/>
      <c r="J10" s="41"/>
      <c r="K10" s="42"/>
      <c r="L10" s="43"/>
      <c r="M10" s="43"/>
      <c r="N10" s="43"/>
      <c r="O10" s="43"/>
      <c r="P10" s="43"/>
      <c r="Q10" s="43"/>
      <c r="R10" s="44"/>
      <c r="S10" s="41"/>
      <c r="T10" s="42"/>
      <c r="U10" s="44"/>
    </row>
    <row r="11" spans="1:37">
      <c r="A11" s="41"/>
      <c r="B11" s="42"/>
      <c r="C11" s="43"/>
      <c r="D11" s="43"/>
      <c r="E11" s="43"/>
      <c r="F11" s="43"/>
      <c r="G11" s="43"/>
      <c r="H11" s="43"/>
      <c r="I11" s="44"/>
      <c r="J11" s="41"/>
      <c r="K11" s="42"/>
      <c r="L11" s="43"/>
      <c r="M11" s="43"/>
      <c r="N11" s="43"/>
      <c r="O11" s="43"/>
      <c r="P11" s="43"/>
      <c r="Q11" s="43"/>
      <c r="R11" s="44"/>
      <c r="S11" s="41"/>
      <c r="T11" s="42"/>
      <c r="U11" s="44"/>
    </row>
    <row r="12" spans="1:37">
      <c r="A12" s="41"/>
      <c r="B12" s="42"/>
      <c r="C12" s="43"/>
      <c r="D12" s="43"/>
      <c r="E12" s="43"/>
      <c r="F12" s="43"/>
      <c r="G12" s="43"/>
      <c r="H12" s="43"/>
      <c r="I12" s="44"/>
      <c r="J12" s="41"/>
      <c r="K12" s="42"/>
      <c r="L12" s="43"/>
      <c r="M12" s="43"/>
      <c r="N12" s="43"/>
      <c r="O12" s="43"/>
      <c r="P12" s="43"/>
      <c r="Q12" s="43"/>
      <c r="R12" s="44"/>
      <c r="S12" s="41"/>
      <c r="T12" s="42"/>
      <c r="U12" s="44"/>
    </row>
    <row r="13" spans="1:37">
      <c r="A13" s="41"/>
      <c r="B13" s="42"/>
      <c r="C13" s="43"/>
      <c r="D13" s="43"/>
      <c r="E13" s="43"/>
      <c r="F13" s="43"/>
      <c r="G13" s="43"/>
      <c r="H13" s="43"/>
      <c r="I13" s="44"/>
      <c r="J13" s="41"/>
      <c r="K13" s="42"/>
      <c r="L13" s="43"/>
      <c r="M13" s="43"/>
      <c r="N13" s="43"/>
      <c r="O13" s="43"/>
      <c r="P13" s="43"/>
      <c r="Q13" s="43"/>
      <c r="R13" s="44"/>
      <c r="S13" s="41"/>
      <c r="T13" s="42"/>
      <c r="U13" s="44"/>
    </row>
    <row r="14" spans="1:37">
      <c r="A14" s="41"/>
      <c r="B14" s="42"/>
      <c r="C14" s="43"/>
      <c r="D14" s="43"/>
      <c r="E14" s="43"/>
      <c r="F14" s="43"/>
      <c r="G14" s="43"/>
      <c r="H14" s="43"/>
      <c r="I14" s="44"/>
      <c r="J14" s="41"/>
      <c r="K14" s="42"/>
      <c r="L14" s="43"/>
      <c r="M14" s="43"/>
      <c r="N14" s="43"/>
      <c r="O14" s="43"/>
      <c r="P14" s="43"/>
      <c r="Q14" s="43"/>
      <c r="R14" s="44"/>
      <c r="S14" s="41"/>
      <c r="T14" s="42"/>
      <c r="U14" s="44"/>
    </row>
    <row r="15" spans="1:37">
      <c r="A15" s="41"/>
      <c r="B15" s="42"/>
      <c r="C15" s="43"/>
      <c r="D15" s="43"/>
      <c r="E15" s="43"/>
      <c r="F15" s="43"/>
      <c r="G15" s="43"/>
      <c r="H15" s="43"/>
      <c r="I15" s="44"/>
      <c r="J15" s="41"/>
      <c r="K15" s="42"/>
      <c r="L15" s="43"/>
      <c r="M15" s="43"/>
      <c r="N15" s="43"/>
      <c r="O15" s="43"/>
      <c r="P15" s="43"/>
      <c r="Q15" s="43"/>
      <c r="R15" s="44"/>
      <c r="S15" s="41"/>
      <c r="T15" s="42"/>
      <c r="U15" s="44"/>
    </row>
    <row r="16" spans="1:37">
      <c r="A16" s="46"/>
      <c r="B16" s="47"/>
      <c r="C16" s="48"/>
      <c r="D16" s="48"/>
      <c r="E16" s="48"/>
      <c r="F16" s="48"/>
      <c r="G16" s="48"/>
      <c r="H16" s="48"/>
      <c r="I16" s="49"/>
      <c r="J16" s="46"/>
      <c r="K16" s="47"/>
      <c r="L16" s="48"/>
      <c r="M16" s="48"/>
      <c r="N16" s="48"/>
      <c r="O16" s="48"/>
      <c r="P16" s="48"/>
      <c r="Q16" s="48"/>
      <c r="R16" s="49"/>
      <c r="S16" s="46"/>
      <c r="T16" s="47"/>
      <c r="U16" s="49"/>
    </row>
    <row r="17" spans="1:21">
      <c r="A17" s="32"/>
      <c r="B17" s="33"/>
      <c r="C17" s="34"/>
      <c r="D17" s="34"/>
      <c r="E17" s="34"/>
      <c r="F17" s="34"/>
      <c r="G17" s="34"/>
      <c r="H17" s="34"/>
      <c r="I17" s="35"/>
      <c r="J17" s="32"/>
      <c r="K17" s="33"/>
      <c r="L17" s="34"/>
      <c r="M17" s="34"/>
      <c r="N17" s="34"/>
      <c r="O17" s="34"/>
      <c r="P17" s="34"/>
      <c r="Q17" s="34"/>
      <c r="R17" s="35"/>
      <c r="S17" s="32"/>
      <c r="T17" s="33"/>
      <c r="U17" s="35"/>
    </row>
    <row r="18" spans="1:21">
      <c r="A18" s="36"/>
      <c r="B18" s="37"/>
      <c r="C18" s="38"/>
      <c r="D18" s="38"/>
      <c r="E18" s="38"/>
      <c r="F18" s="38"/>
      <c r="G18" s="38"/>
      <c r="H18" s="38"/>
      <c r="I18" s="39"/>
      <c r="J18" s="36"/>
      <c r="K18" s="37"/>
      <c r="L18" s="38"/>
      <c r="M18" s="38"/>
      <c r="N18" s="38"/>
      <c r="O18" s="38"/>
      <c r="P18" s="38"/>
      <c r="Q18" s="38"/>
      <c r="R18" s="39"/>
      <c r="S18" s="36"/>
      <c r="T18" s="37"/>
      <c r="U18" s="39"/>
    </row>
    <row r="19" spans="1:21">
      <c r="A19" s="41"/>
      <c r="B19" s="42"/>
      <c r="C19" s="43"/>
      <c r="D19" s="43"/>
      <c r="E19" s="43"/>
      <c r="F19" s="43"/>
      <c r="G19" s="43"/>
      <c r="H19" s="43"/>
      <c r="I19" s="44"/>
      <c r="J19" s="41"/>
      <c r="K19" s="42"/>
      <c r="L19" s="43"/>
      <c r="M19" s="43"/>
      <c r="N19" s="43"/>
      <c r="O19" s="43"/>
      <c r="P19" s="43"/>
      <c r="Q19" s="43"/>
      <c r="R19" s="44"/>
      <c r="S19" s="41"/>
      <c r="T19" s="42"/>
      <c r="U19" s="44"/>
    </row>
    <row r="20" spans="1:21">
      <c r="A20" s="41"/>
      <c r="B20" s="42"/>
      <c r="C20" s="43"/>
      <c r="D20" s="43"/>
      <c r="E20" s="43"/>
      <c r="F20" s="43"/>
      <c r="G20" s="43"/>
      <c r="H20" s="43"/>
      <c r="I20" s="44"/>
      <c r="J20" s="41"/>
      <c r="K20" s="42"/>
      <c r="L20" s="43"/>
      <c r="M20" s="43"/>
      <c r="N20" s="43"/>
      <c r="O20" s="43"/>
      <c r="P20" s="43"/>
      <c r="Q20" s="43"/>
      <c r="R20" s="44"/>
      <c r="S20" s="41"/>
      <c r="T20" s="42"/>
      <c r="U20" s="44"/>
    </row>
    <row r="21" spans="1:21" ht="15.75" customHeight="1">
      <c r="A21" s="41"/>
      <c r="B21" s="42"/>
      <c r="C21" s="43"/>
      <c r="D21" s="43"/>
      <c r="E21" s="43"/>
      <c r="F21" s="43"/>
      <c r="G21" s="43"/>
      <c r="H21" s="43"/>
      <c r="I21" s="44"/>
      <c r="J21" s="41"/>
      <c r="K21" s="42"/>
      <c r="L21" s="43"/>
      <c r="M21" s="43"/>
      <c r="N21" s="43"/>
      <c r="O21" s="43"/>
      <c r="P21" s="43"/>
      <c r="Q21" s="43"/>
      <c r="R21" s="44"/>
      <c r="S21" s="41"/>
      <c r="T21" s="42"/>
      <c r="U21" s="44"/>
    </row>
    <row r="22" spans="1:21" ht="15.75" customHeight="1">
      <c r="A22" s="41"/>
      <c r="B22" s="42"/>
      <c r="C22" s="43"/>
      <c r="D22" s="43"/>
      <c r="E22" s="43"/>
      <c r="F22" s="43"/>
      <c r="G22" s="43"/>
      <c r="H22" s="43"/>
      <c r="I22" s="44"/>
      <c r="J22" s="41"/>
      <c r="K22" s="42"/>
      <c r="L22" s="43"/>
      <c r="M22" s="43"/>
      <c r="N22" s="43"/>
      <c r="O22" s="43"/>
      <c r="P22" s="43"/>
      <c r="Q22" s="43"/>
      <c r="R22" s="44"/>
      <c r="S22" s="41"/>
      <c r="T22" s="42"/>
      <c r="U22" s="44"/>
    </row>
    <row r="23" spans="1:21" ht="15.75" customHeight="1">
      <c r="A23" s="41"/>
      <c r="B23" s="42"/>
      <c r="C23" s="43"/>
      <c r="D23" s="43"/>
      <c r="E23" s="43"/>
      <c r="F23" s="43"/>
      <c r="G23" s="43"/>
      <c r="H23" s="43"/>
      <c r="I23" s="44"/>
      <c r="J23" s="41"/>
      <c r="K23" s="42"/>
      <c r="L23" s="43"/>
      <c r="M23" s="43"/>
      <c r="N23" s="43"/>
      <c r="O23" s="43"/>
      <c r="P23" s="43"/>
      <c r="Q23" s="43"/>
      <c r="R23" s="44"/>
      <c r="S23" s="41"/>
      <c r="T23" s="42"/>
      <c r="U23" s="44"/>
    </row>
    <row r="24" spans="1:21" ht="15.75" customHeight="1">
      <c r="A24" s="41"/>
      <c r="B24" s="42"/>
      <c r="C24" s="43"/>
      <c r="D24" s="43"/>
      <c r="E24" s="43"/>
      <c r="F24" s="43"/>
      <c r="G24" s="43"/>
      <c r="H24" s="43"/>
      <c r="I24" s="44"/>
      <c r="J24" s="41"/>
      <c r="K24" s="42"/>
      <c r="L24" s="43"/>
      <c r="M24" s="43"/>
      <c r="N24" s="43"/>
      <c r="O24" s="43"/>
      <c r="P24" s="43"/>
      <c r="Q24" s="43"/>
      <c r="R24" s="44"/>
      <c r="S24" s="41"/>
      <c r="T24" s="42"/>
      <c r="U24" s="44"/>
    </row>
    <row r="25" spans="1:21" ht="15.75" customHeight="1">
      <c r="A25" s="41"/>
      <c r="B25" s="42"/>
      <c r="C25" s="43"/>
      <c r="D25" s="43"/>
      <c r="E25" s="43"/>
      <c r="F25" s="43"/>
      <c r="G25" s="43"/>
      <c r="H25" s="43"/>
      <c r="I25" s="44"/>
      <c r="J25" s="41"/>
      <c r="K25" s="42"/>
      <c r="L25" s="43"/>
      <c r="M25" s="43"/>
      <c r="N25" s="43"/>
      <c r="O25" s="43"/>
      <c r="P25" s="43"/>
      <c r="Q25" s="43"/>
      <c r="R25" s="44"/>
      <c r="S25" s="41"/>
      <c r="T25" s="42"/>
      <c r="U25" s="44"/>
    </row>
    <row r="26" spans="1:21" ht="15.75" customHeight="1">
      <c r="A26" s="41"/>
      <c r="B26" s="42"/>
      <c r="C26" s="43"/>
      <c r="D26" s="43"/>
      <c r="E26" s="43"/>
      <c r="F26" s="43"/>
      <c r="G26" s="43"/>
      <c r="H26" s="43"/>
      <c r="I26" s="44"/>
      <c r="J26" s="41"/>
      <c r="K26" s="42"/>
      <c r="L26" s="43"/>
      <c r="M26" s="43"/>
      <c r="N26" s="43"/>
      <c r="O26" s="43"/>
      <c r="P26" s="43"/>
      <c r="Q26" s="43"/>
      <c r="R26" s="44"/>
      <c r="S26" s="41"/>
      <c r="T26" s="42"/>
      <c r="U26" s="44"/>
    </row>
    <row r="27" spans="1:21" ht="15.75" customHeight="1">
      <c r="A27" s="41"/>
      <c r="B27" s="42"/>
      <c r="C27" s="43"/>
      <c r="D27" s="43"/>
      <c r="E27" s="43"/>
      <c r="F27" s="43"/>
      <c r="G27" s="43"/>
      <c r="H27" s="43"/>
      <c r="I27" s="44"/>
      <c r="J27" s="41"/>
      <c r="K27" s="42"/>
      <c r="L27" s="43"/>
      <c r="M27" s="43"/>
      <c r="N27" s="43"/>
      <c r="O27" s="43"/>
      <c r="P27" s="43"/>
      <c r="Q27" s="43"/>
      <c r="R27" s="44"/>
      <c r="S27" s="41"/>
      <c r="T27" s="42"/>
      <c r="U27" s="44"/>
    </row>
    <row r="28" spans="1:21" ht="15.75" customHeight="1">
      <c r="A28" s="41"/>
      <c r="B28" s="42"/>
      <c r="C28" s="43"/>
      <c r="D28" s="43"/>
      <c r="E28" s="43"/>
      <c r="F28" s="43"/>
      <c r="G28" s="43"/>
      <c r="H28" s="43"/>
      <c r="I28" s="44"/>
      <c r="J28" s="41"/>
      <c r="K28" s="42"/>
      <c r="L28" s="43"/>
      <c r="M28" s="43"/>
      <c r="N28" s="43"/>
      <c r="O28" s="43"/>
      <c r="P28" s="43"/>
      <c r="Q28" s="43"/>
      <c r="R28" s="44"/>
      <c r="S28" s="41"/>
      <c r="T28" s="42"/>
      <c r="U28" s="44"/>
    </row>
    <row r="29" spans="1:21" ht="15.75" customHeight="1">
      <c r="A29" s="41"/>
      <c r="B29" s="42"/>
      <c r="C29" s="43"/>
      <c r="D29" s="43"/>
      <c r="E29" s="43"/>
      <c r="F29" s="43"/>
      <c r="G29" s="43"/>
      <c r="H29" s="43"/>
      <c r="I29" s="44"/>
      <c r="J29" s="41"/>
      <c r="K29" s="42"/>
      <c r="L29" s="43"/>
      <c r="M29" s="43"/>
      <c r="N29" s="43"/>
      <c r="O29" s="43"/>
      <c r="P29" s="43"/>
      <c r="Q29" s="43"/>
      <c r="R29" s="44"/>
      <c r="S29" s="41"/>
      <c r="T29" s="42"/>
      <c r="U29" s="44"/>
    </row>
    <row r="30" spans="1:21" ht="15.75" customHeight="1">
      <c r="A30" s="41"/>
      <c r="B30" s="42"/>
      <c r="C30" s="43"/>
      <c r="D30" s="43"/>
      <c r="E30" s="43"/>
      <c r="F30" s="43"/>
      <c r="G30" s="43"/>
      <c r="H30" s="43"/>
      <c r="I30" s="44"/>
      <c r="J30" s="41"/>
      <c r="K30" s="42"/>
      <c r="L30" s="43"/>
      <c r="M30" s="43"/>
      <c r="N30" s="43"/>
      <c r="O30" s="43"/>
      <c r="P30" s="43"/>
      <c r="Q30" s="43"/>
      <c r="R30" s="44"/>
      <c r="S30" s="41"/>
      <c r="T30" s="42"/>
      <c r="U30" s="44"/>
    </row>
    <row r="31" spans="1:21" ht="15.75" customHeight="1">
      <c r="A31" s="41"/>
      <c r="B31" s="42"/>
      <c r="C31" s="43"/>
      <c r="D31" s="43"/>
      <c r="E31" s="43"/>
      <c r="F31" s="43"/>
      <c r="G31" s="43"/>
      <c r="H31" s="43"/>
      <c r="I31" s="44"/>
      <c r="J31" s="41"/>
      <c r="K31" s="42"/>
      <c r="L31" s="43"/>
      <c r="M31" s="43"/>
      <c r="N31" s="43"/>
      <c r="O31" s="43"/>
      <c r="P31" s="43"/>
      <c r="Q31" s="43"/>
      <c r="R31" s="44"/>
      <c r="S31" s="41"/>
      <c r="T31" s="42"/>
      <c r="U31" s="44"/>
    </row>
    <row r="32" spans="1:21" ht="15.75" customHeight="1">
      <c r="A32" s="46"/>
      <c r="B32" s="47"/>
      <c r="C32" s="48"/>
      <c r="D32" s="48"/>
      <c r="E32" s="48"/>
      <c r="F32" s="48"/>
      <c r="G32" s="48"/>
      <c r="H32" s="48"/>
      <c r="I32" s="49"/>
      <c r="J32" s="46"/>
      <c r="K32" s="47"/>
      <c r="L32" s="48"/>
      <c r="M32" s="48"/>
      <c r="N32" s="48"/>
      <c r="O32" s="48"/>
      <c r="P32" s="48"/>
      <c r="Q32" s="48"/>
      <c r="R32" s="49"/>
      <c r="S32" s="46"/>
      <c r="T32" s="47"/>
      <c r="U32" s="49"/>
    </row>
    <row r="33" spans="1:21" ht="15.75" customHeight="1">
      <c r="A33" s="32"/>
      <c r="B33" s="33"/>
      <c r="C33" s="34"/>
      <c r="D33" s="34"/>
      <c r="E33" s="34"/>
      <c r="F33" s="34"/>
      <c r="G33" s="34"/>
      <c r="H33" s="34"/>
      <c r="I33" s="35"/>
      <c r="J33" s="32"/>
      <c r="K33" s="33"/>
      <c r="L33" s="34"/>
      <c r="M33" s="34"/>
      <c r="N33" s="34"/>
      <c r="O33" s="34"/>
      <c r="P33" s="34"/>
      <c r="Q33" s="34"/>
      <c r="R33" s="35"/>
      <c r="S33" s="32"/>
      <c r="T33" s="33"/>
      <c r="U33" s="35"/>
    </row>
    <row r="34" spans="1:21" ht="15.75" customHeight="1">
      <c r="A34" s="36"/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9"/>
      <c r="S34" s="36"/>
      <c r="T34" s="37"/>
      <c r="U34" s="38"/>
    </row>
    <row r="35" spans="1:21" ht="15.75" customHeight="1">
      <c r="A35" s="41"/>
      <c r="B35" s="42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4"/>
      <c r="S35" s="41"/>
      <c r="T35" s="42"/>
      <c r="U35" s="43"/>
    </row>
    <row r="36" spans="1:21" ht="15.75" customHeight="1">
      <c r="A36" s="41"/>
      <c r="B36" s="42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4"/>
      <c r="S36" s="41"/>
      <c r="T36" s="42"/>
      <c r="U36" s="43"/>
    </row>
    <row r="37" spans="1:21" ht="15.75" customHeight="1">
      <c r="A37" s="41"/>
      <c r="B37" s="42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4"/>
      <c r="S37" s="41"/>
      <c r="T37" s="42"/>
      <c r="U37" s="43"/>
    </row>
    <row r="38" spans="1:21" ht="15.75" customHeight="1">
      <c r="A38" s="41"/>
      <c r="B38" s="42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4"/>
      <c r="S38" s="41"/>
      <c r="T38" s="42"/>
      <c r="U38" s="43"/>
    </row>
    <row r="39" spans="1:21" ht="15.75" customHeight="1">
      <c r="A39" s="41"/>
      <c r="B39" s="42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4"/>
      <c r="S39" s="41"/>
      <c r="T39" s="42"/>
      <c r="U39" s="43"/>
    </row>
    <row r="40" spans="1:21" ht="15.75" customHeight="1">
      <c r="A40" s="41"/>
      <c r="B40" s="42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4"/>
      <c r="S40" s="41"/>
      <c r="T40" s="42"/>
      <c r="U40" s="43"/>
    </row>
    <row r="41" spans="1:21" ht="15.75" customHeight="1">
      <c r="A41" s="41"/>
      <c r="B41" s="42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4"/>
      <c r="S41" s="41"/>
      <c r="T41" s="42"/>
      <c r="U41" s="43"/>
    </row>
    <row r="42" spans="1:21" ht="15.75" customHeight="1">
      <c r="A42" s="41"/>
      <c r="B42" s="42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4"/>
      <c r="S42" s="41"/>
      <c r="T42" s="42"/>
      <c r="U42" s="43"/>
    </row>
    <row r="43" spans="1:21" ht="15.75" customHeight="1">
      <c r="A43" s="41"/>
      <c r="B43" s="42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4"/>
      <c r="S43" s="41"/>
      <c r="T43" s="42"/>
      <c r="U43" s="43"/>
    </row>
    <row r="44" spans="1:21" ht="15.75" customHeight="1">
      <c r="A44" s="41"/>
      <c r="B44" s="42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4"/>
      <c r="S44" s="41"/>
      <c r="T44" s="42"/>
      <c r="U44" s="43"/>
    </row>
    <row r="45" spans="1:21" ht="15.75" customHeight="1">
      <c r="A45" s="41"/>
      <c r="B45" s="42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4"/>
      <c r="S45" s="41"/>
      <c r="T45" s="42"/>
      <c r="U45" s="43"/>
    </row>
    <row r="46" spans="1:21" ht="15.75" customHeight="1">
      <c r="A46" s="41"/>
      <c r="B46" s="42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4"/>
      <c r="S46" s="41"/>
      <c r="T46" s="42"/>
      <c r="U46" s="43"/>
    </row>
    <row r="47" spans="1:21" ht="15.75" customHeight="1">
      <c r="A47" s="41"/>
      <c r="B47" s="42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4"/>
      <c r="S47" s="41"/>
      <c r="T47" s="42"/>
      <c r="U47" s="43"/>
    </row>
    <row r="48" spans="1:21" ht="15.75" customHeight="1">
      <c r="A48" s="46"/>
      <c r="B48" s="47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9"/>
      <c r="S48" s="46"/>
      <c r="T48" s="47"/>
      <c r="U48" s="48"/>
    </row>
    <row r="49" spans="1:21" ht="15.75" customHeight="1">
      <c r="A49" s="32"/>
      <c r="B49" s="50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2"/>
      <c r="S49" s="32"/>
      <c r="T49" s="50"/>
      <c r="U49" s="52"/>
    </row>
    <row r="50" spans="1:21" ht="15.75" customHeight="1">
      <c r="A50" s="53"/>
      <c r="B50" s="37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9"/>
      <c r="S50" s="36"/>
      <c r="T50" s="37"/>
      <c r="U50" s="38"/>
    </row>
    <row r="51" spans="1:21" ht="15.75" customHeight="1">
      <c r="A51" s="54"/>
      <c r="B51" s="42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4"/>
      <c r="S51" s="41"/>
      <c r="T51" s="42"/>
      <c r="U51" s="43"/>
    </row>
    <row r="52" spans="1:21" ht="15.75" customHeight="1">
      <c r="A52" s="54"/>
      <c r="B52" s="42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4"/>
      <c r="S52" s="41"/>
      <c r="T52" s="42"/>
      <c r="U52" s="43"/>
    </row>
    <row r="53" spans="1:21" ht="15.75" customHeight="1">
      <c r="A53" s="54"/>
      <c r="B53" s="42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4"/>
      <c r="S53" s="41"/>
      <c r="T53" s="42"/>
      <c r="U53" s="43"/>
    </row>
    <row r="54" spans="1:21" ht="15.75" customHeight="1">
      <c r="A54" s="54"/>
      <c r="B54" s="42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4"/>
      <c r="S54" s="41"/>
      <c r="T54" s="42"/>
      <c r="U54" s="43"/>
    </row>
    <row r="55" spans="1:21" ht="15.75" customHeight="1">
      <c r="A55" s="54"/>
      <c r="B55" s="42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4"/>
      <c r="S55" s="41"/>
      <c r="T55" s="42"/>
      <c r="U55" s="43"/>
    </row>
    <row r="56" spans="1:21" ht="15.75" customHeight="1">
      <c r="A56" s="54"/>
      <c r="B56" s="42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4"/>
      <c r="S56" s="41"/>
      <c r="T56" s="42"/>
      <c r="U56" s="43"/>
    </row>
    <row r="57" spans="1:21" ht="15.75" customHeight="1">
      <c r="A57" s="54"/>
      <c r="B57" s="42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4"/>
      <c r="S57" s="41"/>
      <c r="T57" s="42"/>
      <c r="U57" s="43"/>
    </row>
    <row r="58" spans="1:21" ht="15.75" customHeight="1">
      <c r="A58" s="54"/>
      <c r="B58" s="42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4"/>
      <c r="S58" s="41"/>
      <c r="T58" s="42"/>
      <c r="U58" s="43"/>
    </row>
    <row r="59" spans="1:21" ht="15.75" customHeight="1">
      <c r="A59" s="54"/>
      <c r="B59" s="42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4"/>
      <c r="S59" s="41"/>
      <c r="T59" s="42"/>
      <c r="U59" s="43"/>
    </row>
    <row r="60" spans="1:21" ht="15.75" customHeight="1">
      <c r="A60" s="54"/>
      <c r="B60" s="42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4"/>
      <c r="S60" s="41"/>
      <c r="T60" s="42"/>
      <c r="U60" s="43"/>
    </row>
    <row r="61" spans="1:21" ht="15.75" customHeight="1">
      <c r="A61" s="54"/>
      <c r="B61" s="42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4"/>
      <c r="S61" s="41"/>
      <c r="T61" s="42"/>
      <c r="U61" s="43"/>
    </row>
    <row r="62" spans="1:21" ht="15.75" customHeight="1">
      <c r="A62" s="54"/>
      <c r="B62" s="42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4"/>
      <c r="S62" s="41"/>
      <c r="T62" s="42"/>
      <c r="U62" s="43"/>
    </row>
    <row r="63" spans="1:21" ht="15.75" customHeight="1">
      <c r="A63" s="54"/>
      <c r="B63" s="42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4"/>
      <c r="S63" s="41"/>
      <c r="T63" s="42"/>
      <c r="U63" s="43"/>
    </row>
    <row r="64" spans="1:21" ht="15.75" customHeight="1">
      <c r="A64" s="55"/>
      <c r="B64" s="47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9"/>
      <c r="S64" s="46"/>
      <c r="T64" s="47"/>
      <c r="U64" s="48"/>
    </row>
    <row r="65" spans="1:21" ht="15.75" customHeight="1">
      <c r="A65" s="32"/>
      <c r="B65" s="57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2"/>
      <c r="S65" s="32"/>
      <c r="T65" s="50"/>
      <c r="U65" s="52"/>
    </row>
    <row r="66" spans="1:21" ht="15.75" customHeight="1"/>
    <row r="67" spans="1:21" ht="15.75" customHeight="1">
      <c r="B67" s="29" t="s">
        <v>219</v>
      </c>
    </row>
    <row r="68" spans="1:21" ht="15.75" customHeight="1">
      <c r="B68" s="29" t="s">
        <v>220</v>
      </c>
    </row>
    <row r="69" spans="1:21" ht="15.75" customHeight="1">
      <c r="B69" s="30">
        <v>44637</v>
      </c>
    </row>
    <row r="70" spans="1:21" ht="15.75" customHeight="1"/>
    <row r="71" spans="1:21" ht="15.75" customHeight="1"/>
    <row r="72" spans="1:21" ht="15.75" customHeight="1"/>
    <row r="73" spans="1:21" ht="15.75" customHeight="1"/>
    <row r="74" spans="1:21" ht="15.75" customHeight="1"/>
    <row r="75" spans="1:21" ht="15.75" customHeight="1"/>
    <row r="76" spans="1:21" ht="15.75" customHeight="1"/>
    <row r="77" spans="1:21" ht="15.75" customHeight="1"/>
    <row r="78" spans="1:21" ht="15.75" customHeight="1"/>
    <row r="79" spans="1:21" ht="15.75" customHeight="1"/>
    <row r="80" spans="1:21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sheetProtection algorithmName="SHA-512" hashValue="K4SrbbhuO7isSFQTmE1AGy8mutR77U7ewmpfoq5oGlFezYDO92En55WWmWJ58hXGmCYhuBweTLW310tIxMSSUw==" saltValue="aWj9+j9kyJxzPgkiKAAA7A==" spinCount="100000" sheet="1" objects="1" scenarios="1" selectLockedCells="1" pivotTables="0"/>
  <mergeCells count="33">
    <mergeCell ref="B65:R65"/>
    <mergeCell ref="A2:A16"/>
    <mergeCell ref="A18:A32"/>
    <mergeCell ref="B18:I32"/>
    <mergeCell ref="J18:J32"/>
    <mergeCell ref="B33:I33"/>
    <mergeCell ref="B34:R48"/>
    <mergeCell ref="B49:R49"/>
    <mergeCell ref="T65:U65"/>
    <mergeCell ref="S2:S16"/>
    <mergeCell ref="T2:U16"/>
    <mergeCell ref="T18:U32"/>
    <mergeCell ref="T33:U33"/>
    <mergeCell ref="S34:S48"/>
    <mergeCell ref="T34:U48"/>
    <mergeCell ref="T49:U49"/>
    <mergeCell ref="B17:I17"/>
    <mergeCell ref="T17:U17"/>
    <mergeCell ref="A34:A48"/>
    <mergeCell ref="A50:A64"/>
    <mergeCell ref="S50:S64"/>
    <mergeCell ref="T50:U64"/>
    <mergeCell ref="B50:R64"/>
    <mergeCell ref="B1:I1"/>
    <mergeCell ref="K1:R1"/>
    <mergeCell ref="T1:U1"/>
    <mergeCell ref="B2:I16"/>
    <mergeCell ref="J2:J16"/>
    <mergeCell ref="K2:R16"/>
    <mergeCell ref="K17:R17"/>
    <mergeCell ref="K18:R32"/>
    <mergeCell ref="S18:S32"/>
    <mergeCell ref="K33:R33"/>
  </mergeCells>
  <pageMargins left="0.511811024" right="0.511811024" top="0.78740157499999996" bottom="0.78740157499999996" header="0" footer="0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U1000"/>
  <sheetViews>
    <sheetView showGridLines="0" workbookViewId="0"/>
  </sheetViews>
  <sheetFormatPr defaultColWidth="14.42578125" defaultRowHeight="15" customHeight="1"/>
  <cols>
    <col min="1" max="1" width="2.42578125" style="31" customWidth="1"/>
    <col min="2" max="2" width="15.28515625" style="31" bestFit="1" customWidth="1"/>
    <col min="3" max="18" width="8.7109375" style="31" customWidth="1"/>
    <col min="19" max="19" width="2.42578125" style="31" customWidth="1"/>
    <col min="20" max="81" width="8.7109375" style="31" customWidth="1"/>
    <col min="82" max="16384" width="14.42578125" style="31"/>
  </cols>
  <sheetData>
    <row r="1" spans="1:21">
      <c r="A1" s="32"/>
      <c r="B1" s="58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60"/>
      <c r="S1" s="32"/>
      <c r="T1" s="33"/>
      <c r="U1" s="35"/>
    </row>
    <row r="2" spans="1:21">
      <c r="A2" s="61"/>
      <c r="B2" s="37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9"/>
      <c r="S2" s="61"/>
      <c r="T2" s="37"/>
      <c r="U2" s="39"/>
    </row>
    <row r="3" spans="1:21">
      <c r="A3" s="62"/>
      <c r="B3" s="42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4"/>
      <c r="S3" s="62"/>
      <c r="T3" s="42"/>
      <c r="U3" s="44"/>
    </row>
    <row r="4" spans="1:21">
      <c r="A4" s="62"/>
      <c r="B4" s="42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4"/>
      <c r="S4" s="62"/>
      <c r="T4" s="42"/>
      <c r="U4" s="44"/>
    </row>
    <row r="5" spans="1:21">
      <c r="A5" s="62"/>
      <c r="B5" s="42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4"/>
      <c r="S5" s="62"/>
      <c r="T5" s="42"/>
      <c r="U5" s="44"/>
    </row>
    <row r="6" spans="1:21">
      <c r="A6" s="62"/>
      <c r="B6" s="42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4"/>
      <c r="S6" s="62"/>
      <c r="T6" s="42"/>
      <c r="U6" s="44"/>
    </row>
    <row r="7" spans="1:21">
      <c r="A7" s="62"/>
      <c r="B7" s="42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4"/>
      <c r="S7" s="62"/>
      <c r="T7" s="42"/>
      <c r="U7" s="44"/>
    </row>
    <row r="8" spans="1:21">
      <c r="A8" s="62"/>
      <c r="B8" s="42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4"/>
      <c r="S8" s="62"/>
      <c r="T8" s="42"/>
      <c r="U8" s="44"/>
    </row>
    <row r="9" spans="1:21">
      <c r="A9" s="62"/>
      <c r="B9" s="42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4"/>
      <c r="S9" s="62"/>
      <c r="T9" s="42"/>
      <c r="U9" s="44"/>
    </row>
    <row r="10" spans="1:21">
      <c r="A10" s="62"/>
      <c r="B10" s="42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4"/>
      <c r="S10" s="62"/>
      <c r="T10" s="42"/>
      <c r="U10" s="44"/>
    </row>
    <row r="11" spans="1:21">
      <c r="A11" s="62"/>
      <c r="B11" s="42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4"/>
      <c r="S11" s="62"/>
      <c r="T11" s="42"/>
      <c r="U11" s="44"/>
    </row>
    <row r="12" spans="1:21">
      <c r="A12" s="62"/>
      <c r="B12" s="42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4"/>
      <c r="S12" s="62"/>
      <c r="T12" s="42"/>
      <c r="U12" s="44"/>
    </row>
    <row r="13" spans="1:21">
      <c r="A13" s="62"/>
      <c r="B13" s="42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4"/>
      <c r="S13" s="62"/>
      <c r="T13" s="42"/>
      <c r="U13" s="44"/>
    </row>
    <row r="14" spans="1:21">
      <c r="A14" s="62"/>
      <c r="B14" s="42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4"/>
      <c r="S14" s="62"/>
      <c r="T14" s="42"/>
      <c r="U14" s="44"/>
    </row>
    <row r="15" spans="1:21">
      <c r="A15" s="62"/>
      <c r="B15" s="42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4"/>
      <c r="S15" s="62"/>
      <c r="T15" s="42"/>
      <c r="U15" s="44"/>
    </row>
    <row r="16" spans="1:21">
      <c r="A16" s="63"/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9"/>
      <c r="S16" s="63"/>
      <c r="T16" s="47"/>
      <c r="U16" s="49"/>
    </row>
    <row r="17" spans="1:21">
      <c r="A17" s="32"/>
      <c r="B17" s="33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5"/>
      <c r="S17" s="32"/>
      <c r="T17" s="33"/>
      <c r="U17" s="35"/>
    </row>
    <row r="18" spans="1:21">
      <c r="A18" s="61"/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9"/>
      <c r="S18" s="61"/>
      <c r="T18" s="37"/>
      <c r="U18" s="39"/>
    </row>
    <row r="19" spans="1:21">
      <c r="A19" s="62"/>
      <c r="B19" s="42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4"/>
      <c r="S19" s="62"/>
      <c r="T19" s="42"/>
      <c r="U19" s="44"/>
    </row>
    <row r="20" spans="1:21">
      <c r="A20" s="62"/>
      <c r="B20" s="42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4"/>
      <c r="S20" s="62"/>
      <c r="T20" s="42"/>
      <c r="U20" s="44"/>
    </row>
    <row r="21" spans="1:21" ht="15.75" customHeight="1">
      <c r="A21" s="62"/>
      <c r="B21" s="42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4"/>
      <c r="S21" s="62"/>
      <c r="T21" s="42"/>
      <c r="U21" s="44"/>
    </row>
    <row r="22" spans="1:21" ht="15.75" customHeight="1">
      <c r="A22" s="62"/>
      <c r="B22" s="42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4"/>
      <c r="S22" s="62"/>
      <c r="T22" s="42"/>
      <c r="U22" s="44"/>
    </row>
    <row r="23" spans="1:21" ht="15.75" customHeight="1">
      <c r="A23" s="62"/>
      <c r="B23" s="42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4"/>
      <c r="S23" s="62"/>
      <c r="T23" s="42"/>
      <c r="U23" s="44"/>
    </row>
    <row r="24" spans="1:21" ht="15.75" customHeight="1">
      <c r="A24" s="62"/>
      <c r="B24" s="42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4"/>
      <c r="S24" s="62"/>
      <c r="T24" s="42"/>
      <c r="U24" s="44"/>
    </row>
    <row r="25" spans="1:21" ht="15.75" customHeight="1">
      <c r="A25" s="62"/>
      <c r="B25" s="42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4"/>
      <c r="S25" s="62"/>
      <c r="T25" s="42"/>
      <c r="U25" s="44"/>
    </row>
    <row r="26" spans="1:21" ht="15.75" customHeight="1">
      <c r="A26" s="62"/>
      <c r="B26" s="42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4"/>
      <c r="S26" s="62"/>
      <c r="T26" s="42"/>
      <c r="U26" s="44"/>
    </row>
    <row r="27" spans="1:21" ht="15.75" customHeight="1">
      <c r="A27" s="62"/>
      <c r="B27" s="42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4"/>
      <c r="S27" s="62"/>
      <c r="T27" s="42"/>
      <c r="U27" s="44"/>
    </row>
    <row r="28" spans="1:21" ht="15.75" customHeight="1">
      <c r="A28" s="62"/>
      <c r="B28" s="42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4"/>
      <c r="S28" s="62"/>
      <c r="T28" s="42"/>
      <c r="U28" s="44"/>
    </row>
    <row r="29" spans="1:21" ht="15.75" customHeight="1">
      <c r="A29" s="62"/>
      <c r="B29" s="42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4"/>
      <c r="S29" s="62"/>
      <c r="T29" s="42"/>
      <c r="U29" s="44"/>
    </row>
    <row r="30" spans="1:21" ht="15.75" customHeight="1">
      <c r="A30" s="62"/>
      <c r="B30" s="42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4"/>
      <c r="S30" s="62"/>
      <c r="T30" s="42"/>
      <c r="U30" s="44"/>
    </row>
    <row r="31" spans="1:21" ht="15.75" customHeight="1">
      <c r="A31" s="62"/>
      <c r="B31" s="42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4"/>
      <c r="S31" s="62"/>
      <c r="T31" s="42"/>
      <c r="U31" s="44"/>
    </row>
    <row r="32" spans="1:21" ht="15.75" customHeight="1">
      <c r="A32" s="63"/>
      <c r="B32" s="47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9"/>
      <c r="S32" s="63"/>
      <c r="T32" s="47"/>
      <c r="U32" s="49"/>
    </row>
    <row r="33" spans="1:21" ht="15.75" customHeight="1">
      <c r="A33" s="32"/>
      <c r="B33" s="33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5"/>
      <c r="S33" s="32"/>
      <c r="T33" s="33"/>
      <c r="U33" s="35"/>
    </row>
    <row r="34" spans="1:21" ht="15.75" customHeight="1"/>
    <row r="35" spans="1:21" ht="15.75" customHeight="1">
      <c r="B35" s="27" t="s">
        <v>222</v>
      </c>
    </row>
    <row r="36" spans="1:21" ht="15.75" customHeight="1">
      <c r="B36" s="27" t="s">
        <v>220</v>
      </c>
    </row>
    <row r="37" spans="1:21" ht="15.75" customHeight="1">
      <c r="B37" s="28">
        <v>44637</v>
      </c>
    </row>
    <row r="38" spans="1:21" ht="15.75" customHeight="1"/>
    <row r="39" spans="1:21" ht="15.75" customHeight="1"/>
    <row r="40" spans="1:21" ht="15.75" customHeight="1"/>
    <row r="41" spans="1:21" ht="15.75" customHeight="1"/>
    <row r="42" spans="1:21" ht="15.75" customHeight="1"/>
    <row r="43" spans="1:21" ht="15.75" customHeight="1"/>
    <row r="44" spans="1:21" ht="15.75" customHeight="1"/>
    <row r="45" spans="1:21" ht="15.75" customHeight="1"/>
    <row r="46" spans="1:21" ht="15.75" customHeight="1"/>
    <row r="47" spans="1:21" ht="15.75" customHeight="1"/>
    <row r="48" spans="1:21" ht="15.75" customHeight="1"/>
    <row r="49" s="31" customFormat="1" ht="15.75" customHeight="1"/>
    <row r="50" s="31" customFormat="1" ht="15.75" customHeight="1"/>
    <row r="51" s="31" customFormat="1" ht="15.75" customHeight="1"/>
    <row r="52" s="31" customFormat="1" ht="15.75" customHeight="1"/>
    <row r="53" s="31" customFormat="1" ht="15.75" customHeight="1"/>
    <row r="54" s="31" customFormat="1" ht="15.75" customHeight="1"/>
    <row r="55" s="31" customFormat="1" ht="15.75" customHeight="1"/>
    <row r="56" s="31" customFormat="1" ht="15.75" customHeight="1"/>
    <row r="57" s="31" customFormat="1" ht="15.75" customHeight="1"/>
    <row r="58" s="31" customFormat="1" ht="15.75" customHeight="1"/>
    <row r="59" s="31" customFormat="1" ht="15.75" customHeight="1"/>
    <row r="60" s="31" customFormat="1" ht="15.75" customHeight="1"/>
    <row r="61" s="31" customFormat="1" ht="15.75" customHeight="1"/>
    <row r="62" s="31" customFormat="1" ht="15.75" customHeight="1"/>
    <row r="63" s="31" customFormat="1" ht="15.75" customHeight="1"/>
    <row r="64" s="31" customFormat="1" ht="15.75" customHeight="1"/>
    <row r="65" s="31" customFormat="1" ht="15.75" customHeight="1"/>
    <row r="66" s="31" customFormat="1" ht="15.75" customHeight="1"/>
    <row r="67" s="31" customFormat="1" ht="15.75" customHeight="1"/>
    <row r="68" s="31" customFormat="1" ht="15.75" customHeight="1"/>
    <row r="69" s="31" customFormat="1" ht="15.75" customHeight="1"/>
    <row r="70" s="31" customFormat="1" ht="15.75" customHeight="1"/>
    <row r="71" s="31" customFormat="1" ht="15.75" customHeight="1"/>
    <row r="72" s="31" customFormat="1" ht="15.75" customHeight="1"/>
    <row r="73" s="31" customFormat="1" ht="15.75" customHeight="1"/>
    <row r="74" s="31" customFormat="1" ht="15.75" customHeight="1"/>
    <row r="75" s="31" customFormat="1" ht="15.75" customHeight="1"/>
    <row r="76" s="31" customFormat="1" ht="15.75" customHeight="1"/>
    <row r="77" s="31" customFormat="1" ht="15.75" customHeight="1"/>
    <row r="78" s="31" customFormat="1" ht="15.75" customHeight="1"/>
    <row r="79" s="31" customFormat="1" ht="15.75" customHeight="1"/>
    <row r="80" s="31" customFormat="1" ht="15.75" customHeight="1"/>
    <row r="81" s="31" customFormat="1" ht="15.75" customHeight="1"/>
    <row r="82" s="31" customFormat="1" ht="15.75" customHeight="1"/>
    <row r="83" s="31" customFormat="1" ht="15.75" customHeight="1"/>
    <row r="84" s="31" customFormat="1" ht="15.75" customHeight="1"/>
    <row r="85" s="31" customFormat="1" ht="15.75" customHeight="1"/>
    <row r="86" s="31" customFormat="1" ht="15.75" customHeight="1"/>
    <row r="87" s="31" customFormat="1" ht="15.75" customHeight="1"/>
    <row r="88" s="31" customFormat="1" ht="15.75" customHeight="1"/>
    <row r="89" s="31" customFormat="1" ht="15.75" customHeight="1"/>
    <row r="90" s="31" customFormat="1" ht="15.75" customHeight="1"/>
    <row r="91" s="31" customFormat="1" ht="15.75" customHeight="1"/>
    <row r="92" s="31" customFormat="1" ht="15.75" customHeight="1"/>
    <row r="93" s="31" customFormat="1" ht="15.75" customHeight="1"/>
    <row r="94" s="31" customFormat="1" ht="15.75" customHeight="1"/>
    <row r="95" s="31" customFormat="1" ht="15.75" customHeight="1"/>
    <row r="96" s="31" customFormat="1" ht="15.75" customHeight="1"/>
    <row r="97" s="31" customFormat="1" ht="15.75" customHeight="1"/>
    <row r="98" s="31" customFormat="1" ht="15.75" customHeight="1"/>
    <row r="99" s="31" customFormat="1" ht="15.75" customHeight="1"/>
    <row r="100" s="31" customFormat="1" ht="15.75" customHeight="1"/>
    <row r="101" s="31" customFormat="1" ht="15.75" customHeight="1"/>
    <row r="102" s="31" customFormat="1" ht="15.75" customHeight="1"/>
    <row r="103" s="31" customFormat="1" ht="15.75" customHeight="1"/>
    <row r="104" s="31" customFormat="1" ht="15.75" customHeight="1"/>
    <row r="105" s="31" customFormat="1" ht="15.75" customHeight="1"/>
    <row r="106" s="31" customFormat="1" ht="15.75" customHeight="1"/>
    <row r="107" s="31" customFormat="1" ht="15.75" customHeight="1"/>
    <row r="108" s="31" customFormat="1" ht="15.75" customHeight="1"/>
    <row r="109" s="31" customFormat="1" ht="15.75" customHeight="1"/>
    <row r="110" s="31" customFormat="1" ht="15.75" customHeight="1"/>
    <row r="111" s="31" customFormat="1" ht="15.75" customHeight="1"/>
    <row r="112" s="31" customFormat="1" ht="15.75" customHeight="1"/>
    <row r="113" s="31" customFormat="1" ht="15.75" customHeight="1"/>
    <row r="114" s="31" customFormat="1" ht="15.75" customHeight="1"/>
    <row r="115" s="31" customFormat="1" ht="15.75" customHeight="1"/>
    <row r="116" s="31" customFormat="1" ht="15.75" customHeight="1"/>
    <row r="117" s="31" customFormat="1" ht="15.75" customHeight="1"/>
    <row r="118" s="31" customFormat="1" ht="15.75" customHeight="1"/>
    <row r="119" s="31" customFormat="1" ht="15.75" customHeight="1"/>
    <row r="120" s="31" customFormat="1" ht="15.75" customHeight="1"/>
    <row r="121" s="31" customFormat="1" ht="15.75" customHeight="1"/>
    <row r="122" s="31" customFormat="1" ht="15.75" customHeight="1"/>
    <row r="123" s="31" customFormat="1" ht="15.75" customHeight="1"/>
    <row r="124" s="31" customFormat="1" ht="15.75" customHeight="1"/>
    <row r="125" s="31" customFormat="1" ht="15.75" customHeight="1"/>
    <row r="126" s="31" customFormat="1" ht="15.75" customHeight="1"/>
    <row r="127" s="31" customFormat="1" ht="15.75" customHeight="1"/>
    <row r="128" s="31" customFormat="1" ht="15.75" customHeight="1"/>
    <row r="129" s="31" customFormat="1" ht="15.75" customHeight="1"/>
    <row r="130" s="31" customFormat="1" ht="15.75" customHeight="1"/>
    <row r="131" s="31" customFormat="1" ht="15.75" customHeight="1"/>
    <row r="132" s="31" customFormat="1" ht="15.75" customHeight="1"/>
    <row r="133" s="31" customFormat="1" ht="15.75" customHeight="1"/>
    <row r="134" s="31" customFormat="1" ht="15.75" customHeight="1"/>
    <row r="135" s="31" customFormat="1" ht="15.75" customHeight="1"/>
    <row r="136" s="31" customFormat="1" ht="15.75" customHeight="1"/>
    <row r="137" s="31" customFormat="1" ht="15.75" customHeight="1"/>
    <row r="138" s="31" customFormat="1" ht="15.75" customHeight="1"/>
    <row r="139" s="31" customFormat="1" ht="15.75" customHeight="1"/>
    <row r="140" s="31" customFormat="1" ht="15.75" customHeight="1"/>
    <row r="141" s="31" customFormat="1" ht="15.75" customHeight="1"/>
    <row r="142" s="31" customFormat="1" ht="15.75" customHeight="1"/>
    <row r="143" s="31" customFormat="1" ht="15.75" customHeight="1"/>
    <row r="144" s="31" customFormat="1" ht="15.75" customHeight="1"/>
    <row r="145" s="31" customFormat="1" ht="15.75" customHeight="1"/>
    <row r="146" s="31" customFormat="1" ht="15.75" customHeight="1"/>
    <row r="147" s="31" customFormat="1" ht="15.75" customHeight="1"/>
    <row r="148" s="31" customFormat="1" ht="15.75" customHeight="1"/>
    <row r="149" s="31" customFormat="1" ht="15.75" customHeight="1"/>
    <row r="150" s="31" customFormat="1" ht="15.75" customHeight="1"/>
    <row r="151" s="31" customFormat="1" ht="15.75" customHeight="1"/>
    <row r="152" s="31" customFormat="1" ht="15.75" customHeight="1"/>
    <row r="153" s="31" customFormat="1" ht="15.75" customHeight="1"/>
    <row r="154" s="31" customFormat="1" ht="15.75" customHeight="1"/>
    <row r="155" s="31" customFormat="1" ht="15.75" customHeight="1"/>
    <row r="156" s="31" customFormat="1" ht="15.75" customHeight="1"/>
    <row r="157" s="31" customFormat="1" ht="15.75" customHeight="1"/>
    <row r="158" s="31" customFormat="1" ht="15.75" customHeight="1"/>
    <row r="159" s="31" customFormat="1" ht="15.75" customHeight="1"/>
    <row r="160" s="31" customFormat="1" ht="15.75" customHeight="1"/>
    <row r="161" s="31" customFormat="1" ht="15.75" customHeight="1"/>
    <row r="162" s="31" customFormat="1" ht="15.75" customHeight="1"/>
    <row r="163" s="31" customFormat="1" ht="15.75" customHeight="1"/>
    <row r="164" s="31" customFormat="1" ht="15.75" customHeight="1"/>
    <row r="165" s="31" customFormat="1" ht="15.75" customHeight="1"/>
    <row r="166" s="31" customFormat="1" ht="15.75" customHeight="1"/>
    <row r="167" s="31" customFormat="1" ht="15.75" customHeight="1"/>
    <row r="168" s="31" customFormat="1" ht="15.75" customHeight="1"/>
    <row r="169" s="31" customFormat="1" ht="15.75" customHeight="1"/>
    <row r="170" s="31" customFormat="1" ht="15.75" customHeight="1"/>
    <row r="171" s="31" customFormat="1" ht="15.75" customHeight="1"/>
    <row r="172" s="31" customFormat="1" ht="15.75" customHeight="1"/>
    <row r="173" s="31" customFormat="1" ht="15.75" customHeight="1"/>
    <row r="174" s="31" customFormat="1" ht="15.75" customHeight="1"/>
    <row r="175" s="31" customFormat="1" ht="15.75" customHeight="1"/>
    <row r="176" s="31" customFormat="1" ht="15.75" customHeight="1"/>
    <row r="177" s="31" customFormat="1" ht="15.75" customHeight="1"/>
    <row r="178" s="31" customFormat="1" ht="15.75" customHeight="1"/>
    <row r="179" s="31" customFormat="1" ht="15.75" customHeight="1"/>
    <row r="180" s="31" customFormat="1" ht="15.75" customHeight="1"/>
    <row r="181" s="31" customFormat="1" ht="15.75" customHeight="1"/>
    <row r="182" s="31" customFormat="1" ht="15.75" customHeight="1"/>
    <row r="183" s="31" customFormat="1" ht="15.75" customHeight="1"/>
    <row r="184" s="31" customFormat="1" ht="15.75" customHeight="1"/>
    <row r="185" s="31" customFormat="1" ht="15.75" customHeight="1"/>
    <row r="186" s="31" customFormat="1" ht="15.75" customHeight="1"/>
    <row r="187" s="31" customFormat="1" ht="15.75" customHeight="1"/>
    <row r="188" s="31" customFormat="1" ht="15.75" customHeight="1"/>
    <row r="189" s="31" customFormat="1" ht="15.75" customHeight="1"/>
    <row r="190" s="31" customFormat="1" ht="15.75" customHeight="1"/>
    <row r="191" s="31" customFormat="1" ht="15.75" customHeight="1"/>
    <row r="192" s="31" customFormat="1" ht="15.75" customHeight="1"/>
    <row r="193" s="31" customFormat="1" ht="15.75" customHeight="1"/>
    <row r="194" s="31" customFormat="1" ht="15.75" customHeight="1"/>
    <row r="195" s="31" customFormat="1" ht="15.75" customHeight="1"/>
    <row r="196" s="31" customFormat="1" ht="15.75" customHeight="1"/>
    <row r="197" s="31" customFormat="1" ht="15.75" customHeight="1"/>
    <row r="198" s="31" customFormat="1" ht="15.75" customHeight="1"/>
    <row r="199" s="31" customFormat="1" ht="15.75" customHeight="1"/>
    <row r="200" s="31" customFormat="1" ht="15.75" customHeight="1"/>
    <row r="201" s="31" customFormat="1" ht="15.75" customHeight="1"/>
    <row r="202" s="31" customFormat="1" ht="15.75" customHeight="1"/>
    <row r="203" s="31" customFormat="1" ht="15.75" customHeight="1"/>
    <row r="204" s="31" customFormat="1" ht="15.75" customHeight="1"/>
    <row r="205" s="31" customFormat="1" ht="15.75" customHeight="1"/>
    <row r="206" s="31" customFormat="1" ht="15.75" customHeight="1"/>
    <row r="207" s="31" customFormat="1" ht="15.75" customHeight="1"/>
    <row r="208" s="31" customFormat="1" ht="15.75" customHeight="1"/>
    <row r="209" s="31" customFormat="1" ht="15.75" customHeight="1"/>
    <row r="210" s="31" customFormat="1" ht="15.75" customHeight="1"/>
    <row r="211" s="31" customFormat="1" ht="15.75" customHeight="1"/>
    <row r="212" s="31" customFormat="1" ht="15.75" customHeight="1"/>
    <row r="213" s="31" customFormat="1" ht="15.75" customHeight="1"/>
    <row r="214" s="31" customFormat="1" ht="15.75" customHeight="1"/>
    <row r="215" s="31" customFormat="1" ht="15.75" customHeight="1"/>
    <row r="216" s="31" customFormat="1" ht="15.75" customHeight="1"/>
    <row r="217" s="31" customFormat="1" ht="15.75" customHeight="1"/>
    <row r="218" s="31" customFormat="1" ht="15.75" customHeight="1"/>
    <row r="219" s="31" customFormat="1" ht="15.75" customHeight="1"/>
    <row r="220" s="31" customFormat="1" ht="15.75" customHeight="1"/>
    <row r="221" s="31" customFormat="1" ht="15.75" customHeight="1"/>
    <row r="222" s="31" customFormat="1" ht="15.75" customHeight="1"/>
    <row r="223" s="31" customFormat="1" ht="15.75" customHeight="1"/>
    <row r="224" s="31" customFormat="1" ht="15.75" customHeight="1"/>
    <row r="225" s="31" customFormat="1" ht="15.75" customHeight="1"/>
    <row r="226" s="31" customFormat="1" ht="15.75" customHeight="1"/>
    <row r="227" s="31" customFormat="1" ht="15.75" customHeight="1"/>
    <row r="228" s="31" customFormat="1" ht="15.75" customHeight="1"/>
    <row r="229" s="31" customFormat="1" ht="15.75" customHeight="1"/>
    <row r="230" s="31" customFormat="1" ht="15.75" customHeight="1"/>
    <row r="231" s="31" customFormat="1" ht="15.75" customHeight="1"/>
    <row r="232" s="31" customFormat="1" ht="15.75" customHeight="1"/>
    <row r="233" s="31" customFormat="1" ht="15.75" customHeight="1"/>
    <row r="234" s="31" customFormat="1" ht="15.75" customHeight="1"/>
    <row r="235" s="31" customFormat="1" ht="15.75" customHeight="1"/>
    <row r="236" s="31" customFormat="1" ht="15.75" customHeight="1"/>
    <row r="237" s="31" customFormat="1" ht="15.75" customHeight="1"/>
    <row r="238" s="31" customFormat="1" ht="15.75" customHeight="1"/>
    <row r="239" s="31" customFormat="1" ht="15.75" customHeight="1"/>
    <row r="240" s="31" customFormat="1" ht="15.75" customHeight="1"/>
    <row r="241" s="31" customFormat="1" ht="15.75" customHeight="1"/>
    <row r="242" s="31" customFormat="1" ht="15.75" customHeight="1"/>
    <row r="243" s="31" customFormat="1" ht="15.75" customHeight="1"/>
    <row r="244" s="31" customFormat="1" ht="15.75" customHeight="1"/>
    <row r="245" s="31" customFormat="1" ht="15.75" customHeight="1"/>
    <row r="246" s="31" customFormat="1" ht="15.75" customHeight="1"/>
    <row r="247" s="31" customFormat="1" ht="15.75" customHeight="1"/>
    <row r="248" s="31" customFormat="1" ht="15.75" customHeight="1"/>
    <row r="249" s="31" customFormat="1" ht="15.75" customHeight="1"/>
    <row r="250" s="31" customFormat="1" ht="15.75" customHeight="1"/>
    <row r="251" s="31" customFormat="1" ht="15.75" customHeight="1"/>
    <row r="252" s="31" customFormat="1" ht="15.75" customHeight="1"/>
    <row r="253" s="31" customFormat="1" ht="15.75" customHeight="1"/>
    <row r="254" s="31" customFormat="1" ht="15.75" customHeight="1"/>
    <row r="255" s="31" customFormat="1" ht="15.75" customHeight="1"/>
    <row r="256" s="31" customFormat="1" ht="15.75" customHeight="1"/>
    <row r="257" s="31" customFormat="1" ht="15.75" customHeight="1"/>
    <row r="258" s="31" customFormat="1" ht="15.75" customHeight="1"/>
    <row r="259" s="31" customFormat="1" ht="15.75" customHeight="1"/>
    <row r="260" s="31" customFormat="1" ht="15.75" customHeight="1"/>
    <row r="261" s="31" customFormat="1" ht="15.75" customHeight="1"/>
    <row r="262" s="31" customFormat="1" ht="15.75" customHeight="1"/>
    <row r="263" s="31" customFormat="1" ht="15.75" customHeight="1"/>
    <row r="264" s="31" customFormat="1" ht="15.75" customHeight="1"/>
    <row r="265" s="31" customFormat="1" ht="15.75" customHeight="1"/>
    <row r="266" s="31" customFormat="1" ht="15.75" customHeight="1"/>
    <row r="267" s="31" customFormat="1" ht="15.75" customHeight="1"/>
    <row r="268" s="31" customFormat="1" ht="15.75" customHeight="1"/>
    <row r="269" s="31" customFormat="1" ht="15.75" customHeight="1"/>
    <row r="270" s="31" customFormat="1" ht="15.75" customHeight="1"/>
    <row r="271" s="31" customFormat="1" ht="15.75" customHeight="1"/>
    <row r="272" s="31" customFormat="1" ht="15.75" customHeight="1"/>
    <row r="273" s="31" customFormat="1" ht="15.75" customHeight="1"/>
    <row r="274" s="31" customFormat="1" ht="15.75" customHeight="1"/>
    <row r="275" s="31" customFormat="1" ht="15.75" customHeight="1"/>
    <row r="276" s="31" customFormat="1" ht="15.75" customHeight="1"/>
    <row r="277" s="31" customFormat="1" ht="15.75" customHeight="1"/>
    <row r="278" s="31" customFormat="1" ht="15.75" customHeight="1"/>
    <row r="279" s="31" customFormat="1" ht="15.75" customHeight="1"/>
    <row r="280" s="31" customFormat="1" ht="15.75" customHeight="1"/>
    <row r="281" s="31" customFormat="1" ht="15.75" customHeight="1"/>
    <row r="282" s="31" customFormat="1" ht="15.75" customHeight="1"/>
    <row r="283" s="31" customFormat="1" ht="15.75" customHeight="1"/>
    <row r="284" s="31" customFormat="1" ht="15.75" customHeight="1"/>
    <row r="285" s="31" customFormat="1" ht="15.75" customHeight="1"/>
    <row r="286" s="31" customFormat="1" ht="15.75" customHeight="1"/>
    <row r="287" s="31" customFormat="1" ht="15.75" customHeight="1"/>
    <row r="288" s="31" customFormat="1" ht="15.75" customHeight="1"/>
    <row r="289" s="31" customFormat="1" ht="15.75" customHeight="1"/>
    <row r="290" s="31" customFormat="1" ht="15.75" customHeight="1"/>
    <row r="291" s="31" customFormat="1" ht="15.75" customHeight="1"/>
    <row r="292" s="31" customFormat="1" ht="15.75" customHeight="1"/>
    <row r="293" s="31" customFormat="1" ht="15.75" customHeight="1"/>
    <row r="294" s="31" customFormat="1" ht="15.75" customHeight="1"/>
    <row r="295" s="31" customFormat="1" ht="15.75" customHeight="1"/>
    <row r="296" s="31" customFormat="1" ht="15.75" customHeight="1"/>
    <row r="297" s="31" customFormat="1" ht="15.75" customHeight="1"/>
    <row r="298" s="31" customFormat="1" ht="15.75" customHeight="1"/>
    <row r="299" s="31" customFormat="1" ht="15.75" customHeight="1"/>
    <row r="300" s="31" customFormat="1" ht="15.75" customHeight="1"/>
    <row r="301" s="31" customFormat="1" ht="15.75" customHeight="1"/>
    <row r="302" s="31" customFormat="1" ht="15.75" customHeight="1"/>
    <row r="303" s="31" customFormat="1" ht="15.75" customHeight="1"/>
    <row r="304" s="31" customFormat="1" ht="15.75" customHeight="1"/>
    <row r="305" s="31" customFormat="1" ht="15.75" customHeight="1"/>
    <row r="306" s="31" customFormat="1" ht="15.75" customHeight="1"/>
    <row r="307" s="31" customFormat="1" ht="15.75" customHeight="1"/>
    <row r="308" s="31" customFormat="1" ht="15.75" customHeight="1"/>
    <row r="309" s="31" customFormat="1" ht="15.75" customHeight="1"/>
    <row r="310" s="31" customFormat="1" ht="15.75" customHeight="1"/>
    <row r="311" s="31" customFormat="1" ht="15.75" customHeight="1"/>
    <row r="312" s="31" customFormat="1" ht="15.75" customHeight="1"/>
    <row r="313" s="31" customFormat="1" ht="15.75" customHeight="1"/>
    <row r="314" s="31" customFormat="1" ht="15.75" customHeight="1"/>
    <row r="315" s="31" customFormat="1" ht="15.75" customHeight="1"/>
    <row r="316" s="31" customFormat="1" ht="15.75" customHeight="1"/>
    <row r="317" s="31" customFormat="1" ht="15.75" customHeight="1"/>
    <row r="318" s="31" customFormat="1" ht="15.75" customHeight="1"/>
    <row r="319" s="31" customFormat="1" ht="15.75" customHeight="1"/>
    <row r="320" s="31" customFormat="1" ht="15.75" customHeight="1"/>
    <row r="321" s="31" customFormat="1" ht="15.75" customHeight="1"/>
    <row r="322" s="31" customFormat="1" ht="15.75" customHeight="1"/>
    <row r="323" s="31" customFormat="1" ht="15.75" customHeight="1"/>
    <row r="324" s="31" customFormat="1" ht="15.75" customHeight="1"/>
    <row r="325" s="31" customFormat="1" ht="15.75" customHeight="1"/>
    <row r="326" s="31" customFormat="1" ht="15.75" customHeight="1"/>
    <row r="327" s="31" customFormat="1" ht="15.75" customHeight="1"/>
    <row r="328" s="31" customFormat="1" ht="15.75" customHeight="1"/>
    <row r="329" s="31" customFormat="1" ht="15.75" customHeight="1"/>
    <row r="330" s="31" customFormat="1" ht="15.75" customHeight="1"/>
    <row r="331" s="31" customFormat="1" ht="15.75" customHeight="1"/>
    <row r="332" s="31" customFormat="1" ht="15.75" customHeight="1"/>
    <row r="333" s="31" customFormat="1" ht="15.75" customHeight="1"/>
    <row r="334" s="31" customFormat="1" ht="15.75" customHeight="1"/>
    <row r="335" s="31" customFormat="1" ht="15.75" customHeight="1"/>
    <row r="336" s="31" customFormat="1" ht="15.75" customHeight="1"/>
    <row r="337" s="31" customFormat="1" ht="15.75" customHeight="1"/>
    <row r="338" s="31" customFormat="1" ht="15.75" customHeight="1"/>
    <row r="339" s="31" customFormat="1" ht="15.75" customHeight="1"/>
    <row r="340" s="31" customFormat="1" ht="15.75" customHeight="1"/>
    <row r="341" s="31" customFormat="1" ht="15.75" customHeight="1"/>
    <row r="342" s="31" customFormat="1" ht="15.75" customHeight="1"/>
    <row r="343" s="31" customFormat="1" ht="15.75" customHeight="1"/>
    <row r="344" s="31" customFormat="1" ht="15.75" customHeight="1"/>
    <row r="345" s="31" customFormat="1" ht="15.75" customHeight="1"/>
    <row r="346" s="31" customFormat="1" ht="15.75" customHeight="1"/>
    <row r="347" s="31" customFormat="1" ht="15.75" customHeight="1"/>
    <row r="348" s="31" customFormat="1" ht="15.75" customHeight="1"/>
    <row r="349" s="31" customFormat="1" ht="15.75" customHeight="1"/>
    <row r="350" s="31" customFormat="1" ht="15.75" customHeight="1"/>
    <row r="351" s="31" customFormat="1" ht="15.75" customHeight="1"/>
    <row r="352" s="31" customFormat="1" ht="15.75" customHeight="1"/>
    <row r="353" s="31" customFormat="1" ht="15.75" customHeight="1"/>
    <row r="354" s="31" customFormat="1" ht="15.75" customHeight="1"/>
    <row r="355" s="31" customFormat="1" ht="15.75" customHeight="1"/>
    <row r="356" s="31" customFormat="1" ht="15.75" customHeight="1"/>
    <row r="357" s="31" customFormat="1" ht="15.75" customHeight="1"/>
    <row r="358" s="31" customFormat="1" ht="15.75" customHeight="1"/>
    <row r="359" s="31" customFormat="1" ht="15.75" customHeight="1"/>
    <row r="360" s="31" customFormat="1" ht="15.75" customHeight="1"/>
    <row r="361" s="31" customFormat="1" ht="15.75" customHeight="1"/>
    <row r="362" s="31" customFormat="1" ht="15.75" customHeight="1"/>
    <row r="363" s="31" customFormat="1" ht="15.75" customHeight="1"/>
    <row r="364" s="31" customFormat="1" ht="15.75" customHeight="1"/>
    <row r="365" s="31" customFormat="1" ht="15.75" customHeight="1"/>
    <row r="366" s="31" customFormat="1" ht="15.75" customHeight="1"/>
    <row r="367" s="31" customFormat="1" ht="15.75" customHeight="1"/>
    <row r="368" s="31" customFormat="1" ht="15.75" customHeight="1"/>
    <row r="369" s="31" customFormat="1" ht="15.75" customHeight="1"/>
    <row r="370" s="31" customFormat="1" ht="15.75" customHeight="1"/>
    <row r="371" s="31" customFormat="1" ht="15.75" customHeight="1"/>
    <row r="372" s="31" customFormat="1" ht="15.75" customHeight="1"/>
    <row r="373" s="31" customFormat="1" ht="15.75" customHeight="1"/>
    <row r="374" s="31" customFormat="1" ht="15.75" customHeight="1"/>
    <row r="375" s="31" customFormat="1" ht="15.75" customHeight="1"/>
    <row r="376" s="31" customFormat="1" ht="15.75" customHeight="1"/>
    <row r="377" s="31" customFormat="1" ht="15.75" customHeight="1"/>
    <row r="378" s="31" customFormat="1" ht="15.75" customHeight="1"/>
    <row r="379" s="31" customFormat="1" ht="15.75" customHeight="1"/>
    <row r="380" s="31" customFormat="1" ht="15.75" customHeight="1"/>
    <row r="381" s="31" customFormat="1" ht="15.75" customHeight="1"/>
    <row r="382" s="31" customFormat="1" ht="15.75" customHeight="1"/>
    <row r="383" s="31" customFormat="1" ht="15.75" customHeight="1"/>
    <row r="384" s="31" customFormat="1" ht="15.75" customHeight="1"/>
    <row r="385" s="31" customFormat="1" ht="15.75" customHeight="1"/>
    <row r="386" s="31" customFormat="1" ht="15.75" customHeight="1"/>
    <row r="387" s="31" customFormat="1" ht="15.75" customHeight="1"/>
    <row r="388" s="31" customFormat="1" ht="15.75" customHeight="1"/>
    <row r="389" s="31" customFormat="1" ht="15.75" customHeight="1"/>
    <row r="390" s="31" customFormat="1" ht="15.75" customHeight="1"/>
    <row r="391" s="31" customFormat="1" ht="15.75" customHeight="1"/>
    <row r="392" s="31" customFormat="1" ht="15.75" customHeight="1"/>
    <row r="393" s="31" customFormat="1" ht="15.75" customHeight="1"/>
    <row r="394" s="31" customFormat="1" ht="15.75" customHeight="1"/>
    <row r="395" s="31" customFormat="1" ht="15.75" customHeight="1"/>
    <row r="396" s="31" customFormat="1" ht="15.75" customHeight="1"/>
    <row r="397" s="31" customFormat="1" ht="15.75" customHeight="1"/>
    <row r="398" s="31" customFormat="1" ht="15.75" customHeight="1"/>
    <row r="399" s="31" customFormat="1" ht="15.75" customHeight="1"/>
    <row r="400" s="31" customFormat="1" ht="15.75" customHeight="1"/>
    <row r="401" s="31" customFormat="1" ht="15.75" customHeight="1"/>
    <row r="402" s="31" customFormat="1" ht="15.75" customHeight="1"/>
    <row r="403" s="31" customFormat="1" ht="15.75" customHeight="1"/>
    <row r="404" s="31" customFormat="1" ht="15.75" customHeight="1"/>
    <row r="405" s="31" customFormat="1" ht="15.75" customHeight="1"/>
    <row r="406" s="31" customFormat="1" ht="15.75" customHeight="1"/>
    <row r="407" s="31" customFormat="1" ht="15.75" customHeight="1"/>
    <row r="408" s="31" customFormat="1" ht="15.75" customHeight="1"/>
    <row r="409" s="31" customFormat="1" ht="15.75" customHeight="1"/>
    <row r="410" s="31" customFormat="1" ht="15.75" customHeight="1"/>
    <row r="411" s="31" customFormat="1" ht="15.75" customHeight="1"/>
    <row r="412" s="31" customFormat="1" ht="15.75" customHeight="1"/>
    <row r="413" s="31" customFormat="1" ht="15.75" customHeight="1"/>
    <row r="414" s="31" customFormat="1" ht="15.75" customHeight="1"/>
    <row r="415" s="31" customFormat="1" ht="15.75" customHeight="1"/>
    <row r="416" s="31" customFormat="1" ht="15.75" customHeight="1"/>
    <row r="417" s="31" customFormat="1" ht="15.75" customHeight="1"/>
    <row r="418" s="31" customFormat="1" ht="15.75" customHeight="1"/>
    <row r="419" s="31" customFormat="1" ht="15.75" customHeight="1"/>
    <row r="420" s="31" customFormat="1" ht="15.75" customHeight="1"/>
    <row r="421" s="31" customFormat="1" ht="15.75" customHeight="1"/>
    <row r="422" s="31" customFormat="1" ht="15.75" customHeight="1"/>
    <row r="423" s="31" customFormat="1" ht="15.75" customHeight="1"/>
    <row r="424" s="31" customFormat="1" ht="15.75" customHeight="1"/>
    <row r="425" s="31" customFormat="1" ht="15.75" customHeight="1"/>
    <row r="426" s="31" customFormat="1" ht="15.75" customHeight="1"/>
    <row r="427" s="31" customFormat="1" ht="15.75" customHeight="1"/>
    <row r="428" s="31" customFormat="1" ht="15.75" customHeight="1"/>
    <row r="429" s="31" customFormat="1" ht="15.75" customHeight="1"/>
    <row r="430" s="31" customFormat="1" ht="15.75" customHeight="1"/>
    <row r="431" s="31" customFormat="1" ht="15.75" customHeight="1"/>
    <row r="432" s="31" customFormat="1" ht="15.75" customHeight="1"/>
    <row r="433" s="31" customFormat="1" ht="15.75" customHeight="1"/>
    <row r="434" s="31" customFormat="1" ht="15.75" customHeight="1"/>
    <row r="435" s="31" customFormat="1" ht="15.75" customHeight="1"/>
    <row r="436" s="31" customFormat="1" ht="15.75" customHeight="1"/>
    <row r="437" s="31" customFormat="1" ht="15.75" customHeight="1"/>
    <row r="438" s="31" customFormat="1" ht="15.75" customHeight="1"/>
    <row r="439" s="31" customFormat="1" ht="15.75" customHeight="1"/>
    <row r="440" s="31" customFormat="1" ht="15.75" customHeight="1"/>
    <row r="441" s="31" customFormat="1" ht="15.75" customHeight="1"/>
    <row r="442" s="31" customFormat="1" ht="15.75" customHeight="1"/>
    <row r="443" s="31" customFormat="1" ht="15.75" customHeight="1"/>
    <row r="444" s="31" customFormat="1" ht="15.75" customHeight="1"/>
    <row r="445" s="31" customFormat="1" ht="15.75" customHeight="1"/>
    <row r="446" s="31" customFormat="1" ht="15.75" customHeight="1"/>
    <row r="447" s="31" customFormat="1" ht="15.75" customHeight="1"/>
    <row r="448" s="31" customFormat="1" ht="15.75" customHeight="1"/>
    <row r="449" s="31" customFormat="1" ht="15.75" customHeight="1"/>
    <row r="450" s="31" customFormat="1" ht="15.75" customHeight="1"/>
    <row r="451" s="31" customFormat="1" ht="15.75" customHeight="1"/>
    <row r="452" s="31" customFormat="1" ht="15.75" customHeight="1"/>
    <row r="453" s="31" customFormat="1" ht="15.75" customHeight="1"/>
    <row r="454" s="31" customFormat="1" ht="15.75" customHeight="1"/>
    <row r="455" s="31" customFormat="1" ht="15.75" customHeight="1"/>
    <row r="456" s="31" customFormat="1" ht="15.75" customHeight="1"/>
    <row r="457" s="31" customFormat="1" ht="15.75" customHeight="1"/>
    <row r="458" s="31" customFormat="1" ht="15.75" customHeight="1"/>
    <row r="459" s="31" customFormat="1" ht="15.75" customHeight="1"/>
    <row r="460" s="31" customFormat="1" ht="15.75" customHeight="1"/>
    <row r="461" s="31" customFormat="1" ht="15.75" customHeight="1"/>
    <row r="462" s="31" customFormat="1" ht="15.75" customHeight="1"/>
    <row r="463" s="31" customFormat="1" ht="15.75" customHeight="1"/>
    <row r="464" s="31" customFormat="1" ht="15.75" customHeight="1"/>
    <row r="465" s="31" customFormat="1" ht="15.75" customHeight="1"/>
    <row r="466" s="31" customFormat="1" ht="15.75" customHeight="1"/>
    <row r="467" s="31" customFormat="1" ht="15.75" customHeight="1"/>
    <row r="468" s="31" customFormat="1" ht="15.75" customHeight="1"/>
    <row r="469" s="31" customFormat="1" ht="15.75" customHeight="1"/>
    <row r="470" s="31" customFormat="1" ht="15.75" customHeight="1"/>
    <row r="471" s="31" customFormat="1" ht="15.75" customHeight="1"/>
    <row r="472" s="31" customFormat="1" ht="15.75" customHeight="1"/>
    <row r="473" s="31" customFormat="1" ht="15.75" customHeight="1"/>
    <row r="474" s="31" customFormat="1" ht="15.75" customHeight="1"/>
    <row r="475" s="31" customFormat="1" ht="15.75" customHeight="1"/>
    <row r="476" s="31" customFormat="1" ht="15.75" customHeight="1"/>
    <row r="477" s="31" customFormat="1" ht="15.75" customHeight="1"/>
    <row r="478" s="31" customFormat="1" ht="15.75" customHeight="1"/>
    <row r="479" s="31" customFormat="1" ht="15.75" customHeight="1"/>
    <row r="480" s="31" customFormat="1" ht="15.75" customHeight="1"/>
    <row r="481" s="31" customFormat="1" ht="15.75" customHeight="1"/>
    <row r="482" s="31" customFormat="1" ht="15.75" customHeight="1"/>
    <row r="483" s="31" customFormat="1" ht="15.75" customHeight="1"/>
    <row r="484" s="31" customFormat="1" ht="15.75" customHeight="1"/>
    <row r="485" s="31" customFormat="1" ht="15.75" customHeight="1"/>
    <row r="486" s="31" customFormat="1" ht="15.75" customHeight="1"/>
    <row r="487" s="31" customFormat="1" ht="15.75" customHeight="1"/>
    <row r="488" s="31" customFormat="1" ht="15.75" customHeight="1"/>
    <row r="489" s="31" customFormat="1" ht="15.75" customHeight="1"/>
    <row r="490" s="31" customFormat="1" ht="15.75" customHeight="1"/>
    <row r="491" s="31" customFormat="1" ht="15.75" customHeight="1"/>
    <row r="492" s="31" customFormat="1" ht="15.75" customHeight="1"/>
    <row r="493" s="31" customFormat="1" ht="15.75" customHeight="1"/>
    <row r="494" s="31" customFormat="1" ht="15.75" customHeight="1"/>
    <row r="495" s="31" customFormat="1" ht="15.75" customHeight="1"/>
    <row r="496" s="31" customFormat="1" ht="15.75" customHeight="1"/>
    <row r="497" s="31" customFormat="1" ht="15.75" customHeight="1"/>
    <row r="498" s="31" customFormat="1" ht="15.75" customHeight="1"/>
    <row r="499" s="31" customFormat="1" ht="15.75" customHeight="1"/>
    <row r="500" s="31" customFormat="1" ht="15.75" customHeight="1"/>
    <row r="501" s="31" customFormat="1" ht="15.75" customHeight="1"/>
    <row r="502" s="31" customFormat="1" ht="15.75" customHeight="1"/>
    <row r="503" s="31" customFormat="1" ht="15.75" customHeight="1"/>
    <row r="504" s="31" customFormat="1" ht="15.75" customHeight="1"/>
    <row r="505" s="31" customFormat="1" ht="15.75" customHeight="1"/>
    <row r="506" s="31" customFormat="1" ht="15.75" customHeight="1"/>
    <row r="507" s="31" customFormat="1" ht="15.75" customHeight="1"/>
    <row r="508" s="31" customFormat="1" ht="15.75" customHeight="1"/>
    <row r="509" s="31" customFormat="1" ht="15.75" customHeight="1"/>
    <row r="510" s="31" customFormat="1" ht="15.75" customHeight="1"/>
    <row r="511" s="31" customFormat="1" ht="15.75" customHeight="1"/>
    <row r="512" s="31" customFormat="1" ht="15.75" customHeight="1"/>
    <row r="513" s="31" customFormat="1" ht="15.75" customHeight="1"/>
    <row r="514" s="31" customFormat="1" ht="15.75" customHeight="1"/>
    <row r="515" s="31" customFormat="1" ht="15.75" customHeight="1"/>
    <row r="516" s="31" customFormat="1" ht="15.75" customHeight="1"/>
    <row r="517" s="31" customFormat="1" ht="15.75" customHeight="1"/>
    <row r="518" s="31" customFormat="1" ht="15.75" customHeight="1"/>
    <row r="519" s="31" customFormat="1" ht="15.75" customHeight="1"/>
    <row r="520" s="31" customFormat="1" ht="15.75" customHeight="1"/>
    <row r="521" s="31" customFormat="1" ht="15.75" customHeight="1"/>
    <row r="522" s="31" customFormat="1" ht="15.75" customHeight="1"/>
    <row r="523" s="31" customFormat="1" ht="15.75" customHeight="1"/>
    <row r="524" s="31" customFormat="1" ht="15.75" customHeight="1"/>
    <row r="525" s="31" customFormat="1" ht="15.75" customHeight="1"/>
    <row r="526" s="31" customFormat="1" ht="15.75" customHeight="1"/>
    <row r="527" s="31" customFormat="1" ht="15.75" customHeight="1"/>
    <row r="528" s="31" customFormat="1" ht="15.75" customHeight="1"/>
    <row r="529" s="31" customFormat="1" ht="15.75" customHeight="1"/>
    <row r="530" s="31" customFormat="1" ht="15.75" customHeight="1"/>
    <row r="531" s="31" customFormat="1" ht="15.75" customHeight="1"/>
    <row r="532" s="31" customFormat="1" ht="15.75" customHeight="1"/>
    <row r="533" s="31" customFormat="1" ht="15.75" customHeight="1"/>
    <row r="534" s="31" customFormat="1" ht="15.75" customHeight="1"/>
    <row r="535" s="31" customFormat="1" ht="15.75" customHeight="1"/>
    <row r="536" s="31" customFormat="1" ht="15.75" customHeight="1"/>
    <row r="537" s="31" customFormat="1" ht="15.75" customHeight="1"/>
    <row r="538" s="31" customFormat="1" ht="15.75" customHeight="1"/>
    <row r="539" s="31" customFormat="1" ht="15.75" customHeight="1"/>
    <row r="540" s="31" customFormat="1" ht="15.75" customHeight="1"/>
    <row r="541" s="31" customFormat="1" ht="15.75" customHeight="1"/>
    <row r="542" s="31" customFormat="1" ht="15.75" customHeight="1"/>
    <row r="543" s="31" customFormat="1" ht="15.75" customHeight="1"/>
    <row r="544" s="31" customFormat="1" ht="15.75" customHeight="1"/>
    <row r="545" s="31" customFormat="1" ht="15.75" customHeight="1"/>
    <row r="546" s="31" customFormat="1" ht="15.75" customHeight="1"/>
    <row r="547" s="31" customFormat="1" ht="15.75" customHeight="1"/>
    <row r="548" s="31" customFormat="1" ht="15.75" customHeight="1"/>
    <row r="549" s="31" customFormat="1" ht="15.75" customHeight="1"/>
    <row r="550" s="31" customFormat="1" ht="15.75" customHeight="1"/>
    <row r="551" s="31" customFormat="1" ht="15.75" customHeight="1"/>
    <row r="552" s="31" customFormat="1" ht="15.75" customHeight="1"/>
    <row r="553" s="31" customFormat="1" ht="15.75" customHeight="1"/>
    <row r="554" s="31" customFormat="1" ht="15.75" customHeight="1"/>
    <row r="555" s="31" customFormat="1" ht="15.75" customHeight="1"/>
    <row r="556" s="31" customFormat="1" ht="15.75" customHeight="1"/>
    <row r="557" s="31" customFormat="1" ht="15.75" customHeight="1"/>
    <row r="558" s="31" customFormat="1" ht="15.75" customHeight="1"/>
    <row r="559" s="31" customFormat="1" ht="15.75" customHeight="1"/>
    <row r="560" s="31" customFormat="1" ht="15.75" customHeight="1"/>
    <row r="561" s="31" customFormat="1" ht="15.75" customHeight="1"/>
    <row r="562" s="31" customFormat="1" ht="15.75" customHeight="1"/>
    <row r="563" s="31" customFormat="1" ht="15.75" customHeight="1"/>
    <row r="564" s="31" customFormat="1" ht="15.75" customHeight="1"/>
    <row r="565" s="31" customFormat="1" ht="15.75" customHeight="1"/>
    <row r="566" s="31" customFormat="1" ht="15.75" customHeight="1"/>
    <row r="567" s="31" customFormat="1" ht="15.75" customHeight="1"/>
    <row r="568" s="31" customFormat="1" ht="15.75" customHeight="1"/>
    <row r="569" s="31" customFormat="1" ht="15.75" customHeight="1"/>
    <row r="570" s="31" customFormat="1" ht="15.75" customHeight="1"/>
    <row r="571" s="31" customFormat="1" ht="15.75" customHeight="1"/>
    <row r="572" s="31" customFormat="1" ht="15.75" customHeight="1"/>
    <row r="573" s="31" customFormat="1" ht="15.75" customHeight="1"/>
    <row r="574" s="31" customFormat="1" ht="15.75" customHeight="1"/>
    <row r="575" s="31" customFormat="1" ht="15.75" customHeight="1"/>
    <row r="576" s="31" customFormat="1" ht="15.75" customHeight="1"/>
    <row r="577" s="31" customFormat="1" ht="15.75" customHeight="1"/>
    <row r="578" s="31" customFormat="1" ht="15.75" customHeight="1"/>
    <row r="579" s="31" customFormat="1" ht="15.75" customHeight="1"/>
    <row r="580" s="31" customFormat="1" ht="15.75" customHeight="1"/>
    <row r="581" s="31" customFormat="1" ht="15.75" customHeight="1"/>
    <row r="582" s="31" customFormat="1" ht="15.75" customHeight="1"/>
    <row r="583" s="31" customFormat="1" ht="15.75" customHeight="1"/>
    <row r="584" s="31" customFormat="1" ht="15.75" customHeight="1"/>
    <row r="585" s="31" customFormat="1" ht="15.75" customHeight="1"/>
    <row r="586" s="31" customFormat="1" ht="15.75" customHeight="1"/>
    <row r="587" s="31" customFormat="1" ht="15.75" customHeight="1"/>
    <row r="588" s="31" customFormat="1" ht="15.75" customHeight="1"/>
    <row r="589" s="31" customFormat="1" ht="15.75" customHeight="1"/>
    <row r="590" s="31" customFormat="1" ht="15.75" customHeight="1"/>
    <row r="591" s="31" customFormat="1" ht="15.75" customHeight="1"/>
    <row r="592" s="31" customFormat="1" ht="15.75" customHeight="1"/>
    <row r="593" s="31" customFormat="1" ht="15.75" customHeight="1"/>
    <row r="594" s="31" customFormat="1" ht="15.75" customHeight="1"/>
    <row r="595" s="31" customFormat="1" ht="15.75" customHeight="1"/>
    <row r="596" s="31" customFormat="1" ht="15.75" customHeight="1"/>
    <row r="597" s="31" customFormat="1" ht="15.75" customHeight="1"/>
    <row r="598" s="31" customFormat="1" ht="15.75" customHeight="1"/>
    <row r="599" s="31" customFormat="1" ht="15.75" customHeight="1"/>
    <row r="600" s="31" customFormat="1" ht="15.75" customHeight="1"/>
    <row r="601" s="31" customFormat="1" ht="15.75" customHeight="1"/>
    <row r="602" s="31" customFormat="1" ht="15.75" customHeight="1"/>
    <row r="603" s="31" customFormat="1" ht="15.75" customHeight="1"/>
    <row r="604" s="31" customFormat="1" ht="15.75" customHeight="1"/>
    <row r="605" s="31" customFormat="1" ht="15.75" customHeight="1"/>
    <row r="606" s="31" customFormat="1" ht="15.75" customHeight="1"/>
    <row r="607" s="31" customFormat="1" ht="15.75" customHeight="1"/>
    <row r="608" s="31" customFormat="1" ht="15.75" customHeight="1"/>
    <row r="609" s="31" customFormat="1" ht="15.75" customHeight="1"/>
    <row r="610" s="31" customFormat="1" ht="15.75" customHeight="1"/>
    <row r="611" s="31" customFormat="1" ht="15.75" customHeight="1"/>
    <row r="612" s="31" customFormat="1" ht="15.75" customHeight="1"/>
    <row r="613" s="31" customFormat="1" ht="15.75" customHeight="1"/>
    <row r="614" s="31" customFormat="1" ht="15.75" customHeight="1"/>
    <row r="615" s="31" customFormat="1" ht="15.75" customHeight="1"/>
    <row r="616" s="31" customFormat="1" ht="15.75" customHeight="1"/>
    <row r="617" s="31" customFormat="1" ht="15.75" customHeight="1"/>
    <row r="618" s="31" customFormat="1" ht="15.75" customHeight="1"/>
    <row r="619" s="31" customFormat="1" ht="15.75" customHeight="1"/>
    <row r="620" s="31" customFormat="1" ht="15.75" customHeight="1"/>
    <row r="621" s="31" customFormat="1" ht="15.75" customHeight="1"/>
    <row r="622" s="31" customFormat="1" ht="15.75" customHeight="1"/>
    <row r="623" s="31" customFormat="1" ht="15.75" customHeight="1"/>
    <row r="624" s="31" customFormat="1" ht="15.75" customHeight="1"/>
    <row r="625" s="31" customFormat="1" ht="15.75" customHeight="1"/>
    <row r="626" s="31" customFormat="1" ht="15.75" customHeight="1"/>
    <row r="627" s="31" customFormat="1" ht="15.75" customHeight="1"/>
    <row r="628" s="31" customFormat="1" ht="15.75" customHeight="1"/>
    <row r="629" s="31" customFormat="1" ht="15.75" customHeight="1"/>
    <row r="630" s="31" customFormat="1" ht="15.75" customHeight="1"/>
    <row r="631" s="31" customFormat="1" ht="15.75" customHeight="1"/>
    <row r="632" s="31" customFormat="1" ht="15.75" customHeight="1"/>
    <row r="633" s="31" customFormat="1" ht="15.75" customHeight="1"/>
    <row r="634" s="31" customFormat="1" ht="15.75" customHeight="1"/>
    <row r="635" s="31" customFormat="1" ht="15.75" customHeight="1"/>
    <row r="636" s="31" customFormat="1" ht="15.75" customHeight="1"/>
    <row r="637" s="31" customFormat="1" ht="15.75" customHeight="1"/>
    <row r="638" s="31" customFormat="1" ht="15.75" customHeight="1"/>
    <row r="639" s="31" customFormat="1" ht="15.75" customHeight="1"/>
    <row r="640" s="31" customFormat="1" ht="15.75" customHeight="1"/>
    <row r="641" s="31" customFormat="1" ht="15.75" customHeight="1"/>
    <row r="642" s="31" customFormat="1" ht="15.75" customHeight="1"/>
    <row r="643" s="31" customFormat="1" ht="15.75" customHeight="1"/>
    <row r="644" s="31" customFormat="1" ht="15.75" customHeight="1"/>
    <row r="645" s="31" customFormat="1" ht="15.75" customHeight="1"/>
    <row r="646" s="31" customFormat="1" ht="15.75" customHeight="1"/>
    <row r="647" s="31" customFormat="1" ht="15.75" customHeight="1"/>
    <row r="648" s="31" customFormat="1" ht="15.75" customHeight="1"/>
    <row r="649" s="31" customFormat="1" ht="15.75" customHeight="1"/>
    <row r="650" s="31" customFormat="1" ht="15.75" customHeight="1"/>
    <row r="651" s="31" customFormat="1" ht="15.75" customHeight="1"/>
    <row r="652" s="31" customFormat="1" ht="15.75" customHeight="1"/>
    <row r="653" s="31" customFormat="1" ht="15.75" customHeight="1"/>
    <row r="654" s="31" customFormat="1" ht="15.75" customHeight="1"/>
    <row r="655" s="31" customFormat="1" ht="15.75" customHeight="1"/>
    <row r="656" s="31" customFormat="1" ht="15.75" customHeight="1"/>
    <row r="657" s="31" customFormat="1" ht="15.75" customHeight="1"/>
    <row r="658" s="31" customFormat="1" ht="15.75" customHeight="1"/>
    <row r="659" s="31" customFormat="1" ht="15.75" customHeight="1"/>
    <row r="660" s="31" customFormat="1" ht="15.75" customHeight="1"/>
    <row r="661" s="31" customFormat="1" ht="15.75" customHeight="1"/>
    <row r="662" s="31" customFormat="1" ht="15.75" customHeight="1"/>
    <row r="663" s="31" customFormat="1" ht="15.75" customHeight="1"/>
    <row r="664" s="31" customFormat="1" ht="15.75" customHeight="1"/>
    <row r="665" s="31" customFormat="1" ht="15.75" customHeight="1"/>
    <row r="666" s="31" customFormat="1" ht="15.75" customHeight="1"/>
    <row r="667" s="31" customFormat="1" ht="15.75" customHeight="1"/>
    <row r="668" s="31" customFormat="1" ht="15.75" customHeight="1"/>
    <row r="669" s="31" customFormat="1" ht="15.75" customHeight="1"/>
    <row r="670" s="31" customFormat="1" ht="15.75" customHeight="1"/>
    <row r="671" s="31" customFormat="1" ht="15.75" customHeight="1"/>
    <row r="672" s="31" customFormat="1" ht="15.75" customHeight="1"/>
    <row r="673" s="31" customFormat="1" ht="15.75" customHeight="1"/>
    <row r="674" s="31" customFormat="1" ht="15.75" customHeight="1"/>
    <row r="675" s="31" customFormat="1" ht="15.75" customHeight="1"/>
    <row r="676" s="31" customFormat="1" ht="15.75" customHeight="1"/>
    <row r="677" s="31" customFormat="1" ht="15.75" customHeight="1"/>
    <row r="678" s="31" customFormat="1" ht="15.75" customHeight="1"/>
    <row r="679" s="31" customFormat="1" ht="15.75" customHeight="1"/>
    <row r="680" s="31" customFormat="1" ht="15.75" customHeight="1"/>
    <row r="681" s="31" customFormat="1" ht="15.75" customHeight="1"/>
    <row r="682" s="31" customFormat="1" ht="15.75" customHeight="1"/>
    <row r="683" s="31" customFormat="1" ht="15.75" customHeight="1"/>
    <row r="684" s="31" customFormat="1" ht="15.75" customHeight="1"/>
    <row r="685" s="31" customFormat="1" ht="15.75" customHeight="1"/>
    <row r="686" s="31" customFormat="1" ht="15.75" customHeight="1"/>
    <row r="687" s="31" customFormat="1" ht="15.75" customHeight="1"/>
    <row r="688" s="31" customFormat="1" ht="15.75" customHeight="1"/>
    <row r="689" s="31" customFormat="1" ht="15.75" customHeight="1"/>
    <row r="690" s="31" customFormat="1" ht="15.75" customHeight="1"/>
    <row r="691" s="31" customFormat="1" ht="15.75" customHeight="1"/>
    <row r="692" s="31" customFormat="1" ht="15.75" customHeight="1"/>
    <row r="693" s="31" customFormat="1" ht="15.75" customHeight="1"/>
    <row r="694" s="31" customFormat="1" ht="15.75" customHeight="1"/>
    <row r="695" s="31" customFormat="1" ht="15.75" customHeight="1"/>
    <row r="696" s="31" customFormat="1" ht="15.75" customHeight="1"/>
    <row r="697" s="31" customFormat="1" ht="15.75" customHeight="1"/>
    <row r="698" s="31" customFormat="1" ht="15.75" customHeight="1"/>
    <row r="699" s="31" customFormat="1" ht="15.75" customHeight="1"/>
    <row r="700" s="31" customFormat="1" ht="15.75" customHeight="1"/>
    <row r="701" s="31" customFormat="1" ht="15.75" customHeight="1"/>
    <row r="702" s="31" customFormat="1" ht="15.75" customHeight="1"/>
    <row r="703" s="31" customFormat="1" ht="15.75" customHeight="1"/>
    <row r="704" s="31" customFormat="1" ht="15.75" customHeight="1"/>
    <row r="705" s="31" customFormat="1" ht="15.75" customHeight="1"/>
    <row r="706" s="31" customFormat="1" ht="15.75" customHeight="1"/>
    <row r="707" s="31" customFormat="1" ht="15.75" customHeight="1"/>
    <row r="708" s="31" customFormat="1" ht="15.75" customHeight="1"/>
    <row r="709" s="31" customFormat="1" ht="15.75" customHeight="1"/>
    <row r="710" s="31" customFormat="1" ht="15.75" customHeight="1"/>
    <row r="711" s="31" customFormat="1" ht="15.75" customHeight="1"/>
    <row r="712" s="31" customFormat="1" ht="15.75" customHeight="1"/>
    <row r="713" s="31" customFormat="1" ht="15.75" customHeight="1"/>
    <row r="714" s="31" customFormat="1" ht="15.75" customHeight="1"/>
    <row r="715" s="31" customFormat="1" ht="15.75" customHeight="1"/>
    <row r="716" s="31" customFormat="1" ht="15.75" customHeight="1"/>
    <row r="717" s="31" customFormat="1" ht="15.75" customHeight="1"/>
    <row r="718" s="31" customFormat="1" ht="15.75" customHeight="1"/>
    <row r="719" s="31" customFormat="1" ht="15.75" customHeight="1"/>
    <row r="720" s="31" customFormat="1" ht="15.75" customHeight="1"/>
    <row r="721" s="31" customFormat="1" ht="15.75" customHeight="1"/>
    <row r="722" s="31" customFormat="1" ht="15.75" customHeight="1"/>
    <row r="723" s="31" customFormat="1" ht="15.75" customHeight="1"/>
    <row r="724" s="31" customFormat="1" ht="15.75" customHeight="1"/>
    <row r="725" s="31" customFormat="1" ht="15.75" customHeight="1"/>
    <row r="726" s="31" customFormat="1" ht="15.75" customHeight="1"/>
    <row r="727" s="31" customFormat="1" ht="15.75" customHeight="1"/>
    <row r="728" s="31" customFormat="1" ht="15.75" customHeight="1"/>
    <row r="729" s="31" customFormat="1" ht="15.75" customHeight="1"/>
    <row r="730" s="31" customFormat="1" ht="15.75" customHeight="1"/>
    <row r="731" s="31" customFormat="1" ht="15.75" customHeight="1"/>
    <row r="732" s="31" customFormat="1" ht="15.75" customHeight="1"/>
    <row r="733" s="31" customFormat="1" ht="15.75" customHeight="1"/>
    <row r="734" s="31" customFormat="1" ht="15.75" customHeight="1"/>
    <row r="735" s="31" customFormat="1" ht="15.75" customHeight="1"/>
    <row r="736" s="31" customFormat="1" ht="15.75" customHeight="1"/>
    <row r="737" s="31" customFormat="1" ht="15.75" customHeight="1"/>
    <row r="738" s="31" customFormat="1" ht="15.75" customHeight="1"/>
    <row r="739" s="31" customFormat="1" ht="15.75" customHeight="1"/>
    <row r="740" s="31" customFormat="1" ht="15.75" customHeight="1"/>
    <row r="741" s="31" customFormat="1" ht="15.75" customHeight="1"/>
    <row r="742" s="31" customFormat="1" ht="15.75" customHeight="1"/>
    <row r="743" s="31" customFormat="1" ht="15.75" customHeight="1"/>
    <row r="744" s="31" customFormat="1" ht="15.75" customHeight="1"/>
    <row r="745" s="31" customFormat="1" ht="15.75" customHeight="1"/>
    <row r="746" s="31" customFormat="1" ht="15.75" customHeight="1"/>
    <row r="747" s="31" customFormat="1" ht="15.75" customHeight="1"/>
    <row r="748" s="31" customFormat="1" ht="15.75" customHeight="1"/>
    <row r="749" s="31" customFormat="1" ht="15.75" customHeight="1"/>
    <row r="750" s="31" customFormat="1" ht="15.75" customHeight="1"/>
    <row r="751" s="31" customFormat="1" ht="15.75" customHeight="1"/>
    <row r="752" s="31" customFormat="1" ht="15.75" customHeight="1"/>
    <row r="753" s="31" customFormat="1" ht="15.75" customHeight="1"/>
    <row r="754" s="31" customFormat="1" ht="15.75" customHeight="1"/>
    <row r="755" s="31" customFormat="1" ht="15.75" customHeight="1"/>
    <row r="756" s="31" customFormat="1" ht="15.75" customHeight="1"/>
    <row r="757" s="31" customFormat="1" ht="15.75" customHeight="1"/>
    <row r="758" s="31" customFormat="1" ht="15.75" customHeight="1"/>
    <row r="759" s="31" customFormat="1" ht="15.75" customHeight="1"/>
    <row r="760" s="31" customFormat="1" ht="15.75" customHeight="1"/>
    <row r="761" s="31" customFormat="1" ht="15.75" customHeight="1"/>
    <row r="762" s="31" customFormat="1" ht="15.75" customHeight="1"/>
    <row r="763" s="31" customFormat="1" ht="15.75" customHeight="1"/>
    <row r="764" s="31" customFormat="1" ht="15.75" customHeight="1"/>
    <row r="765" s="31" customFormat="1" ht="15.75" customHeight="1"/>
    <row r="766" s="31" customFormat="1" ht="15.75" customHeight="1"/>
    <row r="767" s="31" customFormat="1" ht="15.75" customHeight="1"/>
    <row r="768" s="31" customFormat="1" ht="15.75" customHeight="1"/>
    <row r="769" s="31" customFormat="1" ht="15.75" customHeight="1"/>
    <row r="770" s="31" customFormat="1" ht="15.75" customHeight="1"/>
    <row r="771" s="31" customFormat="1" ht="15.75" customHeight="1"/>
    <row r="772" s="31" customFormat="1" ht="15.75" customHeight="1"/>
    <row r="773" s="31" customFormat="1" ht="15.75" customHeight="1"/>
    <row r="774" s="31" customFormat="1" ht="15.75" customHeight="1"/>
    <row r="775" s="31" customFormat="1" ht="15.75" customHeight="1"/>
    <row r="776" s="31" customFormat="1" ht="15.75" customHeight="1"/>
    <row r="777" s="31" customFormat="1" ht="15.75" customHeight="1"/>
    <row r="778" s="31" customFormat="1" ht="15.75" customHeight="1"/>
    <row r="779" s="31" customFormat="1" ht="15.75" customHeight="1"/>
    <row r="780" s="31" customFormat="1" ht="15.75" customHeight="1"/>
    <row r="781" s="31" customFormat="1" ht="15.75" customHeight="1"/>
    <row r="782" s="31" customFormat="1" ht="15.75" customHeight="1"/>
    <row r="783" s="31" customFormat="1" ht="15.75" customHeight="1"/>
    <row r="784" s="31" customFormat="1" ht="15.75" customHeight="1"/>
    <row r="785" s="31" customFormat="1" ht="15.75" customHeight="1"/>
    <row r="786" s="31" customFormat="1" ht="15.75" customHeight="1"/>
    <row r="787" s="31" customFormat="1" ht="15.75" customHeight="1"/>
    <row r="788" s="31" customFormat="1" ht="15.75" customHeight="1"/>
    <row r="789" s="31" customFormat="1" ht="15.75" customHeight="1"/>
    <row r="790" s="31" customFormat="1" ht="15.75" customHeight="1"/>
    <row r="791" s="31" customFormat="1" ht="15.75" customHeight="1"/>
    <row r="792" s="31" customFormat="1" ht="15.75" customHeight="1"/>
    <row r="793" s="31" customFormat="1" ht="15.75" customHeight="1"/>
    <row r="794" s="31" customFormat="1" ht="15.75" customHeight="1"/>
    <row r="795" s="31" customFormat="1" ht="15.75" customHeight="1"/>
    <row r="796" s="31" customFormat="1" ht="15.75" customHeight="1"/>
    <row r="797" s="31" customFormat="1" ht="15.75" customHeight="1"/>
    <row r="798" s="31" customFormat="1" ht="15.75" customHeight="1"/>
    <row r="799" s="31" customFormat="1" ht="15.75" customHeight="1"/>
    <row r="800" s="31" customFormat="1" ht="15.75" customHeight="1"/>
    <row r="801" s="31" customFormat="1" ht="15.75" customHeight="1"/>
    <row r="802" s="31" customFormat="1" ht="15.75" customHeight="1"/>
    <row r="803" s="31" customFormat="1" ht="15.75" customHeight="1"/>
    <row r="804" s="31" customFormat="1" ht="15.75" customHeight="1"/>
    <row r="805" s="31" customFormat="1" ht="15.75" customHeight="1"/>
    <row r="806" s="31" customFormat="1" ht="15.75" customHeight="1"/>
    <row r="807" s="31" customFormat="1" ht="15.75" customHeight="1"/>
    <row r="808" s="31" customFormat="1" ht="15.75" customHeight="1"/>
    <row r="809" s="31" customFormat="1" ht="15.75" customHeight="1"/>
    <row r="810" s="31" customFormat="1" ht="15.75" customHeight="1"/>
    <row r="811" s="31" customFormat="1" ht="15.75" customHeight="1"/>
    <row r="812" s="31" customFormat="1" ht="15.75" customHeight="1"/>
    <row r="813" s="31" customFormat="1" ht="15.75" customHeight="1"/>
    <row r="814" s="31" customFormat="1" ht="15.75" customHeight="1"/>
    <row r="815" s="31" customFormat="1" ht="15.75" customHeight="1"/>
    <row r="816" s="31" customFormat="1" ht="15.75" customHeight="1"/>
    <row r="817" s="31" customFormat="1" ht="15.75" customHeight="1"/>
    <row r="818" s="31" customFormat="1" ht="15.75" customHeight="1"/>
    <row r="819" s="31" customFormat="1" ht="15.75" customHeight="1"/>
    <row r="820" s="31" customFormat="1" ht="15.75" customHeight="1"/>
    <row r="821" s="31" customFormat="1" ht="15.75" customHeight="1"/>
    <row r="822" s="31" customFormat="1" ht="15.75" customHeight="1"/>
    <row r="823" s="31" customFormat="1" ht="15.75" customHeight="1"/>
    <row r="824" s="31" customFormat="1" ht="15.75" customHeight="1"/>
    <row r="825" s="31" customFormat="1" ht="15.75" customHeight="1"/>
    <row r="826" s="31" customFormat="1" ht="15.75" customHeight="1"/>
    <row r="827" s="31" customFormat="1" ht="15.75" customHeight="1"/>
    <row r="828" s="31" customFormat="1" ht="15.75" customHeight="1"/>
    <row r="829" s="31" customFormat="1" ht="15.75" customHeight="1"/>
    <row r="830" s="31" customFormat="1" ht="15.75" customHeight="1"/>
    <row r="831" s="31" customFormat="1" ht="15.75" customHeight="1"/>
    <row r="832" s="31" customFormat="1" ht="15.75" customHeight="1"/>
    <row r="833" s="31" customFormat="1" ht="15.75" customHeight="1"/>
    <row r="834" s="31" customFormat="1" ht="15.75" customHeight="1"/>
    <row r="835" s="31" customFormat="1" ht="15.75" customHeight="1"/>
    <row r="836" s="31" customFormat="1" ht="15.75" customHeight="1"/>
    <row r="837" s="31" customFormat="1" ht="15.75" customHeight="1"/>
    <row r="838" s="31" customFormat="1" ht="15.75" customHeight="1"/>
    <row r="839" s="31" customFormat="1" ht="15.75" customHeight="1"/>
    <row r="840" s="31" customFormat="1" ht="15.75" customHeight="1"/>
    <row r="841" s="31" customFormat="1" ht="15.75" customHeight="1"/>
    <row r="842" s="31" customFormat="1" ht="15.75" customHeight="1"/>
    <row r="843" s="31" customFormat="1" ht="15.75" customHeight="1"/>
    <row r="844" s="31" customFormat="1" ht="15.75" customHeight="1"/>
    <row r="845" s="31" customFormat="1" ht="15.75" customHeight="1"/>
    <row r="846" s="31" customFormat="1" ht="15.75" customHeight="1"/>
    <row r="847" s="31" customFormat="1" ht="15.75" customHeight="1"/>
    <row r="848" s="31" customFormat="1" ht="15.75" customHeight="1"/>
    <row r="849" s="31" customFormat="1" ht="15.75" customHeight="1"/>
    <row r="850" s="31" customFormat="1" ht="15.75" customHeight="1"/>
    <row r="851" s="31" customFormat="1" ht="15.75" customHeight="1"/>
    <row r="852" s="31" customFormat="1" ht="15.75" customHeight="1"/>
    <row r="853" s="31" customFormat="1" ht="15.75" customHeight="1"/>
    <row r="854" s="31" customFormat="1" ht="15.75" customHeight="1"/>
    <row r="855" s="31" customFormat="1" ht="15.75" customHeight="1"/>
    <row r="856" s="31" customFormat="1" ht="15.75" customHeight="1"/>
    <row r="857" s="31" customFormat="1" ht="15.75" customHeight="1"/>
    <row r="858" s="31" customFormat="1" ht="15.75" customHeight="1"/>
    <row r="859" s="31" customFormat="1" ht="15.75" customHeight="1"/>
    <row r="860" s="31" customFormat="1" ht="15.75" customHeight="1"/>
    <row r="861" s="31" customFormat="1" ht="15.75" customHeight="1"/>
    <row r="862" s="31" customFormat="1" ht="15.75" customHeight="1"/>
    <row r="863" s="31" customFormat="1" ht="15.75" customHeight="1"/>
    <row r="864" s="31" customFormat="1" ht="15.75" customHeight="1"/>
    <row r="865" s="31" customFormat="1" ht="15.75" customHeight="1"/>
    <row r="866" s="31" customFormat="1" ht="15.75" customHeight="1"/>
    <row r="867" s="31" customFormat="1" ht="15.75" customHeight="1"/>
    <row r="868" s="31" customFormat="1" ht="15.75" customHeight="1"/>
    <row r="869" s="31" customFormat="1" ht="15.75" customHeight="1"/>
    <row r="870" s="31" customFormat="1" ht="15.75" customHeight="1"/>
    <row r="871" s="31" customFormat="1" ht="15.75" customHeight="1"/>
    <row r="872" s="31" customFormat="1" ht="15.75" customHeight="1"/>
    <row r="873" s="31" customFormat="1" ht="15.75" customHeight="1"/>
    <row r="874" s="31" customFormat="1" ht="15.75" customHeight="1"/>
    <row r="875" s="31" customFormat="1" ht="15.75" customHeight="1"/>
    <row r="876" s="31" customFormat="1" ht="15.75" customHeight="1"/>
    <row r="877" s="31" customFormat="1" ht="15.75" customHeight="1"/>
    <row r="878" s="31" customFormat="1" ht="15.75" customHeight="1"/>
    <row r="879" s="31" customFormat="1" ht="15.75" customHeight="1"/>
    <row r="880" s="31" customFormat="1" ht="15.75" customHeight="1"/>
    <row r="881" s="31" customFormat="1" ht="15.75" customHeight="1"/>
    <row r="882" s="31" customFormat="1" ht="15.75" customHeight="1"/>
    <row r="883" s="31" customFormat="1" ht="15.75" customHeight="1"/>
    <row r="884" s="31" customFormat="1" ht="15.75" customHeight="1"/>
    <row r="885" s="31" customFormat="1" ht="15.75" customHeight="1"/>
    <row r="886" s="31" customFormat="1" ht="15.75" customHeight="1"/>
    <row r="887" s="31" customFormat="1" ht="15.75" customHeight="1"/>
    <row r="888" s="31" customFormat="1" ht="15.75" customHeight="1"/>
    <row r="889" s="31" customFormat="1" ht="15.75" customHeight="1"/>
    <row r="890" s="31" customFormat="1" ht="15.75" customHeight="1"/>
    <row r="891" s="31" customFormat="1" ht="15.75" customHeight="1"/>
    <row r="892" s="31" customFormat="1" ht="15.75" customHeight="1"/>
    <row r="893" s="31" customFormat="1" ht="15.75" customHeight="1"/>
    <row r="894" s="31" customFormat="1" ht="15.75" customHeight="1"/>
    <row r="895" s="31" customFormat="1" ht="15.75" customHeight="1"/>
    <row r="896" s="31" customFormat="1" ht="15.75" customHeight="1"/>
    <row r="897" s="31" customFormat="1" ht="15.75" customHeight="1"/>
    <row r="898" s="31" customFormat="1" ht="15.75" customHeight="1"/>
    <row r="899" s="31" customFormat="1" ht="15.75" customHeight="1"/>
    <row r="900" s="31" customFormat="1" ht="15.75" customHeight="1"/>
    <row r="901" s="31" customFormat="1" ht="15.75" customHeight="1"/>
    <row r="902" s="31" customFormat="1" ht="15.75" customHeight="1"/>
    <row r="903" s="31" customFormat="1" ht="15.75" customHeight="1"/>
    <row r="904" s="31" customFormat="1" ht="15.75" customHeight="1"/>
    <row r="905" s="31" customFormat="1" ht="15.75" customHeight="1"/>
    <row r="906" s="31" customFormat="1" ht="15.75" customHeight="1"/>
    <row r="907" s="31" customFormat="1" ht="15.75" customHeight="1"/>
    <row r="908" s="31" customFormat="1" ht="15.75" customHeight="1"/>
    <row r="909" s="31" customFormat="1" ht="15.75" customHeight="1"/>
    <row r="910" s="31" customFormat="1" ht="15.75" customHeight="1"/>
    <row r="911" s="31" customFormat="1" ht="15.75" customHeight="1"/>
    <row r="912" s="31" customFormat="1" ht="15.75" customHeight="1"/>
    <row r="913" s="31" customFormat="1" ht="15.75" customHeight="1"/>
    <row r="914" s="31" customFormat="1" ht="15.75" customHeight="1"/>
    <row r="915" s="31" customFormat="1" ht="15.75" customHeight="1"/>
    <row r="916" s="31" customFormat="1" ht="15.75" customHeight="1"/>
    <row r="917" s="31" customFormat="1" ht="15.75" customHeight="1"/>
    <row r="918" s="31" customFormat="1" ht="15.75" customHeight="1"/>
    <row r="919" s="31" customFormat="1" ht="15.75" customHeight="1"/>
    <row r="920" s="31" customFormat="1" ht="15.75" customHeight="1"/>
    <row r="921" s="31" customFormat="1" ht="15.75" customHeight="1"/>
    <row r="922" s="31" customFormat="1" ht="15.75" customHeight="1"/>
    <row r="923" s="31" customFormat="1" ht="15.75" customHeight="1"/>
    <row r="924" s="31" customFormat="1" ht="15.75" customHeight="1"/>
    <row r="925" s="31" customFormat="1" ht="15.75" customHeight="1"/>
    <row r="926" s="31" customFormat="1" ht="15.75" customHeight="1"/>
    <row r="927" s="31" customFormat="1" ht="15.75" customHeight="1"/>
    <row r="928" s="31" customFormat="1" ht="15.75" customHeight="1"/>
    <row r="929" s="31" customFormat="1" ht="15.75" customHeight="1"/>
    <row r="930" s="31" customFormat="1" ht="15.75" customHeight="1"/>
    <row r="931" s="31" customFormat="1" ht="15.75" customHeight="1"/>
    <row r="932" s="31" customFormat="1" ht="15.75" customHeight="1"/>
    <row r="933" s="31" customFormat="1" ht="15.75" customHeight="1"/>
    <row r="934" s="31" customFormat="1" ht="15.75" customHeight="1"/>
    <row r="935" s="31" customFormat="1" ht="15.75" customHeight="1"/>
    <row r="936" s="31" customFormat="1" ht="15.75" customHeight="1"/>
    <row r="937" s="31" customFormat="1" ht="15.75" customHeight="1"/>
    <row r="938" s="31" customFormat="1" ht="15.75" customHeight="1"/>
    <row r="939" s="31" customFormat="1" ht="15.75" customHeight="1"/>
    <row r="940" s="31" customFormat="1" ht="15.75" customHeight="1"/>
    <row r="941" s="31" customFormat="1" ht="15.75" customHeight="1"/>
    <row r="942" s="31" customFormat="1" ht="15.75" customHeight="1"/>
    <row r="943" s="31" customFormat="1" ht="15.75" customHeight="1"/>
    <row r="944" s="31" customFormat="1" ht="15.75" customHeight="1"/>
    <row r="945" s="31" customFormat="1" ht="15.75" customHeight="1"/>
    <row r="946" s="31" customFormat="1" ht="15.75" customHeight="1"/>
    <row r="947" s="31" customFormat="1" ht="15.75" customHeight="1"/>
    <row r="948" s="31" customFormat="1" ht="15.75" customHeight="1"/>
    <row r="949" s="31" customFormat="1" ht="15.75" customHeight="1"/>
    <row r="950" s="31" customFormat="1" ht="15.75" customHeight="1"/>
    <row r="951" s="31" customFormat="1" ht="15.75" customHeight="1"/>
    <row r="952" s="31" customFormat="1" ht="15.75" customHeight="1"/>
    <row r="953" s="31" customFormat="1" ht="15.75" customHeight="1"/>
    <row r="954" s="31" customFormat="1" ht="15.75" customHeight="1"/>
    <row r="955" s="31" customFormat="1" ht="15.75" customHeight="1"/>
    <row r="956" s="31" customFormat="1" ht="15.75" customHeight="1"/>
    <row r="957" s="31" customFormat="1" ht="15.75" customHeight="1"/>
    <row r="958" s="31" customFormat="1" ht="15.75" customHeight="1"/>
    <row r="959" s="31" customFormat="1" ht="15.75" customHeight="1"/>
    <row r="960" s="31" customFormat="1" ht="15.75" customHeight="1"/>
    <row r="961" s="31" customFormat="1" ht="15.75" customHeight="1"/>
    <row r="962" s="31" customFormat="1" ht="15.75" customHeight="1"/>
    <row r="963" s="31" customFormat="1" ht="15.75" customHeight="1"/>
    <row r="964" s="31" customFormat="1" ht="15.75" customHeight="1"/>
    <row r="965" s="31" customFormat="1" ht="15.75" customHeight="1"/>
    <row r="966" s="31" customFormat="1" ht="15.75" customHeight="1"/>
    <row r="967" s="31" customFormat="1" ht="15.75" customHeight="1"/>
    <row r="968" s="31" customFormat="1" ht="15.75" customHeight="1"/>
    <row r="969" s="31" customFormat="1" ht="15.75" customHeight="1"/>
    <row r="970" s="31" customFormat="1" ht="15.75" customHeight="1"/>
    <row r="971" s="31" customFormat="1" ht="15.75" customHeight="1"/>
    <row r="972" s="31" customFormat="1" ht="15.75" customHeight="1"/>
    <row r="973" s="31" customFormat="1" ht="15.75" customHeight="1"/>
    <row r="974" s="31" customFormat="1" ht="15.75" customHeight="1"/>
    <row r="975" s="31" customFormat="1" ht="15.75" customHeight="1"/>
    <row r="976" s="31" customFormat="1" ht="15.75" customHeight="1"/>
    <row r="977" s="31" customFormat="1" ht="15.75" customHeight="1"/>
    <row r="978" s="31" customFormat="1" ht="15.75" customHeight="1"/>
    <row r="979" s="31" customFormat="1" ht="15.75" customHeight="1"/>
    <row r="980" s="31" customFormat="1" ht="15.75" customHeight="1"/>
    <row r="981" s="31" customFormat="1" ht="15.75" customHeight="1"/>
    <row r="982" s="31" customFormat="1" ht="15.75" customHeight="1"/>
    <row r="983" s="31" customFormat="1" ht="15.75" customHeight="1"/>
    <row r="984" s="31" customFormat="1" ht="15.75" customHeight="1"/>
    <row r="985" s="31" customFormat="1" ht="15.75" customHeight="1"/>
    <row r="986" s="31" customFormat="1" ht="15.75" customHeight="1"/>
    <row r="987" s="31" customFormat="1" ht="15.75" customHeight="1"/>
    <row r="988" s="31" customFormat="1" ht="15.75" customHeight="1"/>
    <row r="989" s="31" customFormat="1" ht="15.75" customHeight="1"/>
    <row r="990" s="31" customFormat="1" ht="15.75" customHeight="1"/>
    <row r="991" s="31" customFormat="1" ht="15.75" customHeight="1"/>
    <row r="992" s="31" customFormat="1" ht="15.75" customHeight="1"/>
    <row r="993" s="31" customFormat="1" ht="15.75" customHeight="1"/>
    <row r="994" s="31" customFormat="1" ht="15.75" customHeight="1"/>
    <row r="995" s="31" customFormat="1" ht="15.75" customHeight="1"/>
    <row r="996" s="31" customFormat="1" ht="15.75" customHeight="1"/>
    <row r="997" s="31" customFormat="1" ht="15.75" customHeight="1"/>
    <row r="998" s="31" customFormat="1" ht="15.75" customHeight="1"/>
    <row r="999" s="31" customFormat="1" ht="15.75" customHeight="1"/>
    <row r="1000" s="31" customFormat="1" ht="15.75" customHeight="1"/>
  </sheetData>
  <sheetProtection algorithmName="SHA-512" hashValue="x1GJewx7Gqy/+vDYQC7/HLASg0AvPg3n55TQvHbtTZlxLs491gA2SoAR/mMEO3srRDTK28pA16KM2GhgYHHD0A==" saltValue="ssKFTLFKsPyNhX3zifOWeA==" spinCount="100000" sheet="1" objects="1" scenarios="1" selectLockedCells="1" pivotTables="0"/>
  <mergeCells count="14">
    <mergeCell ref="B33:R33"/>
    <mergeCell ref="T33:U33"/>
    <mergeCell ref="B1:R1"/>
    <mergeCell ref="T1:U1"/>
    <mergeCell ref="B2:R16"/>
    <mergeCell ref="S2:S16"/>
    <mergeCell ref="T2:U16"/>
    <mergeCell ref="B17:R17"/>
    <mergeCell ref="T17:U17"/>
    <mergeCell ref="A2:A16"/>
    <mergeCell ref="A18:A32"/>
    <mergeCell ref="B18:R32"/>
    <mergeCell ref="S18:S32"/>
    <mergeCell ref="T18:U32"/>
  </mergeCells>
  <pageMargins left="0.511811024" right="0.511811024" top="0.78740157499999996" bottom="0.78740157499999996" header="0" footer="0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AF1000"/>
  <sheetViews>
    <sheetView showGridLines="0" workbookViewId="0"/>
  </sheetViews>
  <sheetFormatPr defaultColWidth="14.42578125" defaultRowHeight="15" customHeight="1"/>
  <cols>
    <col min="1" max="1" width="2.7109375" style="31" customWidth="1"/>
    <col min="2" max="2" width="15.28515625" style="31" bestFit="1" customWidth="1"/>
    <col min="3" max="3" width="11.140625" style="31" customWidth="1"/>
    <col min="4" max="4" width="20.140625" style="31" customWidth="1"/>
    <col min="5" max="5" width="18.42578125" style="31" customWidth="1"/>
    <col min="6" max="6" width="15.42578125" style="31" customWidth="1"/>
    <col min="7" max="7" width="2.7109375" style="31" customWidth="1"/>
    <col min="8" max="8" width="11.5703125" style="31" customWidth="1"/>
    <col min="9" max="9" width="11.140625" style="31" customWidth="1"/>
    <col min="10" max="10" width="20.140625" style="31" customWidth="1"/>
    <col min="11" max="11" width="18.42578125" style="31" customWidth="1"/>
    <col min="12" max="12" width="15.42578125" style="31" customWidth="1"/>
    <col min="13" max="13" width="2.7109375" style="31" customWidth="1"/>
    <col min="14" max="14" width="11.5703125" style="31" customWidth="1"/>
    <col min="15" max="15" width="11.140625" style="31" customWidth="1"/>
    <col min="16" max="16" width="20.140625" style="31" customWidth="1"/>
    <col min="17" max="17" width="18.42578125" style="31" customWidth="1"/>
    <col min="18" max="18" width="15.42578125" style="31" customWidth="1"/>
    <col min="19" max="19" width="2.7109375" style="31" customWidth="1"/>
    <col min="20" max="21" width="11.5703125" style="31" customWidth="1"/>
    <col min="22" max="22" width="20.140625" style="31" customWidth="1"/>
    <col min="23" max="23" width="18.42578125" style="31" customWidth="1"/>
    <col min="24" max="24" width="17" style="31" customWidth="1"/>
    <col min="25" max="25" width="2.7109375" style="31" customWidth="1"/>
    <col min="26" max="26" width="16.140625" style="31" customWidth="1"/>
    <col min="27" max="27" width="20.5703125" style="31" customWidth="1"/>
    <col min="28" max="28" width="19.85546875" style="31" customWidth="1"/>
    <col min="29" max="29" width="2.7109375" style="31" customWidth="1"/>
    <col min="30" max="30" width="16.140625" style="31" customWidth="1"/>
    <col min="31" max="31" width="20.5703125" style="31" customWidth="1"/>
    <col min="32" max="32" width="19.85546875" style="31" customWidth="1"/>
    <col min="33" max="16384" width="14.42578125" style="31"/>
  </cols>
  <sheetData>
    <row r="1" spans="2:32">
      <c r="C1" s="74" t="s">
        <v>0</v>
      </c>
      <c r="D1" s="38"/>
      <c r="E1" s="38"/>
      <c r="F1" s="39"/>
      <c r="I1" s="74" t="s">
        <v>1</v>
      </c>
      <c r="J1" s="38"/>
      <c r="K1" s="38"/>
      <c r="L1" s="39"/>
      <c r="O1" s="74" t="s">
        <v>2</v>
      </c>
      <c r="P1" s="38"/>
      <c r="Q1" s="38"/>
      <c r="R1" s="39"/>
      <c r="U1" s="74" t="s">
        <v>3</v>
      </c>
      <c r="V1" s="38"/>
      <c r="W1" s="38"/>
      <c r="X1" s="39"/>
      <c r="Z1" s="74" t="s">
        <v>4</v>
      </c>
      <c r="AA1" s="38"/>
      <c r="AB1" s="39"/>
      <c r="AD1" s="74" t="s">
        <v>5</v>
      </c>
      <c r="AE1" s="38"/>
      <c r="AF1" s="39"/>
    </row>
    <row r="2" spans="2:32">
      <c r="C2" s="47"/>
      <c r="D2" s="48"/>
      <c r="E2" s="48"/>
      <c r="F2" s="49"/>
      <c r="I2" s="47"/>
      <c r="J2" s="48"/>
      <c r="K2" s="48"/>
      <c r="L2" s="49"/>
      <c r="O2" s="47"/>
      <c r="P2" s="48"/>
      <c r="Q2" s="48"/>
      <c r="R2" s="49"/>
      <c r="U2" s="47"/>
      <c r="V2" s="48"/>
      <c r="W2" s="48"/>
      <c r="X2" s="49"/>
      <c r="Z2" s="47"/>
      <c r="AA2" s="48"/>
      <c r="AB2" s="49"/>
      <c r="AD2" s="47"/>
      <c r="AE2" s="48"/>
      <c r="AF2" s="49"/>
    </row>
    <row r="3" spans="2:32">
      <c r="C3" s="1" t="s">
        <v>6</v>
      </c>
      <c r="D3" s="2" t="s">
        <v>7</v>
      </c>
      <c r="E3" s="2" t="s">
        <v>8</v>
      </c>
      <c r="F3" s="3" t="s">
        <v>9</v>
      </c>
      <c r="I3" s="1" t="s">
        <v>6</v>
      </c>
      <c r="J3" s="2" t="s">
        <v>7</v>
      </c>
      <c r="K3" s="2" t="s">
        <v>8</v>
      </c>
      <c r="L3" s="3" t="s">
        <v>9</v>
      </c>
      <c r="O3" s="1" t="s">
        <v>6</v>
      </c>
      <c r="P3" s="2" t="s">
        <v>7</v>
      </c>
      <c r="Q3" s="2" t="s">
        <v>8</v>
      </c>
      <c r="R3" s="3" t="s">
        <v>9</v>
      </c>
      <c r="U3" s="1" t="s">
        <v>6</v>
      </c>
      <c r="V3" s="2" t="s">
        <v>7</v>
      </c>
      <c r="W3" s="2" t="s">
        <v>8</v>
      </c>
      <c r="X3" s="3" t="s">
        <v>9</v>
      </c>
      <c r="Z3" s="1" t="s">
        <v>0</v>
      </c>
      <c r="AA3" s="2" t="s">
        <v>1</v>
      </c>
      <c r="AB3" s="3" t="s">
        <v>10</v>
      </c>
      <c r="AD3" s="1" t="s">
        <v>0</v>
      </c>
      <c r="AE3" s="2" t="s">
        <v>1</v>
      </c>
      <c r="AF3" s="3" t="s">
        <v>10</v>
      </c>
    </row>
    <row r="4" spans="2:32">
      <c r="C4" s="4">
        <f>COUNTA(DADOS.GERAL!$B$4:$B$45)</f>
        <v>42</v>
      </c>
      <c r="D4" s="5">
        <f>SUM(DADOS.GERAL!$H$4:$H$45)</f>
        <v>4101.5200000000004</v>
      </c>
      <c r="E4" s="5">
        <f>SUM(DADOS.GERAL!$I$4:$I$45)</f>
        <v>6551.2599999999993</v>
      </c>
      <c r="F4" s="5">
        <f>SUM(DADOS.GERAL!$J$4:$J$45)</f>
        <v>2449.7400000000007</v>
      </c>
      <c r="I4" s="4">
        <f>COUNTA(DADOS.GERAL!$L$4:$L$40)</f>
        <v>37</v>
      </c>
      <c r="J4" s="6">
        <f>SUM(DADOS.GERAL!$P$4:$P$40)</f>
        <v>1774.9</v>
      </c>
      <c r="K4" s="6">
        <f>SUM(DADOS.GERAL!$Q$4:$Q$40)</f>
        <v>2123.7000000000003</v>
      </c>
      <c r="L4" s="6">
        <f>SUM(DADOS.GERAL!$R$4:$R$40)</f>
        <v>348.79999999999995</v>
      </c>
      <c r="O4" s="4">
        <f>COUNTA(DADOS.GERAL!$T$4:$T$33)</f>
        <v>30</v>
      </c>
      <c r="P4" s="6">
        <f>SUM(DADOS.GERAL!$W$4:$W$33)</f>
        <v>739.09</v>
      </c>
      <c r="Q4" s="6">
        <f>SUM(DADOS.GERAL!$X$4:$X$33)</f>
        <v>955.71999999999957</v>
      </c>
      <c r="R4" s="6">
        <f>SUM(DADOS.GERAL!$Y$4:$Y$33)</f>
        <v>216.62999999999991</v>
      </c>
      <c r="U4" s="4">
        <f>SUM(TOTAL.GERAL!$C$4,TOTAL.GERAL!$I$4,TOTAL.GERAL!$O$4,)</f>
        <v>109</v>
      </c>
      <c r="V4" s="6">
        <f>SUM(TOTAL.GERAL!$D$4,TOTAL.GERAL!$J$4,,TOTAL.GERAL!$P$4)</f>
        <v>6615.51</v>
      </c>
      <c r="W4" s="6">
        <f>SUM(TOTAL.GERAL!$E$4,TOTAL.GERAL!$K$4,,TOTAL.GERAL!$Q$4)</f>
        <v>9630.6799999999985</v>
      </c>
      <c r="X4" s="6">
        <f>SUM(TOTAL.GERAL!$F$4,TOTAL.GERAL!$L$4,,TOTAL.GERAL!$R$4)</f>
        <v>3015.170000000001</v>
      </c>
      <c r="Z4" s="7">
        <f>COUNTA(DADOS.GERAL!$B$4:$B$45)</f>
        <v>42</v>
      </c>
      <c r="AA4" s="8">
        <f>COUNTA(DADOS.GERAL!$L$4:$L$40)</f>
        <v>37</v>
      </c>
      <c r="AB4" s="9">
        <f>COUNTA(DADOS.GERAL!$T$4:$T$33)</f>
        <v>30</v>
      </c>
      <c r="AD4" s="10">
        <f>SUM(DADOS.GERAL!$H$4:$H$45)</f>
        <v>4101.5200000000004</v>
      </c>
      <c r="AE4" s="11">
        <f>SUM(DADOS.GERAL!$P$4:$P$40)</f>
        <v>1774.9</v>
      </c>
      <c r="AF4" s="12">
        <f>SUM(DADOS.GERAL!$W$4:$W$33)</f>
        <v>739.09</v>
      </c>
    </row>
    <row r="5" spans="2:32">
      <c r="C5" s="65"/>
      <c r="D5" s="43"/>
      <c r="E5" s="43"/>
      <c r="F5" s="43"/>
      <c r="G5" s="65"/>
      <c r="H5" s="43"/>
      <c r="I5" s="65"/>
      <c r="J5" s="43"/>
      <c r="K5" s="43"/>
      <c r="L5" s="43"/>
      <c r="M5" s="65"/>
      <c r="N5" s="43"/>
      <c r="O5" s="65"/>
      <c r="P5" s="43"/>
      <c r="Q5" s="43"/>
      <c r="R5" s="43"/>
      <c r="S5" s="65"/>
      <c r="T5" s="43"/>
      <c r="U5" s="65"/>
      <c r="V5" s="43"/>
      <c r="W5" s="43"/>
      <c r="X5" s="43"/>
      <c r="Z5" s="73"/>
      <c r="AA5" s="48"/>
      <c r="AB5" s="48"/>
      <c r="AD5" s="73"/>
      <c r="AE5" s="48"/>
      <c r="AF5" s="48"/>
    </row>
    <row r="6" spans="2:32" ht="15" customHeight="1">
      <c r="B6" s="66" t="s">
        <v>11</v>
      </c>
      <c r="C6" s="67"/>
      <c r="D6" s="67"/>
      <c r="E6" s="67"/>
      <c r="F6" s="68"/>
      <c r="H6" s="66" t="s">
        <v>12</v>
      </c>
      <c r="I6" s="67"/>
      <c r="J6" s="67"/>
      <c r="K6" s="67"/>
      <c r="L6" s="68"/>
      <c r="N6" s="66" t="s">
        <v>13</v>
      </c>
      <c r="O6" s="67"/>
      <c r="P6" s="67"/>
      <c r="Q6" s="67"/>
      <c r="R6" s="68"/>
      <c r="T6" s="66" t="s">
        <v>3</v>
      </c>
      <c r="U6" s="67"/>
      <c r="V6" s="67"/>
      <c r="W6" s="67"/>
      <c r="X6" s="68"/>
      <c r="Z6" s="74" t="s">
        <v>14</v>
      </c>
      <c r="AA6" s="38"/>
      <c r="AB6" s="39"/>
      <c r="AD6" s="74" t="s">
        <v>15</v>
      </c>
      <c r="AE6" s="38"/>
      <c r="AF6" s="39"/>
    </row>
    <row r="7" spans="2:32" ht="15" customHeight="1">
      <c r="B7" s="69"/>
      <c r="C7" s="70"/>
      <c r="D7" s="70"/>
      <c r="E7" s="70"/>
      <c r="F7" s="71"/>
      <c r="H7" s="69"/>
      <c r="I7" s="70"/>
      <c r="J7" s="70"/>
      <c r="K7" s="70"/>
      <c r="L7" s="71"/>
      <c r="N7" s="69"/>
      <c r="O7" s="70"/>
      <c r="P7" s="70"/>
      <c r="Q7" s="70"/>
      <c r="R7" s="71"/>
      <c r="T7" s="69"/>
      <c r="U7" s="70"/>
      <c r="V7" s="70"/>
      <c r="W7" s="70"/>
      <c r="X7" s="71"/>
      <c r="Z7" s="47"/>
      <c r="AA7" s="48"/>
      <c r="AB7" s="49"/>
      <c r="AD7" s="47"/>
      <c r="AE7" s="48"/>
      <c r="AF7" s="49"/>
    </row>
    <row r="8" spans="2:32">
      <c r="B8" s="13" t="s">
        <v>16</v>
      </c>
      <c r="C8" s="13" t="s">
        <v>6</v>
      </c>
      <c r="D8" s="13" t="s">
        <v>7</v>
      </c>
      <c r="E8" s="13" t="s">
        <v>8</v>
      </c>
      <c r="F8" s="13" t="s">
        <v>9</v>
      </c>
      <c r="H8" s="13" t="s">
        <v>16</v>
      </c>
      <c r="I8" s="13" t="s">
        <v>6</v>
      </c>
      <c r="J8" s="13" t="s">
        <v>7</v>
      </c>
      <c r="K8" s="13" t="s">
        <v>8</v>
      </c>
      <c r="L8" s="13" t="s">
        <v>9</v>
      </c>
      <c r="N8" s="13" t="s">
        <v>16</v>
      </c>
      <c r="O8" s="13" t="s">
        <v>6</v>
      </c>
      <c r="P8" s="13" t="s">
        <v>7</v>
      </c>
      <c r="Q8" s="13" t="s">
        <v>8</v>
      </c>
      <c r="R8" s="13" t="s">
        <v>9</v>
      </c>
      <c r="T8" s="13" t="s">
        <v>16</v>
      </c>
      <c r="U8" s="13" t="s">
        <v>6</v>
      </c>
      <c r="V8" s="13" t="s">
        <v>7</v>
      </c>
      <c r="W8" s="13" t="s">
        <v>8</v>
      </c>
      <c r="X8" s="13" t="s">
        <v>9</v>
      </c>
      <c r="Z8" s="1" t="s">
        <v>0</v>
      </c>
      <c r="AA8" s="2" t="s">
        <v>1</v>
      </c>
      <c r="AB8" s="3" t="s">
        <v>10</v>
      </c>
      <c r="AD8" s="1" t="s">
        <v>0</v>
      </c>
      <c r="AE8" s="2" t="s">
        <v>1</v>
      </c>
      <c r="AF8" s="3" t="s">
        <v>10</v>
      </c>
    </row>
    <row r="9" spans="2:32">
      <c r="B9" s="13">
        <v>2021</v>
      </c>
      <c r="C9" s="13">
        <f t="shared" ref="C9:F9" si="0">SUM(C15:C24)</f>
        <v>38</v>
      </c>
      <c r="D9" s="14">
        <f t="shared" si="0"/>
        <v>3531.82</v>
      </c>
      <c r="E9" s="14">
        <f t="shared" si="0"/>
        <v>5900.34</v>
      </c>
      <c r="F9" s="14">
        <f t="shared" si="0"/>
        <v>2368.5200000000004</v>
      </c>
      <c r="H9" s="13">
        <v>2021</v>
      </c>
      <c r="I9" s="13">
        <f t="shared" ref="I9:L9" si="1">SUM(I15:I24)</f>
        <v>28</v>
      </c>
      <c r="J9" s="14">
        <f t="shared" si="1"/>
        <v>310.39999999999998</v>
      </c>
      <c r="K9" s="14">
        <f t="shared" si="1"/>
        <v>515</v>
      </c>
      <c r="L9" s="14">
        <f t="shared" si="1"/>
        <v>204.6</v>
      </c>
      <c r="N9" s="13">
        <v>2022</v>
      </c>
      <c r="O9" s="15">
        <f t="shared" ref="O9:R9" si="2">SUM(O29:O40)</f>
        <v>30</v>
      </c>
      <c r="P9" s="14">
        <f t="shared" si="2"/>
        <v>739.09000000000015</v>
      </c>
      <c r="Q9" s="14">
        <f t="shared" si="2"/>
        <v>955.71999999999969</v>
      </c>
      <c r="R9" s="14">
        <f t="shared" si="2"/>
        <v>216.62999999999991</v>
      </c>
      <c r="T9" s="13">
        <v>2021</v>
      </c>
      <c r="U9" s="13">
        <f t="shared" ref="U9:X9" si="3">SUM(C9,I9)</f>
        <v>66</v>
      </c>
      <c r="V9" s="14">
        <f t="shared" si="3"/>
        <v>3842.2200000000003</v>
      </c>
      <c r="W9" s="14">
        <f t="shared" si="3"/>
        <v>6415.34</v>
      </c>
      <c r="X9" s="14">
        <f t="shared" si="3"/>
        <v>2573.1200000000003</v>
      </c>
      <c r="Z9" s="10">
        <f>SUM(DADOS.GERAL!$I$4:$I$45)</f>
        <v>6551.2599999999993</v>
      </c>
      <c r="AA9" s="11">
        <f>SUM(DADOS.GERAL!$Q$4:$Q$40)</f>
        <v>2123.7000000000003</v>
      </c>
      <c r="AB9" s="12">
        <f>SUM(DADOS.GERAL!$X$4:$X$33)</f>
        <v>955.71999999999957</v>
      </c>
      <c r="AD9" s="10">
        <f>SUM(DADOS.GERAL!$J$4:$J$45)</f>
        <v>2449.7400000000007</v>
      </c>
      <c r="AE9" s="11">
        <f>SUM(DADOS.GERAL!$R$4:$R$40)</f>
        <v>348.79999999999995</v>
      </c>
      <c r="AF9" s="12">
        <f>SUM(DADOS.GERAL!$Y$4:$Y$33)</f>
        <v>216.62999999999991</v>
      </c>
    </row>
    <row r="10" spans="2:32">
      <c r="B10" s="16">
        <v>2022</v>
      </c>
      <c r="C10" s="13">
        <f t="shared" ref="C10:F10" si="4">SUM(C29:C40)</f>
        <v>4</v>
      </c>
      <c r="D10" s="14">
        <f t="shared" si="4"/>
        <v>569.70000000000005</v>
      </c>
      <c r="E10" s="14">
        <f t="shared" si="4"/>
        <v>650.92000000000007</v>
      </c>
      <c r="F10" s="14">
        <f t="shared" si="4"/>
        <v>81.22</v>
      </c>
      <c r="H10" s="16">
        <v>2022</v>
      </c>
      <c r="I10" s="16">
        <f t="shared" ref="I10:L10" si="5">SUM(I29:I40)</f>
        <v>9</v>
      </c>
      <c r="J10" s="17">
        <f t="shared" si="5"/>
        <v>1464.5</v>
      </c>
      <c r="K10" s="17">
        <f t="shared" si="5"/>
        <v>1608.7</v>
      </c>
      <c r="L10" s="17">
        <f t="shared" si="5"/>
        <v>144.19999999999996</v>
      </c>
      <c r="N10" s="72"/>
      <c r="O10" s="72"/>
      <c r="P10" s="72"/>
      <c r="Q10" s="72"/>
      <c r="R10" s="72"/>
      <c r="S10" s="72"/>
      <c r="T10" s="13">
        <v>2022</v>
      </c>
      <c r="U10" s="15">
        <f t="shared" ref="U10:X10" si="6">SUM(C10,I10,O9,)</f>
        <v>43</v>
      </c>
      <c r="V10" s="14">
        <f t="shared" si="6"/>
        <v>2773.29</v>
      </c>
      <c r="W10" s="14">
        <f t="shared" si="6"/>
        <v>3215.3399999999997</v>
      </c>
      <c r="X10" s="14">
        <f t="shared" si="6"/>
        <v>442.04999999999984</v>
      </c>
      <c r="Y10" s="72"/>
      <c r="Z10" s="72"/>
      <c r="AA10" s="72"/>
      <c r="AB10" s="72"/>
      <c r="AC10" s="72"/>
      <c r="AD10" s="72"/>
      <c r="AE10" s="72"/>
      <c r="AF10" s="72"/>
    </row>
    <row r="11" spans="2:32">
      <c r="B11" s="64"/>
      <c r="C11" s="38"/>
      <c r="D11" s="38"/>
      <c r="E11" s="38"/>
      <c r="F11" s="38"/>
      <c r="H11" s="64"/>
      <c r="I11" s="38"/>
      <c r="J11" s="38"/>
      <c r="K11" s="38"/>
      <c r="L11" s="38"/>
      <c r="T11" s="64"/>
      <c r="U11" s="38"/>
      <c r="V11" s="38"/>
      <c r="W11" s="38"/>
      <c r="X11" s="38"/>
    </row>
    <row r="12" spans="2:32" ht="15" customHeight="1">
      <c r="B12" s="66" t="s">
        <v>17</v>
      </c>
      <c r="C12" s="67"/>
      <c r="D12" s="67"/>
      <c r="E12" s="67"/>
      <c r="F12" s="68"/>
      <c r="H12" s="66" t="s">
        <v>18</v>
      </c>
      <c r="I12" s="67"/>
      <c r="J12" s="67"/>
      <c r="K12" s="67"/>
      <c r="L12" s="68"/>
      <c r="T12" s="66" t="s">
        <v>19</v>
      </c>
      <c r="U12" s="67"/>
      <c r="V12" s="67"/>
      <c r="W12" s="67"/>
      <c r="X12" s="68"/>
    </row>
    <row r="13" spans="2:32" ht="15" customHeight="1">
      <c r="B13" s="69"/>
      <c r="C13" s="70"/>
      <c r="D13" s="70"/>
      <c r="E13" s="70"/>
      <c r="F13" s="71"/>
      <c r="H13" s="69"/>
      <c r="I13" s="70"/>
      <c r="J13" s="70"/>
      <c r="K13" s="70"/>
      <c r="L13" s="71"/>
      <c r="T13" s="69"/>
      <c r="U13" s="70"/>
      <c r="V13" s="70"/>
      <c r="W13" s="70"/>
      <c r="X13" s="71"/>
    </row>
    <row r="14" spans="2:32">
      <c r="B14" s="13" t="s">
        <v>16</v>
      </c>
      <c r="C14" s="13" t="s">
        <v>6</v>
      </c>
      <c r="D14" s="13" t="s">
        <v>7</v>
      </c>
      <c r="E14" s="13" t="s">
        <v>8</v>
      </c>
      <c r="F14" s="13" t="s">
        <v>9</v>
      </c>
      <c r="H14" s="13" t="s">
        <v>16</v>
      </c>
      <c r="I14" s="13" t="s">
        <v>6</v>
      </c>
      <c r="J14" s="13" t="s">
        <v>7</v>
      </c>
      <c r="K14" s="13" t="s">
        <v>8</v>
      </c>
      <c r="L14" s="13" t="s">
        <v>9</v>
      </c>
      <c r="T14" s="13" t="s">
        <v>16</v>
      </c>
      <c r="U14" s="13" t="s">
        <v>6</v>
      </c>
      <c r="V14" s="13" t="s">
        <v>7</v>
      </c>
      <c r="W14" s="13" t="s">
        <v>8</v>
      </c>
      <c r="X14" s="13" t="s">
        <v>9</v>
      </c>
    </row>
    <row r="15" spans="2:32">
      <c r="B15" s="13" t="s">
        <v>20</v>
      </c>
      <c r="C15" s="13">
        <f>COUNTA(DADOS.GERAL!G4:G5)</f>
        <v>2</v>
      </c>
      <c r="D15" s="14">
        <f>SUM(DADOS.GERAL!H4:H5)</f>
        <v>148.15</v>
      </c>
      <c r="E15" s="14">
        <f>SUM(DADOS.GERAL!I4:I5)</f>
        <v>349.9</v>
      </c>
      <c r="F15" s="14">
        <f>SUM(DADOS.GERAL!J4:J5)</f>
        <v>201.75</v>
      </c>
      <c r="H15" s="13" t="s">
        <v>20</v>
      </c>
      <c r="I15" s="13">
        <v>0</v>
      </c>
      <c r="J15" s="14">
        <v>0</v>
      </c>
      <c r="K15" s="14">
        <v>0</v>
      </c>
      <c r="L15" s="14">
        <v>0</v>
      </c>
      <c r="T15" s="13" t="s">
        <v>20</v>
      </c>
      <c r="U15" s="13">
        <f t="shared" ref="U15:X15" si="7">SUM(C15,I15)</f>
        <v>2</v>
      </c>
      <c r="V15" s="14">
        <f t="shared" si="7"/>
        <v>148.15</v>
      </c>
      <c r="W15" s="14">
        <f t="shared" si="7"/>
        <v>349.9</v>
      </c>
      <c r="X15" s="14">
        <f t="shared" si="7"/>
        <v>201.75</v>
      </c>
    </row>
    <row r="16" spans="2:32">
      <c r="B16" s="13" t="s">
        <v>21</v>
      </c>
      <c r="C16" s="13">
        <f>COUNTA(DADOS.GERAL!G6:G10)</f>
        <v>5</v>
      </c>
      <c r="D16" s="14">
        <f>SUM(DADOS.GERAL!H6:H10)</f>
        <v>312.77</v>
      </c>
      <c r="E16" s="14">
        <f>SUM(DADOS.GERAL!I6:I10)</f>
        <v>479.9</v>
      </c>
      <c r="F16" s="14">
        <f>SUM(DADOS.GERAL!J6:J10)</f>
        <v>167.13</v>
      </c>
      <c r="H16" s="13" t="s">
        <v>21</v>
      </c>
      <c r="I16" s="13">
        <f>COUNTA(DADOS.GERAL!O4)</f>
        <v>1</v>
      </c>
      <c r="J16" s="14">
        <f>SUM(DADOS.GERAL!P4)</f>
        <v>99.9</v>
      </c>
      <c r="K16" s="14">
        <f>SUM(DADOS.GERAL!Q4)</f>
        <v>80</v>
      </c>
      <c r="L16" s="14">
        <f>SUM(DADOS.GERAL!R4)</f>
        <v>-19.900000000000006</v>
      </c>
      <c r="T16" s="13" t="s">
        <v>21</v>
      </c>
      <c r="U16" s="13">
        <f t="shared" ref="U16:X16" si="8">SUM(C16,I16)</f>
        <v>6</v>
      </c>
      <c r="V16" s="14">
        <f t="shared" si="8"/>
        <v>412.66999999999996</v>
      </c>
      <c r="W16" s="14">
        <f t="shared" si="8"/>
        <v>559.9</v>
      </c>
      <c r="X16" s="14">
        <f t="shared" si="8"/>
        <v>147.22999999999999</v>
      </c>
    </row>
    <row r="17" spans="2:24">
      <c r="B17" s="13" t="s">
        <v>22</v>
      </c>
      <c r="C17" s="13">
        <f>COUNTA(DADOS.GERAL!G11:G14)</f>
        <v>4</v>
      </c>
      <c r="D17" s="14">
        <f>SUM(DADOS.GERAL!H11:H14)</f>
        <v>290</v>
      </c>
      <c r="E17" s="14">
        <f>SUM(DADOS.GERAL!I11:I14)</f>
        <v>627.87</v>
      </c>
      <c r="F17" s="14">
        <f>SUM(DADOS.GERAL!J11:J14)</f>
        <v>337.87</v>
      </c>
      <c r="H17" s="13" t="s">
        <v>22</v>
      </c>
      <c r="I17" s="13">
        <f>COUNTA(DADOS.GERAL!O5:O20)</f>
        <v>16</v>
      </c>
      <c r="J17" s="14">
        <f>SUM(DADOS.GERAL!P5:P20)</f>
        <v>99</v>
      </c>
      <c r="K17" s="14">
        <f>SUM(DADOS.GERAL!Q5:Q20)</f>
        <v>275</v>
      </c>
      <c r="L17" s="14">
        <f>SUM(DADOS.GERAL!R5:R20)</f>
        <v>176</v>
      </c>
      <c r="T17" s="13" t="s">
        <v>22</v>
      </c>
      <c r="U17" s="13">
        <f t="shared" ref="U17:X17" si="9">SUM(C17,I17)</f>
        <v>20</v>
      </c>
      <c r="V17" s="14">
        <f t="shared" si="9"/>
        <v>389</v>
      </c>
      <c r="W17" s="14">
        <f t="shared" si="9"/>
        <v>902.87</v>
      </c>
      <c r="X17" s="14">
        <f t="shared" si="9"/>
        <v>513.87</v>
      </c>
    </row>
    <row r="18" spans="2:24">
      <c r="B18" s="13" t="s">
        <v>23</v>
      </c>
      <c r="C18" s="13">
        <f>COUNTA(DADOS.GERAL!G15:G16)</f>
        <v>2</v>
      </c>
      <c r="D18" s="14">
        <f>SUM(DADOS.GERAL!H15:H16)</f>
        <v>0</v>
      </c>
      <c r="E18" s="14">
        <f>SUM(DADOS.GERAL!I15:I16)</f>
        <v>343.52</v>
      </c>
      <c r="F18" s="14">
        <f>SUM(DADOS.GERAL!J15:J16)</f>
        <v>343.52</v>
      </c>
      <c r="H18" s="13" t="s">
        <v>23</v>
      </c>
      <c r="I18" s="13">
        <f>COUNTA(DADOS.GERAL!O21:O31)</f>
        <v>11</v>
      </c>
      <c r="J18" s="14">
        <f>SUM(DADOS.GERAL!P21:P31)</f>
        <v>111.5</v>
      </c>
      <c r="K18" s="14">
        <f>SUM(DADOS.GERAL!Q21:Q31)</f>
        <v>160</v>
      </c>
      <c r="L18" s="14">
        <f>SUM(DADOS.GERAL!R21:R31)</f>
        <v>48.5</v>
      </c>
      <c r="T18" s="13" t="s">
        <v>23</v>
      </c>
      <c r="U18" s="13">
        <f t="shared" ref="U18:X18" si="10">SUM(C18,I18)</f>
        <v>13</v>
      </c>
      <c r="V18" s="14">
        <f t="shared" si="10"/>
        <v>111.5</v>
      </c>
      <c r="W18" s="14">
        <f t="shared" si="10"/>
        <v>503.52</v>
      </c>
      <c r="X18" s="14">
        <f t="shared" si="10"/>
        <v>392.02</v>
      </c>
    </row>
    <row r="19" spans="2:24">
      <c r="B19" s="13" t="s">
        <v>24</v>
      </c>
      <c r="C19" s="13">
        <f>COUNTA(DADOS.GERAL!G17:G20)</f>
        <v>4</v>
      </c>
      <c r="D19" s="14">
        <f>SUM(DADOS.GERAL!H17:H20)</f>
        <v>340</v>
      </c>
      <c r="E19" s="14">
        <f>SUM(DADOS.GERAL!I17:I20)</f>
        <v>751.89</v>
      </c>
      <c r="F19" s="14">
        <f>SUM(DADOS.GERAL!J17:J20)</f>
        <v>411.89</v>
      </c>
      <c r="H19" s="13" t="s">
        <v>24</v>
      </c>
      <c r="I19" s="13">
        <v>0</v>
      </c>
      <c r="J19" s="14">
        <v>0</v>
      </c>
      <c r="K19" s="14">
        <v>0</v>
      </c>
      <c r="L19" s="14">
        <v>0</v>
      </c>
      <c r="T19" s="13" t="s">
        <v>24</v>
      </c>
      <c r="U19" s="13">
        <f t="shared" ref="U19:X19" si="11">SUM(C19,I19)</f>
        <v>4</v>
      </c>
      <c r="V19" s="14">
        <f t="shared" si="11"/>
        <v>340</v>
      </c>
      <c r="W19" s="14">
        <f t="shared" si="11"/>
        <v>751.89</v>
      </c>
      <c r="X19" s="14">
        <f t="shared" si="11"/>
        <v>411.89</v>
      </c>
    </row>
    <row r="20" spans="2:24">
      <c r="B20" s="13" t="s">
        <v>25</v>
      </c>
      <c r="C20" s="13">
        <f>COUNTA(DADOS.GERAL!G21:G23)</f>
        <v>3</v>
      </c>
      <c r="D20" s="14">
        <f>SUM(DADOS.GERAL!H21:H23)</f>
        <v>280</v>
      </c>
      <c r="E20" s="14">
        <f>SUM(DADOS.GERAL!I21:I23)</f>
        <v>546.4</v>
      </c>
      <c r="F20" s="14">
        <f>SUM(DADOS.GERAL!J21:J23)</f>
        <v>266.39999999999998</v>
      </c>
      <c r="H20" s="13" t="s">
        <v>25</v>
      </c>
      <c r="I20" s="13">
        <v>0</v>
      </c>
      <c r="J20" s="14">
        <v>0</v>
      </c>
      <c r="K20" s="14">
        <v>0</v>
      </c>
      <c r="L20" s="14">
        <v>0</v>
      </c>
      <c r="T20" s="13" t="s">
        <v>25</v>
      </c>
      <c r="U20" s="13">
        <f t="shared" ref="U20:X20" si="12">SUM(C20,I20)</f>
        <v>3</v>
      </c>
      <c r="V20" s="14">
        <f t="shared" si="12"/>
        <v>280</v>
      </c>
      <c r="W20" s="14">
        <f t="shared" si="12"/>
        <v>546.4</v>
      </c>
      <c r="X20" s="14">
        <f t="shared" si="12"/>
        <v>266.39999999999998</v>
      </c>
    </row>
    <row r="21" spans="2:24" ht="15.75" customHeight="1">
      <c r="B21" s="13" t="s">
        <v>26</v>
      </c>
      <c r="C21" s="13">
        <f>COUNTA(DADOS.GERAL!G24:G27)</f>
        <v>4</v>
      </c>
      <c r="D21" s="14">
        <f>SUM(DADOS.GERAL!H24:H27)</f>
        <v>358.79999999999995</v>
      </c>
      <c r="E21" s="14">
        <f>SUM(DADOS.GERAL!I24:I27)</f>
        <v>579.68999999999994</v>
      </c>
      <c r="F21" s="14">
        <f>SUM(DADOS.GERAL!J24:J27)</f>
        <v>220.89000000000001</v>
      </c>
      <c r="H21" s="13" t="s">
        <v>26</v>
      </c>
      <c r="I21" s="13">
        <v>0</v>
      </c>
      <c r="J21" s="14">
        <v>0</v>
      </c>
      <c r="K21" s="14">
        <v>0</v>
      </c>
      <c r="L21" s="14">
        <v>0</v>
      </c>
      <c r="T21" s="13" t="s">
        <v>26</v>
      </c>
      <c r="U21" s="13">
        <f t="shared" ref="U21:X21" si="13">SUM(C21,I21)</f>
        <v>4</v>
      </c>
      <c r="V21" s="14">
        <f t="shared" si="13"/>
        <v>358.79999999999995</v>
      </c>
      <c r="W21" s="14">
        <f t="shared" si="13"/>
        <v>579.68999999999994</v>
      </c>
      <c r="X21" s="14">
        <f t="shared" si="13"/>
        <v>220.89000000000001</v>
      </c>
    </row>
    <row r="22" spans="2:24" ht="15.75" customHeight="1">
      <c r="B22" s="13" t="s">
        <v>27</v>
      </c>
      <c r="C22" s="13">
        <f>COUNTA(DADOS.GERAL!G28:G31)</f>
        <v>4</v>
      </c>
      <c r="D22" s="14">
        <f>SUM(DADOS.GERAL!H28:H31)</f>
        <v>440</v>
      </c>
      <c r="E22" s="14">
        <f>SUM(DADOS.GERAL!I28:I31)</f>
        <v>556.29</v>
      </c>
      <c r="F22" s="14">
        <f>SUM(DADOS.GERAL!J28:J31)</f>
        <v>116.29000000000002</v>
      </c>
      <c r="H22" s="13" t="s">
        <v>27</v>
      </c>
      <c r="I22" s="13">
        <v>0</v>
      </c>
      <c r="J22" s="14">
        <v>0</v>
      </c>
      <c r="K22" s="14">
        <v>0</v>
      </c>
      <c r="L22" s="14">
        <v>0</v>
      </c>
      <c r="T22" s="13" t="s">
        <v>27</v>
      </c>
      <c r="U22" s="13">
        <f t="shared" ref="U22:X22" si="14">SUM(C22,I22)</f>
        <v>4</v>
      </c>
      <c r="V22" s="14">
        <f t="shared" si="14"/>
        <v>440</v>
      </c>
      <c r="W22" s="14">
        <f t="shared" si="14"/>
        <v>556.29</v>
      </c>
      <c r="X22" s="14">
        <f t="shared" si="14"/>
        <v>116.29000000000002</v>
      </c>
    </row>
    <row r="23" spans="2:24" ht="15.75" customHeight="1">
      <c r="B23" s="13" t="s">
        <v>28</v>
      </c>
      <c r="C23" s="13">
        <f>COUNTA(DADOS.GERAL!G32:G35)</f>
        <v>4</v>
      </c>
      <c r="D23" s="14">
        <f>SUM(DADOS.GERAL!H32:H35)</f>
        <v>532.1</v>
      </c>
      <c r="E23" s="14">
        <f>SUM(DADOS.GERAL!I32:I35)</f>
        <v>717.39</v>
      </c>
      <c r="F23" s="14">
        <f>SUM(DADOS.GERAL!J32:J35)</f>
        <v>185.28999999999996</v>
      </c>
      <c r="H23" s="13" t="s">
        <v>28</v>
      </c>
      <c r="I23" s="13">
        <v>0</v>
      </c>
      <c r="J23" s="14">
        <v>0</v>
      </c>
      <c r="K23" s="14">
        <v>0</v>
      </c>
      <c r="L23" s="14">
        <v>0</v>
      </c>
      <c r="T23" s="13" t="s">
        <v>28</v>
      </c>
      <c r="U23" s="13">
        <f t="shared" ref="U23:X23" si="15">SUM(C23,I23)</f>
        <v>4</v>
      </c>
      <c r="V23" s="14">
        <f t="shared" si="15"/>
        <v>532.1</v>
      </c>
      <c r="W23" s="14">
        <f t="shared" si="15"/>
        <v>717.39</v>
      </c>
      <c r="X23" s="14">
        <f t="shared" si="15"/>
        <v>185.28999999999996</v>
      </c>
    </row>
    <row r="24" spans="2:24" ht="15.75" customHeight="1">
      <c r="B24" s="13" t="s">
        <v>29</v>
      </c>
      <c r="C24" s="13">
        <f>COUNTA(DADOS.GERAL!G36:G41)</f>
        <v>6</v>
      </c>
      <c r="D24" s="14">
        <f>SUM(DADOS.GERAL!H36:H41)</f>
        <v>830</v>
      </c>
      <c r="E24" s="14">
        <f>SUM(DADOS.GERAL!I36:I41)</f>
        <v>947.49</v>
      </c>
      <c r="F24" s="14">
        <f>SUM(DADOS.GERAL!J36:J41)</f>
        <v>117.49000000000001</v>
      </c>
      <c r="H24" s="13" t="s">
        <v>29</v>
      </c>
      <c r="I24" s="13">
        <v>0</v>
      </c>
      <c r="J24" s="14">
        <v>0</v>
      </c>
      <c r="K24" s="14">
        <v>0</v>
      </c>
      <c r="L24" s="14">
        <v>0</v>
      </c>
      <c r="N24" s="72"/>
      <c r="O24" s="72"/>
      <c r="P24" s="72"/>
      <c r="Q24" s="72"/>
      <c r="R24" s="72"/>
      <c r="T24" s="13" t="s">
        <v>29</v>
      </c>
      <c r="U24" s="13">
        <f t="shared" ref="U24:X24" si="16">SUM(C24,I24)</f>
        <v>6</v>
      </c>
      <c r="V24" s="14">
        <f t="shared" si="16"/>
        <v>830</v>
      </c>
      <c r="W24" s="14">
        <f t="shared" si="16"/>
        <v>947.49</v>
      </c>
      <c r="X24" s="14">
        <f t="shared" si="16"/>
        <v>117.49000000000001</v>
      </c>
    </row>
    <row r="25" spans="2:24" ht="15.75" customHeight="1">
      <c r="B25" s="64"/>
      <c r="C25" s="38"/>
      <c r="D25" s="38"/>
      <c r="E25" s="38"/>
      <c r="F25" s="38"/>
      <c r="H25" s="64"/>
      <c r="I25" s="38"/>
      <c r="J25" s="38"/>
      <c r="K25" s="38"/>
      <c r="L25" s="38"/>
      <c r="N25" s="65"/>
      <c r="O25" s="43"/>
      <c r="P25" s="43"/>
      <c r="Q25" s="43"/>
      <c r="R25" s="43"/>
      <c r="T25" s="64"/>
      <c r="U25" s="38"/>
      <c r="V25" s="38"/>
      <c r="W25" s="38"/>
      <c r="X25" s="38"/>
    </row>
    <row r="26" spans="2:24" ht="15.75" customHeight="1">
      <c r="B26" s="66" t="s">
        <v>30</v>
      </c>
      <c r="C26" s="67"/>
      <c r="D26" s="67"/>
      <c r="E26" s="67"/>
      <c r="F26" s="68"/>
      <c r="H26" s="66" t="s">
        <v>31</v>
      </c>
      <c r="I26" s="67"/>
      <c r="J26" s="67"/>
      <c r="K26" s="67"/>
      <c r="L26" s="68"/>
      <c r="N26" s="66" t="s">
        <v>32</v>
      </c>
      <c r="O26" s="67"/>
      <c r="P26" s="67"/>
      <c r="Q26" s="67"/>
      <c r="R26" s="68"/>
      <c r="T26" s="66" t="s">
        <v>33</v>
      </c>
      <c r="U26" s="67"/>
      <c r="V26" s="67"/>
      <c r="W26" s="67"/>
      <c r="X26" s="68"/>
    </row>
    <row r="27" spans="2:24" ht="15.75" customHeight="1">
      <c r="B27" s="69"/>
      <c r="C27" s="70"/>
      <c r="D27" s="70"/>
      <c r="E27" s="70"/>
      <c r="F27" s="71"/>
      <c r="H27" s="69"/>
      <c r="I27" s="70"/>
      <c r="J27" s="70"/>
      <c r="K27" s="70"/>
      <c r="L27" s="71"/>
      <c r="N27" s="69"/>
      <c r="O27" s="70"/>
      <c r="P27" s="70"/>
      <c r="Q27" s="70"/>
      <c r="R27" s="71"/>
      <c r="T27" s="69"/>
      <c r="U27" s="70"/>
      <c r="V27" s="70"/>
      <c r="W27" s="70"/>
      <c r="X27" s="71"/>
    </row>
    <row r="28" spans="2:24" ht="15.75" customHeight="1">
      <c r="B28" s="13" t="s">
        <v>16</v>
      </c>
      <c r="C28" s="13" t="s">
        <v>6</v>
      </c>
      <c r="D28" s="13" t="s">
        <v>7</v>
      </c>
      <c r="E28" s="13" t="s">
        <v>8</v>
      </c>
      <c r="F28" s="13" t="s">
        <v>9</v>
      </c>
      <c r="H28" s="13" t="s">
        <v>16</v>
      </c>
      <c r="I28" s="13" t="s">
        <v>6</v>
      </c>
      <c r="J28" s="13" t="s">
        <v>7</v>
      </c>
      <c r="K28" s="13" t="s">
        <v>8</v>
      </c>
      <c r="L28" s="13" t="s">
        <v>9</v>
      </c>
      <c r="N28" s="13" t="s">
        <v>16</v>
      </c>
      <c r="O28" s="13" t="s">
        <v>6</v>
      </c>
      <c r="P28" s="13" t="s">
        <v>7</v>
      </c>
      <c r="Q28" s="13" t="s">
        <v>8</v>
      </c>
      <c r="R28" s="13" t="s">
        <v>9</v>
      </c>
      <c r="T28" s="13" t="s">
        <v>16</v>
      </c>
      <c r="U28" s="13" t="s">
        <v>6</v>
      </c>
      <c r="V28" s="13" t="s">
        <v>7</v>
      </c>
      <c r="W28" s="13" t="s">
        <v>8</v>
      </c>
      <c r="X28" s="13" t="s">
        <v>9</v>
      </c>
    </row>
    <row r="29" spans="2:24" ht="15.75" customHeight="1">
      <c r="B29" s="13" t="s">
        <v>34</v>
      </c>
      <c r="C29" s="13">
        <v>0</v>
      </c>
      <c r="D29" s="14">
        <v>0</v>
      </c>
      <c r="E29" s="14">
        <v>0</v>
      </c>
      <c r="F29" s="14">
        <v>0</v>
      </c>
      <c r="H29" s="13" t="s">
        <v>34</v>
      </c>
      <c r="I29" s="13">
        <v>0</v>
      </c>
      <c r="J29" s="14">
        <v>0</v>
      </c>
      <c r="K29" s="14">
        <v>0</v>
      </c>
      <c r="L29" s="14">
        <v>0</v>
      </c>
      <c r="N29" s="13" t="s">
        <v>34</v>
      </c>
      <c r="O29" s="13">
        <v>0</v>
      </c>
      <c r="P29" s="14">
        <v>0</v>
      </c>
      <c r="Q29" s="14">
        <v>0</v>
      </c>
      <c r="R29" s="14">
        <v>0</v>
      </c>
      <c r="T29" s="13" t="s">
        <v>34</v>
      </c>
      <c r="U29" s="13">
        <f t="shared" ref="U29:X29" si="17">SUM(C29,I29,O29)</f>
        <v>0</v>
      </c>
      <c r="V29" s="14">
        <f t="shared" si="17"/>
        <v>0</v>
      </c>
      <c r="W29" s="14">
        <f t="shared" si="17"/>
        <v>0</v>
      </c>
      <c r="X29" s="14">
        <f t="shared" si="17"/>
        <v>0</v>
      </c>
    </row>
    <row r="30" spans="2:24" ht="15.75" customHeight="1">
      <c r="B30" s="13" t="s">
        <v>35</v>
      </c>
      <c r="C30" s="13">
        <v>0</v>
      </c>
      <c r="D30" s="14">
        <v>0</v>
      </c>
      <c r="E30" s="14">
        <v>0</v>
      </c>
      <c r="F30" s="14">
        <v>0</v>
      </c>
      <c r="H30" s="13" t="s">
        <v>35</v>
      </c>
      <c r="I30" s="13">
        <v>0</v>
      </c>
      <c r="J30" s="14">
        <v>0</v>
      </c>
      <c r="K30" s="14">
        <v>0</v>
      </c>
      <c r="L30" s="14">
        <v>0</v>
      </c>
      <c r="N30" s="13" t="s">
        <v>35</v>
      </c>
      <c r="O30" s="13">
        <v>0</v>
      </c>
      <c r="P30" s="14">
        <v>0</v>
      </c>
      <c r="Q30" s="14">
        <v>0</v>
      </c>
      <c r="R30" s="14">
        <v>0</v>
      </c>
      <c r="T30" s="13" t="s">
        <v>35</v>
      </c>
      <c r="U30" s="13">
        <f t="shared" ref="U30:X30" si="18">SUM(C30,I30,O30)</f>
        <v>0</v>
      </c>
      <c r="V30" s="14">
        <f t="shared" si="18"/>
        <v>0</v>
      </c>
      <c r="W30" s="14">
        <f t="shared" si="18"/>
        <v>0</v>
      </c>
      <c r="X30" s="14">
        <f t="shared" si="18"/>
        <v>0</v>
      </c>
    </row>
    <row r="31" spans="2:24" ht="15.75" customHeight="1">
      <c r="B31" s="13" t="s">
        <v>20</v>
      </c>
      <c r="C31" s="13">
        <f>COUNTA(DADOS.GERAL!G42)</f>
        <v>1</v>
      </c>
      <c r="D31" s="14">
        <f>SUM(DADOS.GERAL!H42)</f>
        <v>129.9</v>
      </c>
      <c r="E31" s="14">
        <f>SUM(DADOS.GERAL!I42)</f>
        <v>150.9</v>
      </c>
      <c r="F31" s="14">
        <f>SUM(DADOS.GERAL!J42)</f>
        <v>21</v>
      </c>
      <c r="H31" s="13" t="s">
        <v>20</v>
      </c>
      <c r="I31" s="13">
        <f>COUNTA(DADOS.GERAL!O34)</f>
        <v>1</v>
      </c>
      <c r="J31" s="14">
        <f>SUM(DADOS.GERAL!P32)</f>
        <v>14</v>
      </c>
      <c r="K31" s="14">
        <f>SUM(DADOS.GERAL!Q32)</f>
        <v>20</v>
      </c>
      <c r="L31" s="14">
        <f>SUM(DADOS.GERAL!R32)</f>
        <v>6</v>
      </c>
      <c r="N31" s="13" t="s">
        <v>20</v>
      </c>
      <c r="O31" s="13">
        <v>0</v>
      </c>
      <c r="P31" s="14">
        <v>0</v>
      </c>
      <c r="Q31" s="14">
        <v>0</v>
      </c>
      <c r="R31" s="14">
        <v>0</v>
      </c>
      <c r="T31" s="13" t="s">
        <v>20</v>
      </c>
      <c r="U31" s="13">
        <f t="shared" ref="U31:X31" si="19">SUM(C31,I31,O31)</f>
        <v>2</v>
      </c>
      <c r="V31" s="14">
        <f t="shared" si="19"/>
        <v>143.9</v>
      </c>
      <c r="W31" s="14">
        <f t="shared" si="19"/>
        <v>170.9</v>
      </c>
      <c r="X31" s="14">
        <f t="shared" si="19"/>
        <v>27</v>
      </c>
    </row>
    <row r="32" spans="2:24" ht="15.75" customHeight="1">
      <c r="B32" s="13" t="s">
        <v>21</v>
      </c>
      <c r="C32" s="13">
        <f>COUNTA(DADOS.GERAL!G43)</f>
        <v>1</v>
      </c>
      <c r="D32" s="14">
        <f>SUM(DADOS.GERAL!H43)</f>
        <v>150</v>
      </c>
      <c r="E32" s="14">
        <f>SUM(DADOS.GERAL!I43)</f>
        <v>189.9</v>
      </c>
      <c r="F32" s="14">
        <f>SUM(DADOS.GERAL!J43)</f>
        <v>39.900000000000006</v>
      </c>
      <c r="H32" s="13" t="s">
        <v>21</v>
      </c>
      <c r="I32" s="13">
        <f>COUNTA(DADOS.GERAL!O33)</f>
        <v>1</v>
      </c>
      <c r="J32" s="14">
        <f>SUM(DADOS.GERAL!P33)</f>
        <v>239.9</v>
      </c>
      <c r="K32" s="14">
        <f>SUM(DADOS.GERAL!Q33)</f>
        <v>280</v>
      </c>
      <c r="L32" s="14">
        <f>SUM(DADOS.GERAL!R33)</f>
        <v>40.099999999999994</v>
      </c>
      <c r="N32" s="13" t="s">
        <v>21</v>
      </c>
      <c r="O32" s="13">
        <f>COUNTA(DADOS.GERAL!V4)</f>
        <v>1</v>
      </c>
      <c r="P32" s="14">
        <f>SUM(DADOS.GERAL!W4)</f>
        <v>49.9</v>
      </c>
      <c r="Q32" s="14">
        <f>SUM(DADOS.GERAL!X4)</f>
        <v>49.9</v>
      </c>
      <c r="R32" s="14">
        <f>SUM(DADOS.GERAL!Y4)</f>
        <v>0</v>
      </c>
      <c r="T32" s="13" t="s">
        <v>21</v>
      </c>
      <c r="U32" s="13">
        <f t="shared" ref="U32:X32" si="20">SUM(C32,I32,O32)</f>
        <v>3</v>
      </c>
      <c r="V32" s="14">
        <f t="shared" si="20"/>
        <v>439.79999999999995</v>
      </c>
      <c r="W32" s="14">
        <f t="shared" si="20"/>
        <v>519.79999999999995</v>
      </c>
      <c r="X32" s="14">
        <f t="shared" si="20"/>
        <v>80</v>
      </c>
    </row>
    <row r="33" spans="2:24" ht="15.75" customHeight="1">
      <c r="B33" s="13" t="s">
        <v>22</v>
      </c>
      <c r="C33" s="13">
        <v>0</v>
      </c>
      <c r="D33" s="14">
        <v>0</v>
      </c>
      <c r="E33" s="14">
        <v>0</v>
      </c>
      <c r="F33" s="14">
        <v>0</v>
      </c>
      <c r="H33" s="13" t="s">
        <v>22</v>
      </c>
      <c r="I33" s="13">
        <f>COUNTA(DADOS.GERAL!O34:O38)</f>
        <v>5</v>
      </c>
      <c r="J33" s="14">
        <f>SUM(DADOS.GERAL!P34:P38)</f>
        <v>675.8</v>
      </c>
      <c r="K33" s="14">
        <f>SUM(DADOS.GERAL!Q34:Q38)</f>
        <v>768.9</v>
      </c>
      <c r="L33" s="14">
        <f>SUM(DADOS.GERAL!R34:R38)</f>
        <v>93.099999999999966</v>
      </c>
      <c r="N33" s="13" t="s">
        <v>22</v>
      </c>
      <c r="O33" s="13">
        <f>COUNTA(DADOS.GERAL!V5:V27)</f>
        <v>23</v>
      </c>
      <c r="P33" s="14">
        <f>SUM(DADOS.GERAL!W5:W27)</f>
        <v>499.79000000000013</v>
      </c>
      <c r="Q33" s="14">
        <f>SUM(DADOS.GERAL!X5:X27)</f>
        <v>666.41999999999973</v>
      </c>
      <c r="R33" s="14">
        <f>SUM(DADOS.GERAL!Y5:Y27)</f>
        <v>166.62999999999991</v>
      </c>
      <c r="T33" s="13" t="s">
        <v>22</v>
      </c>
      <c r="U33" s="13">
        <f t="shared" ref="U33:X33" si="21">SUM(C33,I33,O33)</f>
        <v>28</v>
      </c>
      <c r="V33" s="14">
        <f t="shared" si="21"/>
        <v>1175.5900000000001</v>
      </c>
      <c r="W33" s="14">
        <f t="shared" si="21"/>
        <v>1435.3199999999997</v>
      </c>
      <c r="X33" s="14">
        <f t="shared" si="21"/>
        <v>259.7299999999999</v>
      </c>
    </row>
    <row r="34" spans="2:24" ht="15.75" customHeight="1">
      <c r="B34" s="13" t="s">
        <v>23</v>
      </c>
      <c r="C34" s="13">
        <f>COUNTA(DADOS.GERAL!G44:G45)</f>
        <v>2</v>
      </c>
      <c r="D34" s="14">
        <f>SUM(DADOS.GERAL!H44:H45)</f>
        <v>289.8</v>
      </c>
      <c r="E34" s="14">
        <f>SUM(DADOS.GERAL!I44:I45)</f>
        <v>310.12</v>
      </c>
      <c r="F34" s="14">
        <f>SUM(DADOS.GERAL!J44:J45)</f>
        <v>20.319999999999993</v>
      </c>
      <c r="H34" s="13" t="s">
        <v>23</v>
      </c>
      <c r="I34" s="13">
        <f>COUNTA(DADOS.GERAL!O39:O40)</f>
        <v>2</v>
      </c>
      <c r="J34" s="14">
        <f>SUM(DADOS.GERAL!P39:P40)</f>
        <v>534.79999999999995</v>
      </c>
      <c r="K34" s="14">
        <f>SUM(DADOS.GERAL!Q39:Q40)</f>
        <v>539.79999999999995</v>
      </c>
      <c r="L34" s="14">
        <f>SUM(DADOS.GERAL!R39:R40)</f>
        <v>5</v>
      </c>
      <c r="N34" s="13" t="s">
        <v>23</v>
      </c>
      <c r="O34" s="13">
        <f>COUNTA(DADOS.GERAL!V28:V33)</f>
        <v>6</v>
      </c>
      <c r="P34" s="14">
        <f>SUM(DADOS.GERAL!W28:W33)</f>
        <v>189.4</v>
      </c>
      <c r="Q34" s="14">
        <f>SUM(DADOS.GERAL!X28:X33)</f>
        <v>239.4</v>
      </c>
      <c r="R34" s="14">
        <f>SUM(DADOS.GERAL!Y28:Y33)</f>
        <v>50</v>
      </c>
      <c r="T34" s="13" t="s">
        <v>23</v>
      </c>
      <c r="U34" s="13">
        <f t="shared" ref="U34:X34" si="22">SUM(C34,I34,O34)</f>
        <v>10</v>
      </c>
      <c r="V34" s="14">
        <f t="shared" si="22"/>
        <v>1013.9999999999999</v>
      </c>
      <c r="W34" s="14">
        <f t="shared" si="22"/>
        <v>1089.32</v>
      </c>
      <c r="X34" s="14">
        <f t="shared" si="22"/>
        <v>75.319999999999993</v>
      </c>
    </row>
    <row r="35" spans="2:24" ht="15.75" customHeight="1">
      <c r="B35" s="13" t="s">
        <v>24</v>
      </c>
      <c r="C35" s="13"/>
      <c r="D35" s="14"/>
      <c r="E35" s="14"/>
      <c r="F35" s="14"/>
      <c r="H35" s="13" t="s">
        <v>24</v>
      </c>
      <c r="I35" s="13"/>
      <c r="J35" s="13"/>
      <c r="K35" s="13"/>
      <c r="L35" s="13"/>
      <c r="N35" s="13" t="s">
        <v>24</v>
      </c>
      <c r="O35" s="13"/>
      <c r="P35" s="14"/>
      <c r="Q35" s="14"/>
      <c r="R35" s="14"/>
      <c r="T35" s="13" t="s">
        <v>24</v>
      </c>
      <c r="U35" s="13">
        <f t="shared" ref="U35:X35" si="23">SUM(C35,I35,O35)</f>
        <v>0</v>
      </c>
      <c r="V35" s="14">
        <f t="shared" si="23"/>
        <v>0</v>
      </c>
      <c r="W35" s="14">
        <f t="shared" si="23"/>
        <v>0</v>
      </c>
      <c r="X35" s="14">
        <f t="shared" si="23"/>
        <v>0</v>
      </c>
    </row>
    <row r="36" spans="2:24" ht="15.75" customHeight="1">
      <c r="B36" s="13" t="s">
        <v>25</v>
      </c>
      <c r="C36" s="13"/>
      <c r="D36" s="14"/>
      <c r="E36" s="14"/>
      <c r="F36" s="14"/>
      <c r="H36" s="13" t="s">
        <v>25</v>
      </c>
      <c r="I36" s="13"/>
      <c r="J36" s="13"/>
      <c r="K36" s="13"/>
      <c r="L36" s="13"/>
      <c r="N36" s="13" t="s">
        <v>25</v>
      </c>
      <c r="O36" s="13"/>
      <c r="P36" s="14"/>
      <c r="Q36" s="14"/>
      <c r="R36" s="14"/>
      <c r="T36" s="13" t="s">
        <v>25</v>
      </c>
      <c r="U36" s="13">
        <f t="shared" ref="U36:X36" si="24">SUM(C36,I36,O36)</f>
        <v>0</v>
      </c>
      <c r="V36" s="14">
        <f t="shared" si="24"/>
        <v>0</v>
      </c>
      <c r="W36" s="14">
        <f t="shared" si="24"/>
        <v>0</v>
      </c>
      <c r="X36" s="14">
        <f t="shared" si="24"/>
        <v>0</v>
      </c>
    </row>
    <row r="37" spans="2:24" ht="15.75" customHeight="1">
      <c r="B37" s="13" t="s">
        <v>26</v>
      </c>
      <c r="C37" s="13"/>
      <c r="D37" s="14"/>
      <c r="E37" s="14"/>
      <c r="F37" s="14"/>
      <c r="H37" s="13" t="s">
        <v>26</v>
      </c>
      <c r="I37" s="13"/>
      <c r="J37" s="13"/>
      <c r="K37" s="13"/>
      <c r="L37" s="13"/>
      <c r="N37" s="13" t="s">
        <v>26</v>
      </c>
      <c r="O37" s="13"/>
      <c r="P37" s="14"/>
      <c r="Q37" s="14"/>
      <c r="R37" s="14"/>
      <c r="T37" s="13" t="s">
        <v>26</v>
      </c>
      <c r="U37" s="13">
        <f t="shared" ref="U37:X37" si="25">SUM(C37,I37,O37)</f>
        <v>0</v>
      </c>
      <c r="V37" s="14">
        <f t="shared" si="25"/>
        <v>0</v>
      </c>
      <c r="W37" s="14">
        <f t="shared" si="25"/>
        <v>0</v>
      </c>
      <c r="X37" s="14">
        <f t="shared" si="25"/>
        <v>0</v>
      </c>
    </row>
    <row r="38" spans="2:24" ht="15.75" customHeight="1">
      <c r="B38" s="13" t="s">
        <v>27</v>
      </c>
      <c r="C38" s="13"/>
      <c r="D38" s="14"/>
      <c r="E38" s="14"/>
      <c r="F38" s="14"/>
      <c r="H38" s="13" t="s">
        <v>27</v>
      </c>
      <c r="I38" s="13"/>
      <c r="J38" s="13"/>
      <c r="K38" s="13"/>
      <c r="L38" s="13"/>
      <c r="N38" s="13" t="s">
        <v>27</v>
      </c>
      <c r="O38" s="13"/>
      <c r="P38" s="14"/>
      <c r="Q38" s="14"/>
      <c r="R38" s="14"/>
      <c r="T38" s="13" t="s">
        <v>27</v>
      </c>
      <c r="U38" s="13">
        <f t="shared" ref="U38:X38" si="26">SUM(C38,I38,O38)</f>
        <v>0</v>
      </c>
      <c r="V38" s="14">
        <f t="shared" si="26"/>
        <v>0</v>
      </c>
      <c r="W38" s="14">
        <f t="shared" si="26"/>
        <v>0</v>
      </c>
      <c r="X38" s="14">
        <f t="shared" si="26"/>
        <v>0</v>
      </c>
    </row>
    <row r="39" spans="2:24" ht="15.75" customHeight="1">
      <c r="B39" s="13" t="s">
        <v>28</v>
      </c>
      <c r="C39" s="13"/>
      <c r="D39" s="14"/>
      <c r="E39" s="14"/>
      <c r="F39" s="14"/>
      <c r="H39" s="13" t="s">
        <v>28</v>
      </c>
      <c r="I39" s="13"/>
      <c r="J39" s="13"/>
      <c r="K39" s="13"/>
      <c r="L39" s="13"/>
      <c r="N39" s="13" t="s">
        <v>28</v>
      </c>
      <c r="O39" s="13"/>
      <c r="P39" s="14"/>
      <c r="Q39" s="14"/>
      <c r="R39" s="14"/>
      <c r="T39" s="13" t="s">
        <v>28</v>
      </c>
      <c r="U39" s="13">
        <f t="shared" ref="U39:X39" si="27">SUM(C39,I39,O39)</f>
        <v>0</v>
      </c>
      <c r="V39" s="14">
        <f t="shared" si="27"/>
        <v>0</v>
      </c>
      <c r="W39" s="14">
        <f t="shared" si="27"/>
        <v>0</v>
      </c>
      <c r="X39" s="14">
        <f t="shared" si="27"/>
        <v>0</v>
      </c>
    </row>
    <row r="40" spans="2:24" ht="15.75" customHeight="1">
      <c r="B40" s="13" t="s">
        <v>29</v>
      </c>
      <c r="C40" s="13"/>
      <c r="D40" s="14"/>
      <c r="E40" s="14"/>
      <c r="F40" s="14"/>
      <c r="H40" s="13" t="s">
        <v>29</v>
      </c>
      <c r="I40" s="13"/>
      <c r="J40" s="13"/>
      <c r="K40" s="13"/>
      <c r="L40" s="13"/>
      <c r="N40" s="13" t="s">
        <v>29</v>
      </c>
      <c r="O40" s="13"/>
      <c r="P40" s="14"/>
      <c r="Q40" s="14"/>
      <c r="R40" s="14"/>
      <c r="T40" s="13" t="s">
        <v>29</v>
      </c>
      <c r="U40" s="13">
        <f t="shared" ref="U40:X40" si="28">SUM(C40,I40,O40)</f>
        <v>0</v>
      </c>
      <c r="V40" s="14">
        <f t="shared" si="28"/>
        <v>0</v>
      </c>
      <c r="W40" s="14">
        <f t="shared" si="28"/>
        <v>0</v>
      </c>
      <c r="X40" s="14">
        <f t="shared" si="28"/>
        <v>0</v>
      </c>
    </row>
    <row r="41" spans="2:24" ht="15.75" customHeight="1">
      <c r="B41" s="64"/>
      <c r="C41" s="38"/>
      <c r="D41" s="38"/>
      <c r="E41" s="38"/>
      <c r="F41" s="38"/>
      <c r="H41" s="64"/>
      <c r="I41" s="38"/>
      <c r="J41" s="38"/>
      <c r="K41" s="38"/>
      <c r="L41" s="38"/>
      <c r="N41" s="64"/>
      <c r="O41" s="38"/>
      <c r="P41" s="38"/>
      <c r="Q41" s="38"/>
      <c r="R41" s="38"/>
      <c r="T41" s="64"/>
      <c r="U41" s="38"/>
      <c r="V41" s="38"/>
      <c r="W41" s="38"/>
      <c r="X41" s="38"/>
    </row>
    <row r="42" spans="2:24" ht="15.75" customHeight="1">
      <c r="B42" s="27" t="s">
        <v>222</v>
      </c>
    </row>
    <row r="43" spans="2:24" ht="15.75" customHeight="1">
      <c r="B43" s="27" t="s">
        <v>220</v>
      </c>
    </row>
    <row r="44" spans="2:24" ht="15.75" customHeight="1">
      <c r="B44" s="28">
        <v>44637</v>
      </c>
    </row>
    <row r="45" spans="2:24" ht="15.75" customHeight="1"/>
    <row r="46" spans="2:24" ht="15.75" customHeight="1"/>
    <row r="47" spans="2:24" ht="15.75" customHeight="1"/>
    <row r="48" spans="2:24" ht="15.75" customHeight="1"/>
    <row r="49" s="31" customFormat="1" ht="15.75" customHeight="1"/>
    <row r="50" s="31" customFormat="1" ht="15.75" customHeight="1"/>
    <row r="51" s="31" customFormat="1" ht="15.75" customHeight="1"/>
    <row r="52" s="31" customFormat="1" ht="15.75" customHeight="1"/>
    <row r="53" s="31" customFormat="1" ht="15.75" customHeight="1"/>
    <row r="54" s="31" customFormat="1" ht="15.75" customHeight="1"/>
    <row r="55" s="31" customFormat="1" ht="15.75" customHeight="1"/>
    <row r="56" s="31" customFormat="1" ht="15.75" customHeight="1"/>
    <row r="57" s="31" customFormat="1" ht="15.75" customHeight="1"/>
    <row r="58" s="31" customFormat="1" ht="15.75" customHeight="1"/>
    <row r="59" s="31" customFormat="1" ht="15.75" customHeight="1"/>
    <row r="60" s="31" customFormat="1" ht="15.75" customHeight="1"/>
    <row r="61" s="31" customFormat="1" ht="15.75" customHeight="1"/>
    <row r="62" s="31" customFormat="1" ht="15.75" customHeight="1"/>
    <row r="63" s="31" customFormat="1" ht="15.75" customHeight="1"/>
    <row r="64" s="31" customFormat="1" ht="15.75" customHeight="1"/>
    <row r="65" s="31" customFormat="1" ht="15.75" customHeight="1"/>
    <row r="66" s="31" customFormat="1" ht="15.75" customHeight="1"/>
    <row r="67" s="31" customFormat="1" ht="15.75" customHeight="1"/>
    <row r="68" s="31" customFormat="1" ht="15.75" customHeight="1"/>
    <row r="69" s="31" customFormat="1" ht="15.75" customHeight="1"/>
    <row r="70" s="31" customFormat="1" ht="15.75" customHeight="1"/>
    <row r="71" s="31" customFormat="1" ht="15.75" customHeight="1"/>
    <row r="72" s="31" customFormat="1" ht="15.75" customHeight="1"/>
    <row r="73" s="31" customFormat="1" ht="15.75" customHeight="1"/>
    <row r="74" s="31" customFormat="1" ht="15.75" customHeight="1"/>
    <row r="75" s="31" customFormat="1" ht="15.75" customHeight="1"/>
    <row r="76" s="31" customFormat="1" ht="15.75" customHeight="1"/>
    <row r="77" s="31" customFormat="1" ht="15.75" customHeight="1"/>
    <row r="78" s="31" customFormat="1" ht="15.75" customHeight="1"/>
    <row r="79" s="31" customFormat="1" ht="15.75" customHeight="1"/>
    <row r="80" s="31" customFormat="1" ht="15.75" customHeight="1"/>
    <row r="81" s="31" customFormat="1" ht="15.75" customHeight="1"/>
    <row r="82" s="31" customFormat="1" ht="15.75" customHeight="1"/>
    <row r="83" s="31" customFormat="1" ht="15.75" customHeight="1"/>
    <row r="84" s="31" customFormat="1" ht="15.75" customHeight="1"/>
    <row r="85" s="31" customFormat="1" ht="15.75" customHeight="1"/>
    <row r="86" s="31" customFormat="1" ht="15.75" customHeight="1"/>
    <row r="87" s="31" customFormat="1" ht="15.75" customHeight="1"/>
    <row r="88" s="31" customFormat="1" ht="15.75" customHeight="1"/>
    <row r="89" s="31" customFormat="1" ht="15.75" customHeight="1"/>
    <row r="90" s="31" customFormat="1" ht="15.75" customHeight="1"/>
    <row r="91" s="31" customFormat="1" ht="15.75" customHeight="1"/>
    <row r="92" s="31" customFormat="1" ht="15.75" customHeight="1"/>
    <row r="93" s="31" customFormat="1" ht="15.75" customHeight="1"/>
    <row r="94" s="31" customFormat="1" ht="15.75" customHeight="1"/>
    <row r="95" s="31" customFormat="1" ht="15.75" customHeight="1"/>
    <row r="96" s="31" customFormat="1" ht="15.75" customHeight="1"/>
    <row r="97" s="31" customFormat="1" ht="15.75" customHeight="1"/>
    <row r="98" s="31" customFormat="1" ht="15.75" customHeight="1"/>
    <row r="99" s="31" customFormat="1" ht="15.75" customHeight="1"/>
    <row r="100" s="31" customFormat="1" ht="15.75" customHeight="1"/>
    <row r="101" s="31" customFormat="1" ht="15.75" customHeight="1"/>
    <row r="102" s="31" customFormat="1" ht="15.75" customHeight="1"/>
    <row r="103" s="31" customFormat="1" ht="15.75" customHeight="1"/>
    <row r="104" s="31" customFormat="1" ht="15.75" customHeight="1"/>
    <row r="105" s="31" customFormat="1" ht="15.75" customHeight="1"/>
    <row r="106" s="31" customFormat="1" ht="15.75" customHeight="1"/>
    <row r="107" s="31" customFormat="1" ht="15.75" customHeight="1"/>
    <row r="108" s="31" customFormat="1" ht="15.75" customHeight="1"/>
    <row r="109" s="31" customFormat="1" ht="15.75" customHeight="1"/>
    <row r="110" s="31" customFormat="1" ht="15.75" customHeight="1"/>
    <row r="111" s="31" customFormat="1" ht="15.75" customHeight="1"/>
    <row r="112" s="31" customFormat="1" ht="15.75" customHeight="1"/>
    <row r="113" s="31" customFormat="1" ht="15.75" customHeight="1"/>
    <row r="114" s="31" customFormat="1" ht="15.75" customHeight="1"/>
    <row r="115" s="31" customFormat="1" ht="15.75" customHeight="1"/>
    <row r="116" s="31" customFormat="1" ht="15.75" customHeight="1"/>
    <row r="117" s="31" customFormat="1" ht="15.75" customHeight="1"/>
    <row r="118" s="31" customFormat="1" ht="15.75" customHeight="1"/>
    <row r="119" s="31" customFormat="1" ht="15.75" customHeight="1"/>
    <row r="120" s="31" customFormat="1" ht="15.75" customHeight="1"/>
    <row r="121" s="31" customFormat="1" ht="15.75" customHeight="1"/>
    <row r="122" s="31" customFormat="1" ht="15.75" customHeight="1"/>
    <row r="123" s="31" customFormat="1" ht="15.75" customHeight="1"/>
    <row r="124" s="31" customFormat="1" ht="15.75" customHeight="1"/>
    <row r="125" s="31" customFormat="1" ht="15.75" customHeight="1"/>
    <row r="126" s="31" customFormat="1" ht="15.75" customHeight="1"/>
    <row r="127" s="31" customFormat="1" ht="15.75" customHeight="1"/>
    <row r="128" s="31" customFormat="1" ht="15.75" customHeight="1"/>
    <row r="129" s="31" customFormat="1" ht="15.75" customHeight="1"/>
    <row r="130" s="31" customFormat="1" ht="15.75" customHeight="1"/>
    <row r="131" s="31" customFormat="1" ht="15.75" customHeight="1"/>
    <row r="132" s="31" customFormat="1" ht="15.75" customHeight="1"/>
    <row r="133" s="31" customFormat="1" ht="15.75" customHeight="1"/>
    <row r="134" s="31" customFormat="1" ht="15.75" customHeight="1"/>
    <row r="135" s="31" customFormat="1" ht="15.75" customHeight="1"/>
    <row r="136" s="31" customFormat="1" ht="15.75" customHeight="1"/>
    <row r="137" s="31" customFormat="1" ht="15.75" customHeight="1"/>
    <row r="138" s="31" customFormat="1" ht="15.75" customHeight="1"/>
    <row r="139" s="31" customFormat="1" ht="15.75" customHeight="1"/>
    <row r="140" s="31" customFormat="1" ht="15.75" customHeight="1"/>
    <row r="141" s="31" customFormat="1" ht="15.75" customHeight="1"/>
    <row r="142" s="31" customFormat="1" ht="15.75" customHeight="1"/>
    <row r="143" s="31" customFormat="1" ht="15.75" customHeight="1"/>
    <row r="144" s="31" customFormat="1" ht="15.75" customHeight="1"/>
    <row r="145" s="31" customFormat="1" ht="15.75" customHeight="1"/>
    <row r="146" s="31" customFormat="1" ht="15.75" customHeight="1"/>
    <row r="147" s="31" customFormat="1" ht="15.75" customHeight="1"/>
    <row r="148" s="31" customFormat="1" ht="15.75" customHeight="1"/>
    <row r="149" s="31" customFormat="1" ht="15.75" customHeight="1"/>
    <row r="150" s="31" customFormat="1" ht="15.75" customHeight="1"/>
    <row r="151" s="31" customFormat="1" ht="15.75" customHeight="1"/>
    <row r="152" s="31" customFormat="1" ht="15.75" customHeight="1"/>
    <row r="153" s="31" customFormat="1" ht="15.75" customHeight="1"/>
    <row r="154" s="31" customFormat="1" ht="15.75" customHeight="1"/>
    <row r="155" s="31" customFormat="1" ht="15.75" customHeight="1"/>
    <row r="156" s="31" customFormat="1" ht="15.75" customHeight="1"/>
    <row r="157" s="31" customFormat="1" ht="15.75" customHeight="1"/>
    <row r="158" s="31" customFormat="1" ht="15.75" customHeight="1"/>
    <row r="159" s="31" customFormat="1" ht="15.75" customHeight="1"/>
    <row r="160" s="31" customFormat="1" ht="15.75" customHeight="1"/>
    <row r="161" s="31" customFormat="1" ht="15.75" customHeight="1"/>
    <row r="162" s="31" customFormat="1" ht="15.75" customHeight="1"/>
    <row r="163" s="31" customFormat="1" ht="15.75" customHeight="1"/>
    <row r="164" s="31" customFormat="1" ht="15.75" customHeight="1"/>
    <row r="165" s="31" customFormat="1" ht="15.75" customHeight="1"/>
    <row r="166" s="31" customFormat="1" ht="15.75" customHeight="1"/>
    <row r="167" s="31" customFormat="1" ht="15.75" customHeight="1"/>
    <row r="168" s="31" customFormat="1" ht="15.75" customHeight="1"/>
    <row r="169" s="31" customFormat="1" ht="15.75" customHeight="1"/>
    <row r="170" s="31" customFormat="1" ht="15.75" customHeight="1"/>
    <row r="171" s="31" customFormat="1" ht="15.75" customHeight="1"/>
    <row r="172" s="31" customFormat="1" ht="15.75" customHeight="1"/>
    <row r="173" s="31" customFormat="1" ht="15.75" customHeight="1"/>
    <row r="174" s="31" customFormat="1" ht="15.75" customHeight="1"/>
    <row r="175" s="31" customFormat="1" ht="15.75" customHeight="1"/>
    <row r="176" s="31" customFormat="1" ht="15.75" customHeight="1"/>
    <row r="177" s="31" customFormat="1" ht="15.75" customHeight="1"/>
    <row r="178" s="31" customFormat="1" ht="15.75" customHeight="1"/>
    <row r="179" s="31" customFormat="1" ht="15.75" customHeight="1"/>
    <row r="180" s="31" customFormat="1" ht="15.75" customHeight="1"/>
    <row r="181" s="31" customFormat="1" ht="15.75" customHeight="1"/>
    <row r="182" s="31" customFormat="1" ht="15.75" customHeight="1"/>
    <row r="183" s="31" customFormat="1" ht="15.75" customHeight="1"/>
    <row r="184" s="31" customFormat="1" ht="15.75" customHeight="1"/>
    <row r="185" s="31" customFormat="1" ht="15.75" customHeight="1"/>
    <row r="186" s="31" customFormat="1" ht="15.75" customHeight="1"/>
    <row r="187" s="31" customFormat="1" ht="15.75" customHeight="1"/>
    <row r="188" s="31" customFormat="1" ht="15.75" customHeight="1"/>
    <row r="189" s="31" customFormat="1" ht="15.75" customHeight="1"/>
    <row r="190" s="31" customFormat="1" ht="15.75" customHeight="1"/>
    <row r="191" s="31" customFormat="1" ht="15.75" customHeight="1"/>
    <row r="192" s="31" customFormat="1" ht="15.75" customHeight="1"/>
    <row r="193" s="31" customFormat="1" ht="15.75" customHeight="1"/>
    <row r="194" s="31" customFormat="1" ht="15.75" customHeight="1"/>
    <row r="195" s="31" customFormat="1" ht="15.75" customHeight="1"/>
    <row r="196" s="31" customFormat="1" ht="15.75" customHeight="1"/>
    <row r="197" s="31" customFormat="1" ht="15.75" customHeight="1"/>
    <row r="198" s="31" customFormat="1" ht="15.75" customHeight="1"/>
    <row r="199" s="31" customFormat="1" ht="15.75" customHeight="1"/>
    <row r="200" s="31" customFormat="1" ht="15.75" customHeight="1"/>
    <row r="201" s="31" customFormat="1" ht="15.75" customHeight="1"/>
    <row r="202" s="31" customFormat="1" ht="15.75" customHeight="1"/>
    <row r="203" s="31" customFormat="1" ht="15.75" customHeight="1"/>
    <row r="204" s="31" customFormat="1" ht="15.75" customHeight="1"/>
    <row r="205" s="31" customFormat="1" ht="15.75" customHeight="1"/>
    <row r="206" s="31" customFormat="1" ht="15.75" customHeight="1"/>
    <row r="207" s="31" customFormat="1" ht="15.75" customHeight="1"/>
    <row r="208" s="31" customFormat="1" ht="15.75" customHeight="1"/>
    <row r="209" s="31" customFormat="1" ht="15.75" customHeight="1"/>
    <row r="210" s="31" customFormat="1" ht="15.75" customHeight="1"/>
    <row r="211" s="31" customFormat="1" ht="15.75" customHeight="1"/>
    <row r="212" s="31" customFormat="1" ht="15.75" customHeight="1"/>
    <row r="213" s="31" customFormat="1" ht="15.75" customHeight="1"/>
    <row r="214" s="31" customFormat="1" ht="15.75" customHeight="1"/>
    <row r="215" s="31" customFormat="1" ht="15.75" customHeight="1"/>
    <row r="216" s="31" customFormat="1" ht="15.75" customHeight="1"/>
    <row r="217" s="31" customFormat="1" ht="15.75" customHeight="1"/>
    <row r="218" s="31" customFormat="1" ht="15.75" customHeight="1"/>
    <row r="219" s="31" customFormat="1" ht="15.75" customHeight="1"/>
    <row r="220" s="31" customFormat="1" ht="15.75" customHeight="1"/>
    <row r="221" s="31" customFormat="1" ht="15.75" customHeight="1"/>
    <row r="222" s="31" customFormat="1" ht="15.75" customHeight="1"/>
    <row r="223" s="31" customFormat="1" ht="15.75" customHeight="1"/>
    <row r="224" s="31" customFormat="1" ht="15.75" customHeight="1"/>
    <row r="225" s="31" customFormat="1" ht="15.75" customHeight="1"/>
    <row r="226" s="31" customFormat="1" ht="15.75" customHeight="1"/>
    <row r="227" s="31" customFormat="1" ht="15.75" customHeight="1"/>
    <row r="228" s="31" customFormat="1" ht="15.75" customHeight="1"/>
    <row r="229" s="31" customFormat="1" ht="15.75" customHeight="1"/>
    <row r="230" s="31" customFormat="1" ht="15.75" customHeight="1"/>
    <row r="231" s="31" customFormat="1" ht="15.75" customHeight="1"/>
    <row r="232" s="31" customFormat="1" ht="15.75" customHeight="1"/>
    <row r="233" s="31" customFormat="1" ht="15.75" customHeight="1"/>
    <row r="234" s="31" customFormat="1" ht="15.75" customHeight="1"/>
    <row r="235" s="31" customFormat="1" ht="15.75" customHeight="1"/>
    <row r="236" s="31" customFormat="1" ht="15.75" customHeight="1"/>
    <row r="237" s="31" customFormat="1" ht="15.75" customHeight="1"/>
    <row r="238" s="31" customFormat="1" ht="15.75" customHeight="1"/>
    <row r="239" s="31" customFormat="1" ht="15.75" customHeight="1"/>
    <row r="240" s="31" customFormat="1" ht="15.75" customHeight="1"/>
    <row r="241" s="31" customFormat="1" ht="15.75" customHeight="1"/>
    <row r="242" s="31" customFormat="1" ht="15.75" customHeight="1"/>
    <row r="243" s="31" customFormat="1" ht="15.75" customHeight="1"/>
    <row r="244" s="31" customFormat="1" ht="15.75" customHeight="1"/>
    <row r="245" s="31" customFormat="1" ht="15.75" customHeight="1"/>
    <row r="246" s="31" customFormat="1" ht="15.75" customHeight="1"/>
    <row r="247" s="31" customFormat="1" ht="15.75" customHeight="1"/>
    <row r="248" s="31" customFormat="1" ht="15.75" customHeight="1"/>
    <row r="249" s="31" customFormat="1" ht="15.75" customHeight="1"/>
    <row r="250" s="31" customFormat="1" ht="15.75" customHeight="1"/>
    <row r="251" s="31" customFormat="1" ht="15.75" customHeight="1"/>
    <row r="252" s="31" customFormat="1" ht="15.75" customHeight="1"/>
    <row r="253" s="31" customFormat="1" ht="15.75" customHeight="1"/>
    <row r="254" s="31" customFormat="1" ht="15.75" customHeight="1"/>
    <row r="255" s="31" customFormat="1" ht="15.75" customHeight="1"/>
    <row r="256" s="31" customFormat="1" ht="15.75" customHeight="1"/>
    <row r="257" s="31" customFormat="1" ht="15.75" customHeight="1"/>
    <row r="258" s="31" customFormat="1" ht="15.75" customHeight="1"/>
    <row r="259" s="31" customFormat="1" ht="15.75" customHeight="1"/>
    <row r="260" s="31" customFormat="1" ht="15.75" customHeight="1"/>
    <row r="261" s="31" customFormat="1" ht="15.75" customHeight="1"/>
    <row r="262" s="31" customFormat="1" ht="15.75" customHeight="1"/>
    <row r="263" s="31" customFormat="1" ht="15.75" customHeight="1"/>
    <row r="264" s="31" customFormat="1" ht="15.75" customHeight="1"/>
    <row r="265" s="31" customFormat="1" ht="15.75" customHeight="1"/>
    <row r="266" s="31" customFormat="1" ht="15.75" customHeight="1"/>
    <row r="267" s="31" customFormat="1" ht="15.75" customHeight="1"/>
    <row r="268" s="31" customFormat="1" ht="15.75" customHeight="1"/>
    <row r="269" s="31" customFormat="1" ht="15.75" customHeight="1"/>
    <row r="270" s="31" customFormat="1" ht="15.75" customHeight="1"/>
    <row r="271" s="31" customFormat="1" ht="15.75" customHeight="1"/>
    <row r="272" s="31" customFormat="1" ht="15.75" customHeight="1"/>
    <row r="273" s="31" customFormat="1" ht="15.75" customHeight="1"/>
    <row r="274" s="31" customFormat="1" ht="15.75" customHeight="1"/>
    <row r="275" s="31" customFormat="1" ht="15.75" customHeight="1"/>
    <row r="276" s="31" customFormat="1" ht="15.75" customHeight="1"/>
    <row r="277" s="31" customFormat="1" ht="15.75" customHeight="1"/>
    <row r="278" s="31" customFormat="1" ht="15.75" customHeight="1"/>
    <row r="279" s="31" customFormat="1" ht="15.75" customHeight="1"/>
    <row r="280" s="31" customFormat="1" ht="15.75" customHeight="1"/>
    <row r="281" s="31" customFormat="1" ht="15.75" customHeight="1"/>
    <row r="282" s="31" customFormat="1" ht="15.75" customHeight="1"/>
    <row r="283" s="31" customFormat="1" ht="15.75" customHeight="1"/>
    <row r="284" s="31" customFormat="1" ht="15.75" customHeight="1"/>
    <row r="285" s="31" customFormat="1" ht="15.75" customHeight="1"/>
    <row r="286" s="31" customFormat="1" ht="15.75" customHeight="1"/>
    <row r="287" s="31" customFormat="1" ht="15.75" customHeight="1"/>
    <row r="288" s="31" customFormat="1" ht="15.75" customHeight="1"/>
    <row r="289" s="31" customFormat="1" ht="15.75" customHeight="1"/>
    <row r="290" s="31" customFormat="1" ht="15.75" customHeight="1"/>
    <row r="291" s="31" customFormat="1" ht="15.75" customHeight="1"/>
    <row r="292" s="31" customFormat="1" ht="15.75" customHeight="1"/>
    <row r="293" s="31" customFormat="1" ht="15.75" customHeight="1"/>
    <row r="294" s="31" customFormat="1" ht="15.75" customHeight="1"/>
    <row r="295" s="31" customFormat="1" ht="15.75" customHeight="1"/>
    <row r="296" s="31" customFormat="1" ht="15.75" customHeight="1"/>
    <row r="297" s="31" customFormat="1" ht="15.75" customHeight="1"/>
    <row r="298" s="31" customFormat="1" ht="15.75" customHeight="1"/>
    <row r="299" s="31" customFormat="1" ht="15.75" customHeight="1"/>
    <row r="300" s="31" customFormat="1" ht="15.75" customHeight="1"/>
    <row r="301" s="31" customFormat="1" ht="15.75" customHeight="1"/>
    <row r="302" s="31" customFormat="1" ht="15.75" customHeight="1"/>
    <row r="303" s="31" customFormat="1" ht="15.75" customHeight="1"/>
    <row r="304" s="31" customFormat="1" ht="15.75" customHeight="1"/>
    <row r="305" s="31" customFormat="1" ht="15.75" customHeight="1"/>
    <row r="306" s="31" customFormat="1" ht="15.75" customHeight="1"/>
    <row r="307" s="31" customFormat="1" ht="15.75" customHeight="1"/>
    <row r="308" s="31" customFormat="1" ht="15.75" customHeight="1"/>
    <row r="309" s="31" customFormat="1" ht="15.75" customHeight="1"/>
    <row r="310" s="31" customFormat="1" ht="15.75" customHeight="1"/>
    <row r="311" s="31" customFormat="1" ht="15.75" customHeight="1"/>
    <row r="312" s="31" customFormat="1" ht="15.75" customHeight="1"/>
    <row r="313" s="31" customFormat="1" ht="15.75" customHeight="1"/>
    <row r="314" s="31" customFormat="1" ht="15.75" customHeight="1"/>
    <row r="315" s="31" customFormat="1" ht="15.75" customHeight="1"/>
    <row r="316" s="31" customFormat="1" ht="15.75" customHeight="1"/>
    <row r="317" s="31" customFormat="1" ht="15.75" customHeight="1"/>
    <row r="318" s="31" customFormat="1" ht="15.75" customHeight="1"/>
    <row r="319" s="31" customFormat="1" ht="15.75" customHeight="1"/>
    <row r="320" s="31" customFormat="1" ht="15.75" customHeight="1"/>
    <row r="321" s="31" customFormat="1" ht="15.75" customHeight="1"/>
    <row r="322" s="31" customFormat="1" ht="15.75" customHeight="1"/>
    <row r="323" s="31" customFormat="1" ht="15.75" customHeight="1"/>
    <row r="324" s="31" customFormat="1" ht="15.75" customHeight="1"/>
    <row r="325" s="31" customFormat="1" ht="15.75" customHeight="1"/>
    <row r="326" s="31" customFormat="1" ht="15.75" customHeight="1"/>
    <row r="327" s="31" customFormat="1" ht="15.75" customHeight="1"/>
    <row r="328" s="31" customFormat="1" ht="15.75" customHeight="1"/>
    <row r="329" s="31" customFormat="1" ht="15.75" customHeight="1"/>
    <row r="330" s="31" customFormat="1" ht="15.75" customHeight="1"/>
    <row r="331" s="31" customFormat="1" ht="15.75" customHeight="1"/>
    <row r="332" s="31" customFormat="1" ht="15.75" customHeight="1"/>
    <row r="333" s="31" customFormat="1" ht="15.75" customHeight="1"/>
    <row r="334" s="31" customFormat="1" ht="15.75" customHeight="1"/>
    <row r="335" s="31" customFormat="1" ht="15.75" customHeight="1"/>
    <row r="336" s="31" customFormat="1" ht="15.75" customHeight="1"/>
    <row r="337" s="31" customFormat="1" ht="15.75" customHeight="1"/>
    <row r="338" s="31" customFormat="1" ht="15.75" customHeight="1"/>
    <row r="339" s="31" customFormat="1" ht="15.75" customHeight="1"/>
    <row r="340" s="31" customFormat="1" ht="15.75" customHeight="1"/>
    <row r="341" s="31" customFormat="1" ht="15.75" customHeight="1"/>
    <row r="342" s="31" customFormat="1" ht="15.75" customHeight="1"/>
    <row r="343" s="31" customFormat="1" ht="15.75" customHeight="1"/>
    <row r="344" s="31" customFormat="1" ht="15.75" customHeight="1"/>
    <row r="345" s="31" customFormat="1" ht="15.75" customHeight="1"/>
    <row r="346" s="31" customFormat="1" ht="15.75" customHeight="1"/>
    <row r="347" s="31" customFormat="1" ht="15.75" customHeight="1"/>
    <row r="348" s="31" customFormat="1" ht="15.75" customHeight="1"/>
    <row r="349" s="31" customFormat="1" ht="15.75" customHeight="1"/>
    <row r="350" s="31" customFormat="1" ht="15.75" customHeight="1"/>
    <row r="351" s="31" customFormat="1" ht="15.75" customHeight="1"/>
    <row r="352" s="31" customFormat="1" ht="15.75" customHeight="1"/>
    <row r="353" s="31" customFormat="1" ht="15.75" customHeight="1"/>
    <row r="354" s="31" customFormat="1" ht="15.75" customHeight="1"/>
    <row r="355" s="31" customFormat="1" ht="15.75" customHeight="1"/>
    <row r="356" s="31" customFormat="1" ht="15.75" customHeight="1"/>
    <row r="357" s="31" customFormat="1" ht="15.75" customHeight="1"/>
    <row r="358" s="31" customFormat="1" ht="15.75" customHeight="1"/>
    <row r="359" s="31" customFormat="1" ht="15.75" customHeight="1"/>
    <row r="360" s="31" customFormat="1" ht="15.75" customHeight="1"/>
    <row r="361" s="31" customFormat="1" ht="15.75" customHeight="1"/>
    <row r="362" s="31" customFormat="1" ht="15.75" customHeight="1"/>
    <row r="363" s="31" customFormat="1" ht="15.75" customHeight="1"/>
    <row r="364" s="31" customFormat="1" ht="15.75" customHeight="1"/>
    <row r="365" s="31" customFormat="1" ht="15.75" customHeight="1"/>
    <row r="366" s="31" customFormat="1" ht="15.75" customHeight="1"/>
    <row r="367" s="31" customFormat="1" ht="15.75" customHeight="1"/>
    <row r="368" s="31" customFormat="1" ht="15.75" customHeight="1"/>
    <row r="369" s="31" customFormat="1" ht="15.75" customHeight="1"/>
    <row r="370" s="31" customFormat="1" ht="15.75" customHeight="1"/>
    <row r="371" s="31" customFormat="1" ht="15.75" customHeight="1"/>
    <row r="372" s="31" customFormat="1" ht="15.75" customHeight="1"/>
    <row r="373" s="31" customFormat="1" ht="15.75" customHeight="1"/>
    <row r="374" s="31" customFormat="1" ht="15.75" customHeight="1"/>
    <row r="375" s="31" customFormat="1" ht="15.75" customHeight="1"/>
    <row r="376" s="31" customFormat="1" ht="15.75" customHeight="1"/>
    <row r="377" s="31" customFormat="1" ht="15.75" customHeight="1"/>
    <row r="378" s="31" customFormat="1" ht="15.75" customHeight="1"/>
    <row r="379" s="31" customFormat="1" ht="15.75" customHeight="1"/>
    <row r="380" s="31" customFormat="1" ht="15.75" customHeight="1"/>
    <row r="381" s="31" customFormat="1" ht="15.75" customHeight="1"/>
    <row r="382" s="31" customFormat="1" ht="15.75" customHeight="1"/>
    <row r="383" s="31" customFormat="1" ht="15.75" customHeight="1"/>
    <row r="384" s="31" customFormat="1" ht="15.75" customHeight="1"/>
    <row r="385" s="31" customFormat="1" ht="15.75" customHeight="1"/>
    <row r="386" s="31" customFormat="1" ht="15.75" customHeight="1"/>
    <row r="387" s="31" customFormat="1" ht="15.75" customHeight="1"/>
    <row r="388" s="31" customFormat="1" ht="15.75" customHeight="1"/>
    <row r="389" s="31" customFormat="1" ht="15.75" customHeight="1"/>
    <row r="390" s="31" customFormat="1" ht="15.75" customHeight="1"/>
    <row r="391" s="31" customFormat="1" ht="15.75" customHeight="1"/>
    <row r="392" s="31" customFormat="1" ht="15.75" customHeight="1"/>
    <row r="393" s="31" customFormat="1" ht="15.75" customHeight="1"/>
    <row r="394" s="31" customFormat="1" ht="15.75" customHeight="1"/>
    <row r="395" s="31" customFormat="1" ht="15.75" customHeight="1"/>
    <row r="396" s="31" customFormat="1" ht="15.75" customHeight="1"/>
    <row r="397" s="31" customFormat="1" ht="15.75" customHeight="1"/>
    <row r="398" s="31" customFormat="1" ht="15.75" customHeight="1"/>
    <row r="399" s="31" customFormat="1" ht="15.75" customHeight="1"/>
    <row r="400" s="31" customFormat="1" ht="15.75" customHeight="1"/>
    <row r="401" s="31" customFormat="1" ht="15.75" customHeight="1"/>
    <row r="402" s="31" customFormat="1" ht="15.75" customHeight="1"/>
    <row r="403" s="31" customFormat="1" ht="15.75" customHeight="1"/>
    <row r="404" s="31" customFormat="1" ht="15.75" customHeight="1"/>
    <row r="405" s="31" customFormat="1" ht="15.75" customHeight="1"/>
    <row r="406" s="31" customFormat="1" ht="15.75" customHeight="1"/>
    <row r="407" s="31" customFormat="1" ht="15.75" customHeight="1"/>
    <row r="408" s="31" customFormat="1" ht="15.75" customHeight="1"/>
    <row r="409" s="31" customFormat="1" ht="15.75" customHeight="1"/>
    <row r="410" s="31" customFormat="1" ht="15.75" customHeight="1"/>
    <row r="411" s="31" customFormat="1" ht="15.75" customHeight="1"/>
    <row r="412" s="31" customFormat="1" ht="15.75" customHeight="1"/>
    <row r="413" s="31" customFormat="1" ht="15.75" customHeight="1"/>
    <row r="414" s="31" customFormat="1" ht="15.75" customHeight="1"/>
    <row r="415" s="31" customFormat="1" ht="15.75" customHeight="1"/>
    <row r="416" s="31" customFormat="1" ht="15.75" customHeight="1"/>
    <row r="417" s="31" customFormat="1" ht="15.75" customHeight="1"/>
    <row r="418" s="31" customFormat="1" ht="15.75" customHeight="1"/>
    <row r="419" s="31" customFormat="1" ht="15.75" customHeight="1"/>
    <row r="420" s="31" customFormat="1" ht="15.75" customHeight="1"/>
    <row r="421" s="31" customFormat="1" ht="15.75" customHeight="1"/>
    <row r="422" s="31" customFormat="1" ht="15.75" customHeight="1"/>
    <row r="423" s="31" customFormat="1" ht="15.75" customHeight="1"/>
    <row r="424" s="31" customFormat="1" ht="15.75" customHeight="1"/>
    <row r="425" s="31" customFormat="1" ht="15.75" customHeight="1"/>
    <row r="426" s="31" customFormat="1" ht="15.75" customHeight="1"/>
    <row r="427" s="31" customFormat="1" ht="15.75" customHeight="1"/>
    <row r="428" s="31" customFormat="1" ht="15.75" customHeight="1"/>
    <row r="429" s="31" customFormat="1" ht="15.75" customHeight="1"/>
    <row r="430" s="31" customFormat="1" ht="15.75" customHeight="1"/>
    <row r="431" s="31" customFormat="1" ht="15.75" customHeight="1"/>
    <row r="432" s="31" customFormat="1" ht="15.75" customHeight="1"/>
    <row r="433" s="31" customFormat="1" ht="15.75" customHeight="1"/>
    <row r="434" s="31" customFormat="1" ht="15.75" customHeight="1"/>
    <row r="435" s="31" customFormat="1" ht="15.75" customHeight="1"/>
    <row r="436" s="31" customFormat="1" ht="15.75" customHeight="1"/>
    <row r="437" s="31" customFormat="1" ht="15.75" customHeight="1"/>
    <row r="438" s="31" customFormat="1" ht="15.75" customHeight="1"/>
    <row r="439" s="31" customFormat="1" ht="15.75" customHeight="1"/>
    <row r="440" s="31" customFormat="1" ht="15.75" customHeight="1"/>
    <row r="441" s="31" customFormat="1" ht="15.75" customHeight="1"/>
    <row r="442" s="31" customFormat="1" ht="15.75" customHeight="1"/>
    <row r="443" s="31" customFormat="1" ht="15.75" customHeight="1"/>
    <row r="444" s="31" customFormat="1" ht="15.75" customHeight="1"/>
    <row r="445" s="31" customFormat="1" ht="15.75" customHeight="1"/>
    <row r="446" s="31" customFormat="1" ht="15.75" customHeight="1"/>
    <row r="447" s="31" customFormat="1" ht="15.75" customHeight="1"/>
    <row r="448" s="31" customFormat="1" ht="15.75" customHeight="1"/>
    <row r="449" s="31" customFormat="1" ht="15.75" customHeight="1"/>
    <row r="450" s="31" customFormat="1" ht="15.75" customHeight="1"/>
    <row r="451" s="31" customFormat="1" ht="15.75" customHeight="1"/>
    <row r="452" s="31" customFormat="1" ht="15.75" customHeight="1"/>
    <row r="453" s="31" customFormat="1" ht="15.75" customHeight="1"/>
    <row r="454" s="31" customFormat="1" ht="15.75" customHeight="1"/>
    <row r="455" s="31" customFormat="1" ht="15.75" customHeight="1"/>
    <row r="456" s="31" customFormat="1" ht="15.75" customHeight="1"/>
    <row r="457" s="31" customFormat="1" ht="15.75" customHeight="1"/>
    <row r="458" s="31" customFormat="1" ht="15.75" customHeight="1"/>
    <row r="459" s="31" customFormat="1" ht="15.75" customHeight="1"/>
    <row r="460" s="31" customFormat="1" ht="15.75" customHeight="1"/>
    <row r="461" s="31" customFormat="1" ht="15.75" customHeight="1"/>
    <row r="462" s="31" customFormat="1" ht="15.75" customHeight="1"/>
    <row r="463" s="31" customFormat="1" ht="15.75" customHeight="1"/>
    <row r="464" s="31" customFormat="1" ht="15.75" customHeight="1"/>
    <row r="465" s="31" customFormat="1" ht="15.75" customHeight="1"/>
    <row r="466" s="31" customFormat="1" ht="15.75" customHeight="1"/>
    <row r="467" s="31" customFormat="1" ht="15.75" customHeight="1"/>
    <row r="468" s="31" customFormat="1" ht="15.75" customHeight="1"/>
    <row r="469" s="31" customFormat="1" ht="15.75" customHeight="1"/>
    <row r="470" s="31" customFormat="1" ht="15.75" customHeight="1"/>
    <row r="471" s="31" customFormat="1" ht="15.75" customHeight="1"/>
    <row r="472" s="31" customFormat="1" ht="15.75" customHeight="1"/>
    <row r="473" s="31" customFormat="1" ht="15.75" customHeight="1"/>
    <row r="474" s="31" customFormat="1" ht="15.75" customHeight="1"/>
    <row r="475" s="31" customFormat="1" ht="15.75" customHeight="1"/>
    <row r="476" s="31" customFormat="1" ht="15.75" customHeight="1"/>
    <row r="477" s="31" customFormat="1" ht="15.75" customHeight="1"/>
    <row r="478" s="31" customFormat="1" ht="15.75" customHeight="1"/>
    <row r="479" s="31" customFormat="1" ht="15.75" customHeight="1"/>
    <row r="480" s="31" customFormat="1" ht="15.75" customHeight="1"/>
    <row r="481" s="31" customFormat="1" ht="15.75" customHeight="1"/>
    <row r="482" s="31" customFormat="1" ht="15.75" customHeight="1"/>
    <row r="483" s="31" customFormat="1" ht="15.75" customHeight="1"/>
    <row r="484" s="31" customFormat="1" ht="15.75" customHeight="1"/>
    <row r="485" s="31" customFormat="1" ht="15.75" customHeight="1"/>
    <row r="486" s="31" customFormat="1" ht="15.75" customHeight="1"/>
    <row r="487" s="31" customFormat="1" ht="15.75" customHeight="1"/>
    <row r="488" s="31" customFormat="1" ht="15.75" customHeight="1"/>
    <row r="489" s="31" customFormat="1" ht="15.75" customHeight="1"/>
    <row r="490" s="31" customFormat="1" ht="15.75" customHeight="1"/>
    <row r="491" s="31" customFormat="1" ht="15.75" customHeight="1"/>
    <row r="492" s="31" customFormat="1" ht="15.75" customHeight="1"/>
    <row r="493" s="31" customFormat="1" ht="15.75" customHeight="1"/>
    <row r="494" s="31" customFormat="1" ht="15.75" customHeight="1"/>
    <row r="495" s="31" customFormat="1" ht="15.75" customHeight="1"/>
    <row r="496" s="31" customFormat="1" ht="15.75" customHeight="1"/>
    <row r="497" s="31" customFormat="1" ht="15.75" customHeight="1"/>
    <row r="498" s="31" customFormat="1" ht="15.75" customHeight="1"/>
    <row r="499" s="31" customFormat="1" ht="15.75" customHeight="1"/>
    <row r="500" s="31" customFormat="1" ht="15.75" customHeight="1"/>
    <row r="501" s="31" customFormat="1" ht="15.75" customHeight="1"/>
    <row r="502" s="31" customFormat="1" ht="15.75" customHeight="1"/>
    <row r="503" s="31" customFormat="1" ht="15.75" customHeight="1"/>
    <row r="504" s="31" customFormat="1" ht="15.75" customHeight="1"/>
    <row r="505" s="31" customFormat="1" ht="15.75" customHeight="1"/>
    <row r="506" s="31" customFormat="1" ht="15.75" customHeight="1"/>
    <row r="507" s="31" customFormat="1" ht="15.75" customHeight="1"/>
    <row r="508" s="31" customFormat="1" ht="15.75" customHeight="1"/>
    <row r="509" s="31" customFormat="1" ht="15.75" customHeight="1"/>
    <row r="510" s="31" customFormat="1" ht="15.75" customHeight="1"/>
    <row r="511" s="31" customFormat="1" ht="15.75" customHeight="1"/>
    <row r="512" s="31" customFormat="1" ht="15.75" customHeight="1"/>
    <row r="513" s="31" customFormat="1" ht="15.75" customHeight="1"/>
    <row r="514" s="31" customFormat="1" ht="15.75" customHeight="1"/>
    <row r="515" s="31" customFormat="1" ht="15.75" customHeight="1"/>
    <row r="516" s="31" customFormat="1" ht="15.75" customHeight="1"/>
    <row r="517" s="31" customFormat="1" ht="15.75" customHeight="1"/>
    <row r="518" s="31" customFormat="1" ht="15.75" customHeight="1"/>
    <row r="519" s="31" customFormat="1" ht="15.75" customHeight="1"/>
    <row r="520" s="31" customFormat="1" ht="15.75" customHeight="1"/>
    <row r="521" s="31" customFormat="1" ht="15.75" customHeight="1"/>
    <row r="522" s="31" customFormat="1" ht="15.75" customHeight="1"/>
    <row r="523" s="31" customFormat="1" ht="15.75" customHeight="1"/>
    <row r="524" s="31" customFormat="1" ht="15.75" customHeight="1"/>
    <row r="525" s="31" customFormat="1" ht="15.75" customHeight="1"/>
    <row r="526" s="31" customFormat="1" ht="15.75" customHeight="1"/>
    <row r="527" s="31" customFormat="1" ht="15.75" customHeight="1"/>
    <row r="528" s="31" customFormat="1" ht="15.75" customHeight="1"/>
    <row r="529" s="31" customFormat="1" ht="15.75" customHeight="1"/>
    <row r="530" s="31" customFormat="1" ht="15.75" customHeight="1"/>
    <row r="531" s="31" customFormat="1" ht="15.75" customHeight="1"/>
    <row r="532" s="31" customFormat="1" ht="15.75" customHeight="1"/>
    <row r="533" s="31" customFormat="1" ht="15.75" customHeight="1"/>
    <row r="534" s="31" customFormat="1" ht="15.75" customHeight="1"/>
    <row r="535" s="31" customFormat="1" ht="15.75" customHeight="1"/>
    <row r="536" s="31" customFormat="1" ht="15.75" customHeight="1"/>
    <row r="537" s="31" customFormat="1" ht="15.75" customHeight="1"/>
    <row r="538" s="31" customFormat="1" ht="15.75" customHeight="1"/>
    <row r="539" s="31" customFormat="1" ht="15.75" customHeight="1"/>
    <row r="540" s="31" customFormat="1" ht="15.75" customHeight="1"/>
    <row r="541" s="31" customFormat="1" ht="15.75" customHeight="1"/>
    <row r="542" s="31" customFormat="1" ht="15.75" customHeight="1"/>
    <row r="543" s="31" customFormat="1" ht="15.75" customHeight="1"/>
    <row r="544" s="31" customFormat="1" ht="15.75" customHeight="1"/>
    <row r="545" s="31" customFormat="1" ht="15.75" customHeight="1"/>
    <row r="546" s="31" customFormat="1" ht="15.75" customHeight="1"/>
    <row r="547" s="31" customFormat="1" ht="15.75" customHeight="1"/>
    <row r="548" s="31" customFormat="1" ht="15.75" customHeight="1"/>
    <row r="549" s="31" customFormat="1" ht="15.75" customHeight="1"/>
    <row r="550" s="31" customFormat="1" ht="15.75" customHeight="1"/>
    <row r="551" s="31" customFormat="1" ht="15.75" customHeight="1"/>
    <row r="552" s="31" customFormat="1" ht="15.75" customHeight="1"/>
    <row r="553" s="31" customFormat="1" ht="15.75" customHeight="1"/>
    <row r="554" s="31" customFormat="1" ht="15.75" customHeight="1"/>
    <row r="555" s="31" customFormat="1" ht="15.75" customHeight="1"/>
    <row r="556" s="31" customFormat="1" ht="15.75" customHeight="1"/>
    <row r="557" s="31" customFormat="1" ht="15.75" customHeight="1"/>
    <row r="558" s="31" customFormat="1" ht="15.75" customHeight="1"/>
    <row r="559" s="31" customFormat="1" ht="15.75" customHeight="1"/>
    <row r="560" s="31" customFormat="1" ht="15.75" customHeight="1"/>
    <row r="561" s="31" customFormat="1" ht="15.75" customHeight="1"/>
    <row r="562" s="31" customFormat="1" ht="15.75" customHeight="1"/>
    <row r="563" s="31" customFormat="1" ht="15.75" customHeight="1"/>
    <row r="564" s="31" customFormat="1" ht="15.75" customHeight="1"/>
    <row r="565" s="31" customFormat="1" ht="15.75" customHeight="1"/>
    <row r="566" s="31" customFormat="1" ht="15.75" customHeight="1"/>
    <row r="567" s="31" customFormat="1" ht="15.75" customHeight="1"/>
    <row r="568" s="31" customFormat="1" ht="15.75" customHeight="1"/>
    <row r="569" s="31" customFormat="1" ht="15.75" customHeight="1"/>
    <row r="570" s="31" customFormat="1" ht="15.75" customHeight="1"/>
    <row r="571" s="31" customFormat="1" ht="15.75" customHeight="1"/>
    <row r="572" s="31" customFormat="1" ht="15.75" customHeight="1"/>
    <row r="573" s="31" customFormat="1" ht="15.75" customHeight="1"/>
    <row r="574" s="31" customFormat="1" ht="15.75" customHeight="1"/>
    <row r="575" s="31" customFormat="1" ht="15.75" customHeight="1"/>
    <row r="576" s="31" customFormat="1" ht="15.75" customHeight="1"/>
    <row r="577" s="31" customFormat="1" ht="15.75" customHeight="1"/>
    <row r="578" s="31" customFormat="1" ht="15.75" customHeight="1"/>
    <row r="579" s="31" customFormat="1" ht="15.75" customHeight="1"/>
    <row r="580" s="31" customFormat="1" ht="15.75" customHeight="1"/>
    <row r="581" s="31" customFormat="1" ht="15.75" customHeight="1"/>
    <row r="582" s="31" customFormat="1" ht="15.75" customHeight="1"/>
    <row r="583" s="31" customFormat="1" ht="15.75" customHeight="1"/>
    <row r="584" s="31" customFormat="1" ht="15.75" customHeight="1"/>
    <row r="585" s="31" customFormat="1" ht="15.75" customHeight="1"/>
    <row r="586" s="31" customFormat="1" ht="15.75" customHeight="1"/>
    <row r="587" s="31" customFormat="1" ht="15.75" customHeight="1"/>
    <row r="588" s="31" customFormat="1" ht="15.75" customHeight="1"/>
    <row r="589" s="31" customFormat="1" ht="15.75" customHeight="1"/>
    <row r="590" s="31" customFormat="1" ht="15.75" customHeight="1"/>
    <row r="591" s="31" customFormat="1" ht="15.75" customHeight="1"/>
    <row r="592" s="31" customFormat="1" ht="15.75" customHeight="1"/>
    <row r="593" s="31" customFormat="1" ht="15.75" customHeight="1"/>
    <row r="594" s="31" customFormat="1" ht="15.75" customHeight="1"/>
    <row r="595" s="31" customFormat="1" ht="15.75" customHeight="1"/>
    <row r="596" s="31" customFormat="1" ht="15.75" customHeight="1"/>
    <row r="597" s="31" customFormat="1" ht="15.75" customHeight="1"/>
    <row r="598" s="31" customFormat="1" ht="15.75" customHeight="1"/>
    <row r="599" s="31" customFormat="1" ht="15.75" customHeight="1"/>
    <row r="600" s="31" customFormat="1" ht="15.75" customHeight="1"/>
    <row r="601" s="31" customFormat="1" ht="15.75" customHeight="1"/>
    <row r="602" s="31" customFormat="1" ht="15.75" customHeight="1"/>
    <row r="603" s="31" customFormat="1" ht="15.75" customHeight="1"/>
    <row r="604" s="31" customFormat="1" ht="15.75" customHeight="1"/>
    <row r="605" s="31" customFormat="1" ht="15.75" customHeight="1"/>
    <row r="606" s="31" customFormat="1" ht="15.75" customHeight="1"/>
    <row r="607" s="31" customFormat="1" ht="15.75" customHeight="1"/>
    <row r="608" s="31" customFormat="1" ht="15.75" customHeight="1"/>
    <row r="609" s="31" customFormat="1" ht="15.75" customHeight="1"/>
    <row r="610" s="31" customFormat="1" ht="15.75" customHeight="1"/>
    <row r="611" s="31" customFormat="1" ht="15.75" customHeight="1"/>
    <row r="612" s="31" customFormat="1" ht="15.75" customHeight="1"/>
    <row r="613" s="31" customFormat="1" ht="15.75" customHeight="1"/>
    <row r="614" s="31" customFormat="1" ht="15.75" customHeight="1"/>
    <row r="615" s="31" customFormat="1" ht="15.75" customHeight="1"/>
    <row r="616" s="31" customFormat="1" ht="15.75" customHeight="1"/>
    <row r="617" s="31" customFormat="1" ht="15.75" customHeight="1"/>
    <row r="618" s="31" customFormat="1" ht="15.75" customHeight="1"/>
    <row r="619" s="31" customFormat="1" ht="15.75" customHeight="1"/>
    <row r="620" s="31" customFormat="1" ht="15.75" customHeight="1"/>
    <row r="621" s="31" customFormat="1" ht="15.75" customHeight="1"/>
    <row r="622" s="31" customFormat="1" ht="15.75" customHeight="1"/>
    <row r="623" s="31" customFormat="1" ht="15.75" customHeight="1"/>
    <row r="624" s="31" customFormat="1" ht="15.75" customHeight="1"/>
    <row r="625" s="31" customFormat="1" ht="15.75" customHeight="1"/>
    <row r="626" s="31" customFormat="1" ht="15.75" customHeight="1"/>
    <row r="627" s="31" customFormat="1" ht="15.75" customHeight="1"/>
    <row r="628" s="31" customFormat="1" ht="15.75" customHeight="1"/>
    <row r="629" s="31" customFormat="1" ht="15.75" customHeight="1"/>
    <row r="630" s="31" customFormat="1" ht="15.75" customHeight="1"/>
    <row r="631" s="31" customFormat="1" ht="15.75" customHeight="1"/>
    <row r="632" s="31" customFormat="1" ht="15.75" customHeight="1"/>
    <row r="633" s="31" customFormat="1" ht="15.75" customHeight="1"/>
    <row r="634" s="31" customFormat="1" ht="15.75" customHeight="1"/>
    <row r="635" s="31" customFormat="1" ht="15.75" customHeight="1"/>
    <row r="636" s="31" customFormat="1" ht="15.75" customHeight="1"/>
    <row r="637" s="31" customFormat="1" ht="15.75" customHeight="1"/>
    <row r="638" s="31" customFormat="1" ht="15.75" customHeight="1"/>
    <row r="639" s="31" customFormat="1" ht="15.75" customHeight="1"/>
    <row r="640" s="31" customFormat="1" ht="15.75" customHeight="1"/>
    <row r="641" s="31" customFormat="1" ht="15.75" customHeight="1"/>
    <row r="642" s="31" customFormat="1" ht="15.75" customHeight="1"/>
    <row r="643" s="31" customFormat="1" ht="15.75" customHeight="1"/>
    <row r="644" s="31" customFormat="1" ht="15.75" customHeight="1"/>
    <row r="645" s="31" customFormat="1" ht="15.75" customHeight="1"/>
    <row r="646" s="31" customFormat="1" ht="15.75" customHeight="1"/>
    <row r="647" s="31" customFormat="1" ht="15.75" customHeight="1"/>
    <row r="648" s="31" customFormat="1" ht="15.75" customHeight="1"/>
    <row r="649" s="31" customFormat="1" ht="15.75" customHeight="1"/>
    <row r="650" s="31" customFormat="1" ht="15.75" customHeight="1"/>
    <row r="651" s="31" customFormat="1" ht="15.75" customHeight="1"/>
    <row r="652" s="31" customFormat="1" ht="15.75" customHeight="1"/>
    <row r="653" s="31" customFormat="1" ht="15.75" customHeight="1"/>
    <row r="654" s="31" customFormat="1" ht="15.75" customHeight="1"/>
    <row r="655" s="31" customFormat="1" ht="15.75" customHeight="1"/>
    <row r="656" s="31" customFormat="1" ht="15.75" customHeight="1"/>
    <row r="657" s="31" customFormat="1" ht="15.75" customHeight="1"/>
    <row r="658" s="31" customFormat="1" ht="15.75" customHeight="1"/>
    <row r="659" s="31" customFormat="1" ht="15.75" customHeight="1"/>
    <row r="660" s="31" customFormat="1" ht="15.75" customHeight="1"/>
    <row r="661" s="31" customFormat="1" ht="15.75" customHeight="1"/>
    <row r="662" s="31" customFormat="1" ht="15.75" customHeight="1"/>
    <row r="663" s="31" customFormat="1" ht="15.75" customHeight="1"/>
    <row r="664" s="31" customFormat="1" ht="15.75" customHeight="1"/>
    <row r="665" s="31" customFormat="1" ht="15.75" customHeight="1"/>
    <row r="666" s="31" customFormat="1" ht="15.75" customHeight="1"/>
    <row r="667" s="31" customFormat="1" ht="15.75" customHeight="1"/>
    <row r="668" s="31" customFormat="1" ht="15.75" customHeight="1"/>
    <row r="669" s="31" customFormat="1" ht="15.75" customHeight="1"/>
    <row r="670" s="31" customFormat="1" ht="15.75" customHeight="1"/>
    <row r="671" s="31" customFormat="1" ht="15.75" customHeight="1"/>
    <row r="672" s="31" customFormat="1" ht="15.75" customHeight="1"/>
    <row r="673" s="31" customFormat="1" ht="15.75" customHeight="1"/>
    <row r="674" s="31" customFormat="1" ht="15.75" customHeight="1"/>
    <row r="675" s="31" customFormat="1" ht="15.75" customHeight="1"/>
    <row r="676" s="31" customFormat="1" ht="15.75" customHeight="1"/>
    <row r="677" s="31" customFormat="1" ht="15.75" customHeight="1"/>
    <row r="678" s="31" customFormat="1" ht="15.75" customHeight="1"/>
    <row r="679" s="31" customFormat="1" ht="15.75" customHeight="1"/>
    <row r="680" s="31" customFormat="1" ht="15.75" customHeight="1"/>
    <row r="681" s="31" customFormat="1" ht="15.75" customHeight="1"/>
    <row r="682" s="31" customFormat="1" ht="15.75" customHeight="1"/>
    <row r="683" s="31" customFormat="1" ht="15.75" customHeight="1"/>
    <row r="684" s="31" customFormat="1" ht="15.75" customHeight="1"/>
    <row r="685" s="31" customFormat="1" ht="15.75" customHeight="1"/>
    <row r="686" s="31" customFormat="1" ht="15.75" customHeight="1"/>
    <row r="687" s="31" customFormat="1" ht="15.75" customHeight="1"/>
    <row r="688" s="31" customFormat="1" ht="15.75" customHeight="1"/>
    <row r="689" s="31" customFormat="1" ht="15.75" customHeight="1"/>
    <row r="690" s="31" customFormat="1" ht="15.75" customHeight="1"/>
    <row r="691" s="31" customFormat="1" ht="15.75" customHeight="1"/>
    <row r="692" s="31" customFormat="1" ht="15.75" customHeight="1"/>
    <row r="693" s="31" customFormat="1" ht="15.75" customHeight="1"/>
    <row r="694" s="31" customFormat="1" ht="15.75" customHeight="1"/>
    <row r="695" s="31" customFormat="1" ht="15.75" customHeight="1"/>
    <row r="696" s="31" customFormat="1" ht="15.75" customHeight="1"/>
    <row r="697" s="31" customFormat="1" ht="15.75" customHeight="1"/>
    <row r="698" s="31" customFormat="1" ht="15.75" customHeight="1"/>
    <row r="699" s="31" customFormat="1" ht="15.75" customHeight="1"/>
    <row r="700" s="31" customFormat="1" ht="15.75" customHeight="1"/>
    <row r="701" s="31" customFormat="1" ht="15.75" customHeight="1"/>
    <row r="702" s="31" customFormat="1" ht="15.75" customHeight="1"/>
    <row r="703" s="31" customFormat="1" ht="15.75" customHeight="1"/>
    <row r="704" s="31" customFormat="1" ht="15.75" customHeight="1"/>
    <row r="705" s="31" customFormat="1" ht="15.75" customHeight="1"/>
    <row r="706" s="31" customFormat="1" ht="15.75" customHeight="1"/>
    <row r="707" s="31" customFormat="1" ht="15.75" customHeight="1"/>
    <row r="708" s="31" customFormat="1" ht="15.75" customHeight="1"/>
    <row r="709" s="31" customFormat="1" ht="15.75" customHeight="1"/>
    <row r="710" s="31" customFormat="1" ht="15.75" customHeight="1"/>
    <row r="711" s="31" customFormat="1" ht="15.75" customHeight="1"/>
    <row r="712" s="31" customFormat="1" ht="15.75" customHeight="1"/>
    <row r="713" s="31" customFormat="1" ht="15.75" customHeight="1"/>
    <row r="714" s="31" customFormat="1" ht="15.75" customHeight="1"/>
    <row r="715" s="31" customFormat="1" ht="15.75" customHeight="1"/>
    <row r="716" s="31" customFormat="1" ht="15.75" customHeight="1"/>
    <row r="717" s="31" customFormat="1" ht="15.75" customHeight="1"/>
    <row r="718" s="31" customFormat="1" ht="15.75" customHeight="1"/>
    <row r="719" s="31" customFormat="1" ht="15.75" customHeight="1"/>
    <row r="720" s="31" customFormat="1" ht="15.75" customHeight="1"/>
    <row r="721" s="31" customFormat="1" ht="15.75" customHeight="1"/>
    <row r="722" s="31" customFormat="1" ht="15.75" customHeight="1"/>
    <row r="723" s="31" customFormat="1" ht="15.75" customHeight="1"/>
    <row r="724" s="31" customFormat="1" ht="15.75" customHeight="1"/>
    <row r="725" s="31" customFormat="1" ht="15.75" customHeight="1"/>
    <row r="726" s="31" customFormat="1" ht="15.75" customHeight="1"/>
    <row r="727" s="31" customFormat="1" ht="15.75" customHeight="1"/>
    <row r="728" s="31" customFormat="1" ht="15.75" customHeight="1"/>
    <row r="729" s="31" customFormat="1" ht="15.75" customHeight="1"/>
    <row r="730" s="31" customFormat="1" ht="15.75" customHeight="1"/>
    <row r="731" s="31" customFormat="1" ht="15.75" customHeight="1"/>
    <row r="732" s="31" customFormat="1" ht="15.75" customHeight="1"/>
    <row r="733" s="31" customFormat="1" ht="15.75" customHeight="1"/>
    <row r="734" s="31" customFormat="1" ht="15.75" customHeight="1"/>
    <row r="735" s="31" customFormat="1" ht="15.75" customHeight="1"/>
    <row r="736" s="31" customFormat="1" ht="15.75" customHeight="1"/>
    <row r="737" s="31" customFormat="1" ht="15.75" customHeight="1"/>
    <row r="738" s="31" customFormat="1" ht="15.75" customHeight="1"/>
    <row r="739" s="31" customFormat="1" ht="15.75" customHeight="1"/>
    <row r="740" s="31" customFormat="1" ht="15.75" customHeight="1"/>
    <row r="741" s="31" customFormat="1" ht="15.75" customHeight="1"/>
    <row r="742" s="31" customFormat="1" ht="15.75" customHeight="1"/>
    <row r="743" s="31" customFormat="1" ht="15.75" customHeight="1"/>
    <row r="744" s="31" customFormat="1" ht="15.75" customHeight="1"/>
    <row r="745" s="31" customFormat="1" ht="15.75" customHeight="1"/>
    <row r="746" s="31" customFormat="1" ht="15.75" customHeight="1"/>
    <row r="747" s="31" customFormat="1" ht="15.75" customHeight="1"/>
    <row r="748" s="31" customFormat="1" ht="15.75" customHeight="1"/>
    <row r="749" s="31" customFormat="1" ht="15.75" customHeight="1"/>
    <row r="750" s="31" customFormat="1" ht="15.75" customHeight="1"/>
    <row r="751" s="31" customFormat="1" ht="15.75" customHeight="1"/>
    <row r="752" s="31" customFormat="1" ht="15.75" customHeight="1"/>
    <row r="753" s="31" customFormat="1" ht="15.75" customHeight="1"/>
    <row r="754" s="31" customFormat="1" ht="15.75" customHeight="1"/>
    <row r="755" s="31" customFormat="1" ht="15.75" customHeight="1"/>
    <row r="756" s="31" customFormat="1" ht="15.75" customHeight="1"/>
    <row r="757" s="31" customFormat="1" ht="15.75" customHeight="1"/>
    <row r="758" s="31" customFormat="1" ht="15.75" customHeight="1"/>
    <row r="759" s="31" customFormat="1" ht="15.75" customHeight="1"/>
    <row r="760" s="31" customFormat="1" ht="15.75" customHeight="1"/>
    <row r="761" s="31" customFormat="1" ht="15.75" customHeight="1"/>
    <row r="762" s="31" customFormat="1" ht="15.75" customHeight="1"/>
    <row r="763" s="31" customFormat="1" ht="15.75" customHeight="1"/>
    <row r="764" s="31" customFormat="1" ht="15.75" customHeight="1"/>
    <row r="765" s="31" customFormat="1" ht="15.75" customHeight="1"/>
    <row r="766" s="31" customFormat="1" ht="15.75" customHeight="1"/>
    <row r="767" s="31" customFormat="1" ht="15.75" customHeight="1"/>
    <row r="768" s="31" customFormat="1" ht="15.75" customHeight="1"/>
    <row r="769" s="31" customFormat="1" ht="15.75" customHeight="1"/>
    <row r="770" s="31" customFormat="1" ht="15.75" customHeight="1"/>
    <row r="771" s="31" customFormat="1" ht="15.75" customHeight="1"/>
    <row r="772" s="31" customFormat="1" ht="15.75" customHeight="1"/>
    <row r="773" s="31" customFormat="1" ht="15.75" customHeight="1"/>
    <row r="774" s="31" customFormat="1" ht="15.75" customHeight="1"/>
    <row r="775" s="31" customFormat="1" ht="15.75" customHeight="1"/>
    <row r="776" s="31" customFormat="1" ht="15.75" customHeight="1"/>
    <row r="777" s="31" customFormat="1" ht="15.75" customHeight="1"/>
    <row r="778" s="31" customFormat="1" ht="15.75" customHeight="1"/>
    <row r="779" s="31" customFormat="1" ht="15.75" customHeight="1"/>
    <row r="780" s="31" customFormat="1" ht="15.75" customHeight="1"/>
    <row r="781" s="31" customFormat="1" ht="15.75" customHeight="1"/>
    <row r="782" s="31" customFormat="1" ht="15.75" customHeight="1"/>
    <row r="783" s="31" customFormat="1" ht="15.75" customHeight="1"/>
    <row r="784" s="31" customFormat="1" ht="15.75" customHeight="1"/>
    <row r="785" s="31" customFormat="1" ht="15.75" customHeight="1"/>
    <row r="786" s="31" customFormat="1" ht="15.75" customHeight="1"/>
    <row r="787" s="31" customFormat="1" ht="15.75" customHeight="1"/>
    <row r="788" s="31" customFormat="1" ht="15.75" customHeight="1"/>
    <row r="789" s="31" customFormat="1" ht="15.75" customHeight="1"/>
    <row r="790" s="31" customFormat="1" ht="15.75" customHeight="1"/>
    <row r="791" s="31" customFormat="1" ht="15.75" customHeight="1"/>
    <row r="792" s="31" customFormat="1" ht="15.75" customHeight="1"/>
    <row r="793" s="31" customFormat="1" ht="15.75" customHeight="1"/>
    <row r="794" s="31" customFormat="1" ht="15.75" customHeight="1"/>
    <row r="795" s="31" customFormat="1" ht="15.75" customHeight="1"/>
    <row r="796" s="31" customFormat="1" ht="15.75" customHeight="1"/>
    <row r="797" s="31" customFormat="1" ht="15.75" customHeight="1"/>
    <row r="798" s="31" customFormat="1" ht="15.75" customHeight="1"/>
    <row r="799" s="31" customFormat="1" ht="15.75" customHeight="1"/>
    <row r="800" s="31" customFormat="1" ht="15.75" customHeight="1"/>
    <row r="801" s="31" customFormat="1" ht="15.75" customHeight="1"/>
    <row r="802" s="31" customFormat="1" ht="15.75" customHeight="1"/>
    <row r="803" s="31" customFormat="1" ht="15.75" customHeight="1"/>
    <row r="804" s="31" customFormat="1" ht="15.75" customHeight="1"/>
    <row r="805" s="31" customFormat="1" ht="15.75" customHeight="1"/>
    <row r="806" s="31" customFormat="1" ht="15.75" customHeight="1"/>
    <row r="807" s="31" customFormat="1" ht="15.75" customHeight="1"/>
    <row r="808" s="31" customFormat="1" ht="15.75" customHeight="1"/>
    <row r="809" s="31" customFormat="1" ht="15.75" customHeight="1"/>
    <row r="810" s="31" customFormat="1" ht="15.75" customHeight="1"/>
    <row r="811" s="31" customFormat="1" ht="15.75" customHeight="1"/>
    <row r="812" s="31" customFormat="1" ht="15.75" customHeight="1"/>
    <row r="813" s="31" customFormat="1" ht="15.75" customHeight="1"/>
    <row r="814" s="31" customFormat="1" ht="15.75" customHeight="1"/>
    <row r="815" s="31" customFormat="1" ht="15.75" customHeight="1"/>
    <row r="816" s="31" customFormat="1" ht="15.75" customHeight="1"/>
    <row r="817" s="31" customFormat="1" ht="15.75" customHeight="1"/>
    <row r="818" s="31" customFormat="1" ht="15.75" customHeight="1"/>
    <row r="819" s="31" customFormat="1" ht="15.75" customHeight="1"/>
    <row r="820" s="31" customFormat="1" ht="15.75" customHeight="1"/>
    <row r="821" s="31" customFormat="1" ht="15.75" customHeight="1"/>
    <row r="822" s="31" customFormat="1" ht="15.75" customHeight="1"/>
    <row r="823" s="31" customFormat="1" ht="15.75" customHeight="1"/>
    <row r="824" s="31" customFormat="1" ht="15.75" customHeight="1"/>
    <row r="825" s="31" customFormat="1" ht="15.75" customHeight="1"/>
    <row r="826" s="31" customFormat="1" ht="15.75" customHeight="1"/>
    <row r="827" s="31" customFormat="1" ht="15.75" customHeight="1"/>
    <row r="828" s="31" customFormat="1" ht="15.75" customHeight="1"/>
    <row r="829" s="31" customFormat="1" ht="15.75" customHeight="1"/>
    <row r="830" s="31" customFormat="1" ht="15.75" customHeight="1"/>
    <row r="831" s="31" customFormat="1" ht="15.75" customHeight="1"/>
    <row r="832" s="31" customFormat="1" ht="15.75" customHeight="1"/>
    <row r="833" s="31" customFormat="1" ht="15.75" customHeight="1"/>
    <row r="834" s="31" customFormat="1" ht="15.75" customHeight="1"/>
    <row r="835" s="31" customFormat="1" ht="15.75" customHeight="1"/>
    <row r="836" s="31" customFormat="1" ht="15.75" customHeight="1"/>
    <row r="837" s="31" customFormat="1" ht="15.75" customHeight="1"/>
    <row r="838" s="31" customFormat="1" ht="15.75" customHeight="1"/>
    <row r="839" s="31" customFormat="1" ht="15.75" customHeight="1"/>
    <row r="840" s="31" customFormat="1" ht="15.75" customHeight="1"/>
    <row r="841" s="31" customFormat="1" ht="15.75" customHeight="1"/>
    <row r="842" s="31" customFormat="1" ht="15.75" customHeight="1"/>
    <row r="843" s="31" customFormat="1" ht="15.75" customHeight="1"/>
    <row r="844" s="31" customFormat="1" ht="15.75" customHeight="1"/>
    <row r="845" s="31" customFormat="1" ht="15.75" customHeight="1"/>
    <row r="846" s="31" customFormat="1" ht="15.75" customHeight="1"/>
    <row r="847" s="31" customFormat="1" ht="15.75" customHeight="1"/>
    <row r="848" s="31" customFormat="1" ht="15.75" customHeight="1"/>
    <row r="849" s="31" customFormat="1" ht="15.75" customHeight="1"/>
    <row r="850" s="31" customFormat="1" ht="15.75" customHeight="1"/>
    <row r="851" s="31" customFormat="1" ht="15.75" customHeight="1"/>
    <row r="852" s="31" customFormat="1" ht="15.75" customHeight="1"/>
    <row r="853" s="31" customFormat="1" ht="15.75" customHeight="1"/>
    <row r="854" s="31" customFormat="1" ht="15.75" customHeight="1"/>
    <row r="855" s="31" customFormat="1" ht="15.75" customHeight="1"/>
    <row r="856" s="31" customFormat="1" ht="15.75" customHeight="1"/>
    <row r="857" s="31" customFormat="1" ht="15.75" customHeight="1"/>
    <row r="858" s="31" customFormat="1" ht="15.75" customHeight="1"/>
    <row r="859" s="31" customFormat="1" ht="15.75" customHeight="1"/>
    <row r="860" s="31" customFormat="1" ht="15.75" customHeight="1"/>
    <row r="861" s="31" customFormat="1" ht="15.75" customHeight="1"/>
    <row r="862" s="31" customFormat="1" ht="15.75" customHeight="1"/>
    <row r="863" s="31" customFormat="1" ht="15.75" customHeight="1"/>
    <row r="864" s="31" customFormat="1" ht="15.75" customHeight="1"/>
    <row r="865" s="31" customFormat="1" ht="15.75" customHeight="1"/>
    <row r="866" s="31" customFormat="1" ht="15.75" customHeight="1"/>
    <row r="867" s="31" customFormat="1" ht="15.75" customHeight="1"/>
    <row r="868" s="31" customFormat="1" ht="15.75" customHeight="1"/>
    <row r="869" s="31" customFormat="1" ht="15.75" customHeight="1"/>
    <row r="870" s="31" customFormat="1" ht="15.75" customHeight="1"/>
    <row r="871" s="31" customFormat="1" ht="15.75" customHeight="1"/>
    <row r="872" s="31" customFormat="1" ht="15.75" customHeight="1"/>
    <row r="873" s="31" customFormat="1" ht="15.75" customHeight="1"/>
    <row r="874" s="31" customFormat="1" ht="15.75" customHeight="1"/>
    <row r="875" s="31" customFormat="1" ht="15.75" customHeight="1"/>
    <row r="876" s="31" customFormat="1" ht="15.75" customHeight="1"/>
    <row r="877" s="31" customFormat="1" ht="15.75" customHeight="1"/>
    <row r="878" s="31" customFormat="1" ht="15.75" customHeight="1"/>
    <row r="879" s="31" customFormat="1" ht="15.75" customHeight="1"/>
    <row r="880" s="31" customFormat="1" ht="15.75" customHeight="1"/>
    <row r="881" s="31" customFormat="1" ht="15.75" customHeight="1"/>
    <row r="882" s="31" customFormat="1" ht="15.75" customHeight="1"/>
    <row r="883" s="31" customFormat="1" ht="15.75" customHeight="1"/>
    <row r="884" s="31" customFormat="1" ht="15.75" customHeight="1"/>
    <row r="885" s="31" customFormat="1" ht="15.75" customHeight="1"/>
    <row r="886" s="31" customFormat="1" ht="15.75" customHeight="1"/>
    <row r="887" s="31" customFormat="1" ht="15.75" customHeight="1"/>
    <row r="888" s="31" customFormat="1" ht="15.75" customHeight="1"/>
    <row r="889" s="31" customFormat="1" ht="15.75" customHeight="1"/>
    <row r="890" s="31" customFormat="1" ht="15.75" customHeight="1"/>
    <row r="891" s="31" customFormat="1" ht="15.75" customHeight="1"/>
    <row r="892" s="31" customFormat="1" ht="15.75" customHeight="1"/>
    <row r="893" s="31" customFormat="1" ht="15.75" customHeight="1"/>
    <row r="894" s="31" customFormat="1" ht="15.75" customHeight="1"/>
    <row r="895" s="31" customFormat="1" ht="15.75" customHeight="1"/>
    <row r="896" s="31" customFormat="1" ht="15.75" customHeight="1"/>
    <row r="897" s="31" customFormat="1" ht="15.75" customHeight="1"/>
    <row r="898" s="31" customFormat="1" ht="15.75" customHeight="1"/>
    <row r="899" s="31" customFormat="1" ht="15.75" customHeight="1"/>
    <row r="900" s="31" customFormat="1" ht="15.75" customHeight="1"/>
    <row r="901" s="31" customFormat="1" ht="15.75" customHeight="1"/>
    <row r="902" s="31" customFormat="1" ht="15.75" customHeight="1"/>
    <row r="903" s="31" customFormat="1" ht="15.75" customHeight="1"/>
    <row r="904" s="31" customFormat="1" ht="15.75" customHeight="1"/>
    <row r="905" s="31" customFormat="1" ht="15.75" customHeight="1"/>
    <row r="906" s="31" customFormat="1" ht="15.75" customHeight="1"/>
    <row r="907" s="31" customFormat="1" ht="15.75" customHeight="1"/>
    <row r="908" s="31" customFormat="1" ht="15.75" customHeight="1"/>
    <row r="909" s="31" customFormat="1" ht="15.75" customHeight="1"/>
    <row r="910" s="31" customFormat="1" ht="15.75" customHeight="1"/>
    <row r="911" s="31" customFormat="1" ht="15.75" customHeight="1"/>
    <row r="912" s="31" customFormat="1" ht="15.75" customHeight="1"/>
    <row r="913" s="31" customFormat="1" ht="15.75" customHeight="1"/>
    <row r="914" s="31" customFormat="1" ht="15.75" customHeight="1"/>
    <row r="915" s="31" customFormat="1" ht="15.75" customHeight="1"/>
    <row r="916" s="31" customFormat="1" ht="15.75" customHeight="1"/>
    <row r="917" s="31" customFormat="1" ht="15.75" customHeight="1"/>
    <row r="918" s="31" customFormat="1" ht="15.75" customHeight="1"/>
    <row r="919" s="31" customFormat="1" ht="15.75" customHeight="1"/>
    <row r="920" s="31" customFormat="1" ht="15.75" customHeight="1"/>
    <row r="921" s="31" customFormat="1" ht="15.75" customHeight="1"/>
    <row r="922" s="31" customFormat="1" ht="15.75" customHeight="1"/>
    <row r="923" s="31" customFormat="1" ht="15.75" customHeight="1"/>
    <row r="924" s="31" customFormat="1" ht="15.75" customHeight="1"/>
    <row r="925" s="31" customFormat="1" ht="15.75" customHeight="1"/>
    <row r="926" s="31" customFormat="1" ht="15.75" customHeight="1"/>
    <row r="927" s="31" customFormat="1" ht="15.75" customHeight="1"/>
    <row r="928" s="31" customFormat="1" ht="15.75" customHeight="1"/>
    <row r="929" s="31" customFormat="1" ht="15.75" customHeight="1"/>
    <row r="930" s="31" customFormat="1" ht="15.75" customHeight="1"/>
    <row r="931" s="31" customFormat="1" ht="15.75" customHeight="1"/>
    <row r="932" s="31" customFormat="1" ht="15.75" customHeight="1"/>
    <row r="933" s="31" customFormat="1" ht="15.75" customHeight="1"/>
    <row r="934" s="31" customFormat="1" ht="15.75" customHeight="1"/>
    <row r="935" s="31" customFormat="1" ht="15.75" customHeight="1"/>
    <row r="936" s="31" customFormat="1" ht="15.75" customHeight="1"/>
    <row r="937" s="31" customFormat="1" ht="15.75" customHeight="1"/>
    <row r="938" s="31" customFormat="1" ht="15.75" customHeight="1"/>
    <row r="939" s="31" customFormat="1" ht="15.75" customHeight="1"/>
    <row r="940" s="31" customFormat="1" ht="15.75" customHeight="1"/>
    <row r="941" s="31" customFormat="1" ht="15.75" customHeight="1"/>
    <row r="942" s="31" customFormat="1" ht="15.75" customHeight="1"/>
    <row r="943" s="31" customFormat="1" ht="15.75" customHeight="1"/>
    <row r="944" s="31" customFormat="1" ht="15.75" customHeight="1"/>
    <row r="945" s="31" customFormat="1" ht="15.75" customHeight="1"/>
    <row r="946" s="31" customFormat="1" ht="15.75" customHeight="1"/>
    <row r="947" s="31" customFormat="1" ht="15.75" customHeight="1"/>
    <row r="948" s="31" customFormat="1" ht="15.75" customHeight="1"/>
    <row r="949" s="31" customFormat="1" ht="15.75" customHeight="1"/>
    <row r="950" s="31" customFormat="1" ht="15.75" customHeight="1"/>
    <row r="951" s="31" customFormat="1" ht="15.75" customHeight="1"/>
    <row r="952" s="31" customFormat="1" ht="15.75" customHeight="1"/>
    <row r="953" s="31" customFormat="1" ht="15.75" customHeight="1"/>
    <row r="954" s="31" customFormat="1" ht="15.75" customHeight="1"/>
    <row r="955" s="31" customFormat="1" ht="15.75" customHeight="1"/>
    <row r="956" s="31" customFormat="1" ht="15.75" customHeight="1"/>
    <row r="957" s="31" customFormat="1" ht="15.75" customHeight="1"/>
    <row r="958" s="31" customFormat="1" ht="15.75" customHeight="1"/>
    <row r="959" s="31" customFormat="1" ht="15.75" customHeight="1"/>
    <row r="960" s="31" customFormat="1" ht="15.75" customHeight="1"/>
    <row r="961" s="31" customFormat="1" ht="15.75" customHeight="1"/>
    <row r="962" s="31" customFormat="1" ht="15.75" customHeight="1"/>
    <row r="963" s="31" customFormat="1" ht="15.75" customHeight="1"/>
    <row r="964" s="31" customFormat="1" ht="15.75" customHeight="1"/>
    <row r="965" s="31" customFormat="1" ht="15.75" customHeight="1"/>
    <row r="966" s="31" customFormat="1" ht="15.75" customHeight="1"/>
    <row r="967" s="31" customFormat="1" ht="15.75" customHeight="1"/>
    <row r="968" s="31" customFormat="1" ht="15.75" customHeight="1"/>
    <row r="969" s="31" customFormat="1" ht="15.75" customHeight="1"/>
    <row r="970" s="31" customFormat="1" ht="15.75" customHeight="1"/>
    <row r="971" s="31" customFormat="1" ht="15.75" customHeight="1"/>
    <row r="972" s="31" customFormat="1" ht="15.75" customHeight="1"/>
    <row r="973" s="31" customFormat="1" ht="15.75" customHeight="1"/>
    <row r="974" s="31" customFormat="1" ht="15.75" customHeight="1"/>
    <row r="975" s="31" customFormat="1" ht="15.75" customHeight="1"/>
    <row r="976" s="31" customFormat="1" ht="15.75" customHeight="1"/>
    <row r="977" s="31" customFormat="1" ht="15.75" customHeight="1"/>
    <row r="978" s="31" customFormat="1" ht="15.75" customHeight="1"/>
    <row r="979" s="31" customFormat="1" ht="15.75" customHeight="1"/>
    <row r="980" s="31" customFormat="1" ht="15.75" customHeight="1"/>
    <row r="981" s="31" customFormat="1" ht="15.75" customHeight="1"/>
    <row r="982" s="31" customFormat="1" ht="15.75" customHeight="1"/>
    <row r="983" s="31" customFormat="1" ht="15.75" customHeight="1"/>
    <row r="984" s="31" customFormat="1" ht="15.75" customHeight="1"/>
    <row r="985" s="31" customFormat="1" ht="15.75" customHeight="1"/>
    <row r="986" s="31" customFormat="1" ht="15.75" customHeight="1"/>
    <row r="987" s="31" customFormat="1" ht="15.75" customHeight="1"/>
    <row r="988" s="31" customFormat="1" ht="15.75" customHeight="1"/>
    <row r="989" s="31" customFormat="1" ht="15.75" customHeight="1"/>
    <row r="990" s="31" customFormat="1" ht="15.75" customHeight="1"/>
    <row r="991" s="31" customFormat="1" ht="15.75" customHeight="1"/>
    <row r="992" s="31" customFormat="1" ht="15.75" customHeight="1"/>
    <row r="993" s="31" customFormat="1" ht="15.75" customHeight="1"/>
    <row r="994" s="31" customFormat="1" ht="15.75" customHeight="1"/>
    <row r="995" s="31" customFormat="1" ht="15.75" customHeight="1"/>
    <row r="996" s="31" customFormat="1" ht="15.75" customHeight="1"/>
    <row r="997" s="31" customFormat="1" ht="15.75" customHeight="1"/>
    <row r="998" s="31" customFormat="1" ht="15.75" customHeight="1"/>
    <row r="999" s="31" customFormat="1" ht="15.75" customHeight="1"/>
    <row r="1000" s="31" customFormat="1" ht="15.75" customHeight="1"/>
  </sheetData>
  <sheetProtection algorithmName="SHA-512" hashValue="zGSvbDQLfeT/77jeGnnnlIFzIbom6lUGjfALIN4k+vDc/O+650MPVzwx/ucU/sxPDc0SeXCbw3vcFeal2f2a3g==" saltValue="J4PD0ztEysm/joz3utDRiQ==" spinCount="100000" sheet="1" objects="1" scenarios="1" insertColumns="0" deleteColumns="0" selectLockedCells="1"/>
  <mergeCells count="39">
    <mergeCell ref="B41:F41"/>
    <mergeCell ref="H41:L41"/>
    <mergeCell ref="N41:R41"/>
    <mergeCell ref="T41:X41"/>
    <mergeCell ref="B12:F13"/>
    <mergeCell ref="B25:F25"/>
    <mergeCell ref="H25:L25"/>
    <mergeCell ref="N25:R25"/>
    <mergeCell ref="B26:F27"/>
    <mergeCell ref="H26:L27"/>
    <mergeCell ref="N26:R27"/>
    <mergeCell ref="B11:F11"/>
    <mergeCell ref="H11:L11"/>
    <mergeCell ref="H12:L13"/>
    <mergeCell ref="T25:X25"/>
    <mergeCell ref="T26:X27"/>
    <mergeCell ref="AD1:AF2"/>
    <mergeCell ref="C5:F5"/>
    <mergeCell ref="G5:H5"/>
    <mergeCell ref="I5:L5"/>
    <mergeCell ref="B6:F7"/>
    <mergeCell ref="H6:L7"/>
    <mergeCell ref="C1:F2"/>
    <mergeCell ref="I1:L2"/>
    <mergeCell ref="O1:R2"/>
    <mergeCell ref="U1:X2"/>
    <mergeCell ref="Z1:AB2"/>
    <mergeCell ref="Z6:AB7"/>
    <mergeCell ref="AD6:AF7"/>
    <mergeCell ref="T11:X11"/>
    <mergeCell ref="T12:X13"/>
    <mergeCell ref="Z5:AB5"/>
    <mergeCell ref="AD5:AF5"/>
    <mergeCell ref="M5:N5"/>
    <mergeCell ref="O5:R5"/>
    <mergeCell ref="N6:R7"/>
    <mergeCell ref="S5:T5"/>
    <mergeCell ref="U5:X5"/>
    <mergeCell ref="T6:X7"/>
  </mergeCells>
  <pageMargins left="0.511811024" right="0.511811024" top="0.78740157499999996" bottom="0.78740157499999996" header="0" footer="0"/>
  <pageSetup orientation="landscape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AJ1000"/>
  <sheetViews>
    <sheetView showGridLines="0" workbookViewId="0">
      <selection activeCell="D16" sqref="D16"/>
    </sheetView>
  </sheetViews>
  <sheetFormatPr defaultColWidth="14.42578125" defaultRowHeight="15" customHeight="1"/>
  <cols>
    <col min="1" max="1" width="2.7109375" style="31" customWidth="1"/>
    <col min="2" max="2" width="34.28515625" style="31" customWidth="1"/>
    <col min="3" max="3" width="21.85546875" style="31" customWidth="1"/>
    <col min="4" max="4" width="23.85546875" style="31" customWidth="1"/>
    <col min="5" max="5" width="22.140625" style="31" customWidth="1"/>
    <col min="6" max="6" width="19.140625" style="31" customWidth="1"/>
    <col min="7" max="7" width="2.7109375" style="31" customWidth="1"/>
    <col min="8" max="8" width="19" style="31" customWidth="1"/>
    <col min="9" max="9" width="17.28515625" style="31" customWidth="1"/>
    <col min="10" max="10" width="23.85546875" style="31" customWidth="1"/>
    <col min="11" max="11" width="22.140625" style="31" customWidth="1"/>
    <col min="12" max="12" width="19.140625" style="31" customWidth="1"/>
    <col min="13" max="13" width="2.7109375" style="31" customWidth="1"/>
    <col min="14" max="14" width="18" style="31" customWidth="1"/>
    <col min="15" max="15" width="21.85546875" style="31" customWidth="1"/>
    <col min="16" max="16" width="23.85546875" style="31" customWidth="1"/>
    <col min="17" max="17" width="22.140625" style="31" customWidth="1"/>
    <col min="18" max="18" width="19.140625" style="31" customWidth="1"/>
    <col min="19" max="19" width="2.7109375" style="31" customWidth="1"/>
    <col min="20" max="20" width="18" style="31" customWidth="1"/>
    <col min="21" max="21" width="17.28515625" style="31" customWidth="1"/>
    <col min="22" max="22" width="23.85546875" style="31" customWidth="1"/>
    <col min="23" max="23" width="22.140625" style="31" customWidth="1"/>
    <col min="24" max="24" width="19.140625" style="31" customWidth="1"/>
    <col min="25" max="25" width="2.7109375" style="31" customWidth="1"/>
    <col min="26" max="26" width="18" style="31" customWidth="1"/>
    <col min="27" max="27" width="21.85546875" style="31" customWidth="1"/>
    <col min="28" max="28" width="23.85546875" style="31" customWidth="1"/>
    <col min="29" max="29" width="22.140625" style="31" customWidth="1"/>
    <col min="30" max="30" width="19.140625" style="31" customWidth="1"/>
    <col min="31" max="31" width="2.7109375" style="31" customWidth="1"/>
    <col min="32" max="32" width="18" style="31" customWidth="1"/>
    <col min="33" max="33" width="17.28515625" style="31" customWidth="1"/>
    <col min="34" max="34" width="23.85546875" style="31" customWidth="1"/>
    <col min="35" max="35" width="22.140625" style="31" customWidth="1"/>
    <col min="36" max="36" width="19.140625" style="31" customWidth="1"/>
    <col min="37" max="16384" width="14.42578125" style="31"/>
  </cols>
  <sheetData>
    <row r="1" spans="2:36" ht="15" customHeight="1">
      <c r="B1" s="75" t="s">
        <v>36</v>
      </c>
      <c r="C1" s="38"/>
      <c r="D1" s="38"/>
      <c r="E1" s="38"/>
      <c r="F1" s="39"/>
      <c r="G1" s="76"/>
      <c r="H1" s="75" t="s">
        <v>37</v>
      </c>
      <c r="I1" s="38"/>
      <c r="J1" s="38"/>
      <c r="K1" s="38"/>
      <c r="L1" s="39"/>
      <c r="M1" s="76"/>
      <c r="N1" s="75" t="s">
        <v>38</v>
      </c>
      <c r="O1" s="38"/>
      <c r="P1" s="38"/>
      <c r="Q1" s="38"/>
      <c r="R1" s="39"/>
      <c r="T1" s="75" t="s">
        <v>39</v>
      </c>
      <c r="U1" s="38"/>
      <c r="V1" s="38"/>
      <c r="W1" s="38"/>
      <c r="X1" s="39"/>
      <c r="Z1" s="75" t="s">
        <v>40</v>
      </c>
      <c r="AA1" s="38"/>
      <c r="AB1" s="38"/>
      <c r="AC1" s="38"/>
      <c r="AD1" s="39"/>
      <c r="AF1" s="75" t="s">
        <v>41</v>
      </c>
      <c r="AG1" s="38"/>
      <c r="AH1" s="38"/>
      <c r="AI1" s="38"/>
      <c r="AJ1" s="39"/>
    </row>
    <row r="2" spans="2:36" ht="15" customHeight="1">
      <c r="B2" s="47"/>
      <c r="C2" s="48"/>
      <c r="D2" s="48"/>
      <c r="E2" s="48"/>
      <c r="F2" s="49"/>
      <c r="G2" s="76"/>
      <c r="H2" s="47"/>
      <c r="I2" s="48"/>
      <c r="J2" s="48"/>
      <c r="K2" s="48"/>
      <c r="L2" s="49"/>
      <c r="M2" s="76"/>
      <c r="N2" s="47"/>
      <c r="O2" s="48"/>
      <c r="P2" s="48"/>
      <c r="Q2" s="48"/>
      <c r="R2" s="49"/>
      <c r="T2" s="47"/>
      <c r="U2" s="48"/>
      <c r="V2" s="48"/>
      <c r="W2" s="48"/>
      <c r="X2" s="49"/>
      <c r="Z2" s="47"/>
      <c r="AA2" s="48"/>
      <c r="AB2" s="48"/>
      <c r="AC2" s="48"/>
      <c r="AD2" s="49"/>
      <c r="AF2" s="47"/>
      <c r="AG2" s="48"/>
      <c r="AH2" s="48"/>
      <c r="AI2" s="48"/>
      <c r="AJ2" s="49"/>
    </row>
    <row r="3" spans="2:36">
      <c r="B3" s="77" t="s">
        <v>42</v>
      </c>
      <c r="C3" s="77" t="s">
        <v>43</v>
      </c>
      <c r="D3" s="77" t="s">
        <v>44</v>
      </c>
      <c r="E3" s="77" t="s">
        <v>45</v>
      </c>
      <c r="F3" s="77" t="s">
        <v>46</v>
      </c>
      <c r="H3" s="77" t="s">
        <v>42</v>
      </c>
      <c r="I3" s="77" t="s">
        <v>47</v>
      </c>
      <c r="J3" s="77" t="s">
        <v>44</v>
      </c>
      <c r="K3" s="77" t="s">
        <v>45</v>
      </c>
      <c r="L3" s="77" t="s">
        <v>46</v>
      </c>
      <c r="N3" s="77" t="s">
        <v>42</v>
      </c>
      <c r="O3" s="77" t="s">
        <v>43</v>
      </c>
      <c r="P3" s="77" t="s">
        <v>44</v>
      </c>
      <c r="Q3" s="77" t="s">
        <v>45</v>
      </c>
      <c r="R3" s="77" t="s">
        <v>46</v>
      </c>
      <c r="T3" s="77" t="s">
        <v>42</v>
      </c>
      <c r="U3" s="77" t="s">
        <v>47</v>
      </c>
      <c r="V3" s="77" t="s">
        <v>44</v>
      </c>
      <c r="W3" s="77" t="s">
        <v>45</v>
      </c>
      <c r="X3" s="77" t="s">
        <v>46</v>
      </c>
      <c r="Z3" s="77" t="s">
        <v>42</v>
      </c>
      <c r="AA3" s="77" t="s">
        <v>43</v>
      </c>
      <c r="AB3" s="77" t="s">
        <v>44</v>
      </c>
      <c r="AC3" s="77" t="s">
        <v>45</v>
      </c>
      <c r="AD3" s="77" t="s">
        <v>46</v>
      </c>
      <c r="AF3" s="77" t="s">
        <v>42</v>
      </c>
      <c r="AG3" s="77" t="s">
        <v>48</v>
      </c>
      <c r="AH3" s="77" t="s">
        <v>44</v>
      </c>
      <c r="AI3" s="77" t="s">
        <v>45</v>
      </c>
      <c r="AJ3" s="77" t="s">
        <v>46</v>
      </c>
    </row>
    <row r="4" spans="2:36">
      <c r="B4" s="78" t="s">
        <v>49</v>
      </c>
      <c r="C4" s="77">
        <v>5</v>
      </c>
      <c r="D4" s="79">
        <v>616.1</v>
      </c>
      <c r="E4" s="79">
        <v>754.5</v>
      </c>
      <c r="F4" s="79">
        <v>138.4</v>
      </c>
      <c r="H4" s="78" t="s">
        <v>50</v>
      </c>
      <c r="I4" s="77">
        <v>6</v>
      </c>
      <c r="J4" s="80">
        <v>830</v>
      </c>
      <c r="K4" s="80">
        <v>947.49</v>
      </c>
      <c r="L4" s="80">
        <v>117.49000000000001</v>
      </c>
      <c r="N4" s="78" t="s">
        <v>51</v>
      </c>
      <c r="O4" s="77">
        <v>9</v>
      </c>
      <c r="P4" s="80">
        <v>1464.5</v>
      </c>
      <c r="Q4" s="80">
        <v>1618.7000000000003</v>
      </c>
      <c r="R4" s="80">
        <v>154.19999999999996</v>
      </c>
      <c r="T4" s="78" t="s">
        <v>52</v>
      </c>
      <c r="U4" s="77">
        <v>16</v>
      </c>
      <c r="V4" s="80">
        <v>99</v>
      </c>
      <c r="W4" s="80">
        <v>275</v>
      </c>
      <c r="X4" s="80">
        <v>176</v>
      </c>
      <c r="Z4" s="78" t="s">
        <v>53</v>
      </c>
      <c r="AA4" s="77">
        <v>23</v>
      </c>
      <c r="AB4" s="77">
        <v>499.79000000000013</v>
      </c>
      <c r="AC4" s="77">
        <v>666.41999999999973</v>
      </c>
      <c r="AD4" s="77">
        <v>166.62999999999991</v>
      </c>
      <c r="AF4" s="78" t="s">
        <v>54</v>
      </c>
      <c r="AG4" s="77">
        <v>23</v>
      </c>
      <c r="AH4" s="77">
        <v>499.79000000000013</v>
      </c>
      <c r="AI4" s="77">
        <v>666.41999999999973</v>
      </c>
      <c r="AJ4" s="77">
        <v>166.62999999999991</v>
      </c>
    </row>
    <row r="5" spans="2:36">
      <c r="B5" s="78" t="s">
        <v>55</v>
      </c>
      <c r="C5" s="77">
        <v>3</v>
      </c>
      <c r="D5" s="79">
        <v>320</v>
      </c>
      <c r="E5" s="79">
        <v>557.5</v>
      </c>
      <c r="F5" s="79">
        <v>237.5</v>
      </c>
      <c r="H5" s="78" t="s">
        <v>56</v>
      </c>
      <c r="I5" s="77">
        <v>5</v>
      </c>
      <c r="J5" s="80">
        <v>312.77</v>
      </c>
      <c r="K5" s="80">
        <v>479.9</v>
      </c>
      <c r="L5" s="80">
        <v>167.13</v>
      </c>
      <c r="N5" s="78" t="s">
        <v>57</v>
      </c>
      <c r="O5" s="77">
        <v>3</v>
      </c>
      <c r="P5" s="80">
        <v>297.89999999999998</v>
      </c>
      <c r="Q5" s="80">
        <v>240</v>
      </c>
      <c r="R5" s="80">
        <v>-57.900000000000006</v>
      </c>
      <c r="T5" s="78" t="s">
        <v>58</v>
      </c>
      <c r="U5" s="77">
        <v>11</v>
      </c>
      <c r="V5" s="80">
        <v>111.5</v>
      </c>
      <c r="W5" s="80">
        <v>160</v>
      </c>
      <c r="X5" s="80">
        <v>48.5</v>
      </c>
      <c r="Z5" s="78" t="s">
        <v>59</v>
      </c>
      <c r="AA5" s="77">
        <v>6</v>
      </c>
      <c r="AB5" s="77">
        <v>189.4</v>
      </c>
      <c r="AC5" s="77">
        <v>239.4</v>
      </c>
      <c r="AD5" s="77">
        <v>50</v>
      </c>
      <c r="AF5" s="78" t="s">
        <v>60</v>
      </c>
      <c r="AG5" s="77">
        <v>6</v>
      </c>
      <c r="AH5" s="77">
        <v>189.4</v>
      </c>
      <c r="AI5" s="77">
        <v>239.4</v>
      </c>
      <c r="AJ5" s="77">
        <v>50</v>
      </c>
    </row>
    <row r="6" spans="2:36">
      <c r="B6" s="78" t="s">
        <v>61</v>
      </c>
      <c r="C6" s="77">
        <v>2</v>
      </c>
      <c r="D6" s="79">
        <v>259.8</v>
      </c>
      <c r="E6" s="79">
        <v>426.5</v>
      </c>
      <c r="F6" s="79">
        <v>166.69999999999996</v>
      </c>
      <c r="H6" s="78" t="s">
        <v>62</v>
      </c>
      <c r="I6" s="77">
        <v>4</v>
      </c>
      <c r="J6" s="80">
        <v>440</v>
      </c>
      <c r="K6" s="80">
        <v>556.29</v>
      </c>
      <c r="L6" s="80">
        <v>116.29000000000002</v>
      </c>
      <c r="N6" s="78" t="s">
        <v>63</v>
      </c>
      <c r="O6" s="77">
        <v>6</v>
      </c>
      <c r="P6" s="80">
        <v>0</v>
      </c>
      <c r="Q6" s="80">
        <v>78</v>
      </c>
      <c r="R6" s="80">
        <v>78</v>
      </c>
      <c r="T6" s="78" t="s">
        <v>54</v>
      </c>
      <c r="U6" s="77">
        <v>5</v>
      </c>
      <c r="V6" s="80">
        <v>675.8</v>
      </c>
      <c r="W6" s="80">
        <v>768.9</v>
      </c>
      <c r="X6" s="80">
        <v>93.099999999999966</v>
      </c>
      <c r="Z6" s="78" t="s">
        <v>64</v>
      </c>
      <c r="AA6" s="77">
        <v>1</v>
      </c>
      <c r="AB6" s="77">
        <v>49.9</v>
      </c>
      <c r="AC6" s="77">
        <v>49.9</v>
      </c>
      <c r="AD6" s="77">
        <v>0</v>
      </c>
      <c r="AF6" s="78" t="s">
        <v>65</v>
      </c>
      <c r="AG6" s="77">
        <v>1</v>
      </c>
      <c r="AH6" s="77">
        <v>49.9</v>
      </c>
      <c r="AI6" s="77">
        <v>49.9</v>
      </c>
      <c r="AJ6" s="77">
        <v>0</v>
      </c>
    </row>
    <row r="7" spans="2:36">
      <c r="B7" s="78" t="s">
        <v>51</v>
      </c>
      <c r="C7" s="77">
        <v>2</v>
      </c>
      <c r="D7" s="79">
        <v>330</v>
      </c>
      <c r="E7" s="79">
        <v>400</v>
      </c>
      <c r="F7" s="79">
        <v>70</v>
      </c>
      <c r="H7" s="78" t="s">
        <v>52</v>
      </c>
      <c r="I7" s="77">
        <v>4</v>
      </c>
      <c r="J7" s="80">
        <v>290</v>
      </c>
      <c r="K7" s="80">
        <v>627.87</v>
      </c>
      <c r="L7" s="80">
        <v>337.87</v>
      </c>
      <c r="N7" s="78" t="s">
        <v>66</v>
      </c>
      <c r="O7" s="77">
        <v>5</v>
      </c>
      <c r="P7" s="80">
        <v>0</v>
      </c>
      <c r="Q7" s="80">
        <v>65</v>
      </c>
      <c r="R7" s="80">
        <v>65</v>
      </c>
      <c r="T7" s="78" t="s">
        <v>60</v>
      </c>
      <c r="U7" s="77">
        <v>2</v>
      </c>
      <c r="V7" s="80">
        <v>534.79999999999995</v>
      </c>
      <c r="W7" s="80">
        <v>549.79999999999995</v>
      </c>
      <c r="X7" s="80">
        <v>15</v>
      </c>
      <c r="Z7" s="78" t="s">
        <v>67</v>
      </c>
      <c r="AA7" s="77">
        <v>30</v>
      </c>
      <c r="AB7" s="77">
        <v>739.09000000000037</v>
      </c>
      <c r="AC7" s="77">
        <v>955.71999999999946</v>
      </c>
      <c r="AD7" s="77">
        <v>216.6299999999998</v>
      </c>
      <c r="AF7" s="78" t="s">
        <v>67</v>
      </c>
      <c r="AG7" s="77">
        <v>30</v>
      </c>
      <c r="AH7" s="77">
        <v>739.09000000000037</v>
      </c>
      <c r="AI7" s="77">
        <v>955.71999999999946</v>
      </c>
      <c r="AJ7" s="77">
        <v>216.6299999999998</v>
      </c>
    </row>
    <row r="8" spans="2:36">
      <c r="B8" s="78" t="s">
        <v>68</v>
      </c>
      <c r="C8" s="77">
        <v>3</v>
      </c>
      <c r="D8" s="79">
        <v>320</v>
      </c>
      <c r="E8" s="79">
        <v>380.5</v>
      </c>
      <c r="F8" s="79">
        <v>60.5</v>
      </c>
      <c r="H8" s="78" t="s">
        <v>69</v>
      </c>
      <c r="I8" s="77">
        <v>4</v>
      </c>
      <c r="J8" s="80">
        <v>532.1</v>
      </c>
      <c r="K8" s="80">
        <v>717.39</v>
      </c>
      <c r="L8" s="80">
        <v>185.28999999999996</v>
      </c>
      <c r="N8" s="78" t="s">
        <v>70</v>
      </c>
      <c r="O8" s="77">
        <v>5</v>
      </c>
      <c r="P8" s="80">
        <v>0</v>
      </c>
      <c r="Q8" s="80">
        <v>65</v>
      </c>
      <c r="R8" s="80">
        <v>65</v>
      </c>
      <c r="T8" s="78" t="s">
        <v>65</v>
      </c>
      <c r="U8" s="77">
        <v>1</v>
      </c>
      <c r="V8" s="80">
        <v>239.9</v>
      </c>
      <c r="W8" s="80">
        <v>280</v>
      </c>
      <c r="X8" s="80">
        <v>40.099999999999994</v>
      </c>
    </row>
    <row r="9" spans="2:36">
      <c r="B9" s="78" t="s">
        <v>71</v>
      </c>
      <c r="C9" s="77">
        <v>2</v>
      </c>
      <c r="D9" s="79">
        <v>170</v>
      </c>
      <c r="E9" s="79">
        <v>378.42</v>
      </c>
      <c r="F9" s="79">
        <v>208.42000000000002</v>
      </c>
      <c r="H9" s="78" t="s">
        <v>72</v>
      </c>
      <c r="I9" s="77">
        <v>4</v>
      </c>
      <c r="J9" s="80">
        <v>340</v>
      </c>
      <c r="K9" s="80">
        <v>751.89</v>
      </c>
      <c r="L9" s="80">
        <v>411.89</v>
      </c>
      <c r="N9" s="78" t="s">
        <v>73</v>
      </c>
      <c r="O9" s="77">
        <v>4</v>
      </c>
      <c r="P9" s="80">
        <v>0</v>
      </c>
      <c r="Q9" s="80">
        <v>52</v>
      </c>
      <c r="R9" s="80">
        <v>52</v>
      </c>
      <c r="T9" s="78" t="s">
        <v>74</v>
      </c>
      <c r="U9" s="77">
        <v>1</v>
      </c>
      <c r="V9" s="80">
        <v>14</v>
      </c>
      <c r="W9" s="80">
        <v>20</v>
      </c>
      <c r="X9" s="80">
        <v>6</v>
      </c>
    </row>
    <row r="10" spans="2:36">
      <c r="B10" s="78" t="s">
        <v>75</v>
      </c>
      <c r="C10" s="77">
        <v>4</v>
      </c>
      <c r="D10" s="79">
        <v>209.45</v>
      </c>
      <c r="E10" s="79">
        <v>320</v>
      </c>
      <c r="F10" s="79">
        <v>110.55</v>
      </c>
      <c r="H10" s="78" t="s">
        <v>76</v>
      </c>
      <c r="I10" s="77">
        <v>4</v>
      </c>
      <c r="J10" s="80">
        <v>358.79999999999995</v>
      </c>
      <c r="K10" s="80">
        <v>579.68999999999994</v>
      </c>
      <c r="L10" s="80">
        <v>220.89000000000001</v>
      </c>
      <c r="N10" s="78" t="s">
        <v>77</v>
      </c>
      <c r="O10" s="77">
        <v>5</v>
      </c>
      <c r="P10" s="80">
        <v>12.5</v>
      </c>
      <c r="Q10" s="80">
        <v>15</v>
      </c>
      <c r="R10" s="80">
        <v>2.5</v>
      </c>
      <c r="T10" s="78" t="s">
        <v>56</v>
      </c>
      <c r="U10" s="77">
        <v>1</v>
      </c>
      <c r="V10" s="80">
        <v>99.9</v>
      </c>
      <c r="W10" s="80">
        <v>80</v>
      </c>
      <c r="X10" s="80">
        <v>-19.900000000000006</v>
      </c>
    </row>
    <row r="11" spans="2:36">
      <c r="B11" s="78" t="s">
        <v>78</v>
      </c>
      <c r="C11" s="77">
        <v>1</v>
      </c>
      <c r="D11" s="79">
        <v>0</v>
      </c>
      <c r="E11" s="79">
        <v>319.99</v>
      </c>
      <c r="F11" s="79">
        <v>319.99</v>
      </c>
      <c r="H11" s="78" t="s">
        <v>79</v>
      </c>
      <c r="I11" s="77">
        <v>3</v>
      </c>
      <c r="J11" s="80">
        <v>280</v>
      </c>
      <c r="K11" s="80">
        <v>546.4</v>
      </c>
      <c r="L11" s="80">
        <v>266.39999999999998</v>
      </c>
      <c r="N11" s="78" t="s">
        <v>67</v>
      </c>
      <c r="O11" s="77">
        <v>37</v>
      </c>
      <c r="P11" s="80">
        <v>1774.9</v>
      </c>
      <c r="Q11" s="80">
        <v>2133.7000000000003</v>
      </c>
      <c r="R11" s="80">
        <v>358.79999999999995</v>
      </c>
      <c r="T11" s="78" t="s">
        <v>67</v>
      </c>
      <c r="U11" s="77">
        <v>37</v>
      </c>
      <c r="V11" s="80">
        <v>1774.9</v>
      </c>
      <c r="W11" s="80">
        <v>2133.6999999999998</v>
      </c>
      <c r="X11" s="80">
        <v>358.79999999999995</v>
      </c>
    </row>
    <row r="12" spans="2:36">
      <c r="B12" s="78" t="s">
        <v>80</v>
      </c>
      <c r="C12" s="77">
        <v>2</v>
      </c>
      <c r="D12" s="79">
        <v>289.8</v>
      </c>
      <c r="E12" s="79">
        <v>310.12</v>
      </c>
      <c r="F12" s="79">
        <v>20.319999999999993</v>
      </c>
      <c r="H12" s="78" t="s">
        <v>81</v>
      </c>
      <c r="I12" s="77">
        <v>2</v>
      </c>
      <c r="J12" s="80">
        <v>148.15</v>
      </c>
      <c r="K12" s="80">
        <v>349.9</v>
      </c>
      <c r="L12" s="80">
        <v>201.75</v>
      </c>
    </row>
    <row r="13" spans="2:36">
      <c r="B13" s="78" t="s">
        <v>82</v>
      </c>
      <c r="C13" s="77">
        <v>2</v>
      </c>
      <c r="D13" s="79">
        <v>259.89999999999998</v>
      </c>
      <c r="E13" s="79">
        <v>309.98</v>
      </c>
      <c r="F13" s="79">
        <v>50.080000000000013</v>
      </c>
      <c r="H13" s="78" t="s">
        <v>58</v>
      </c>
      <c r="I13" s="77">
        <v>2</v>
      </c>
      <c r="J13" s="80">
        <v>0</v>
      </c>
      <c r="K13" s="80">
        <v>343.52</v>
      </c>
      <c r="L13" s="80">
        <v>343.52</v>
      </c>
    </row>
    <row r="14" spans="2:36">
      <c r="B14" s="78" t="s">
        <v>83</v>
      </c>
      <c r="C14" s="77">
        <v>2</v>
      </c>
      <c r="D14" s="79">
        <v>213.25</v>
      </c>
      <c r="E14" s="79">
        <v>309.89999999999998</v>
      </c>
      <c r="F14" s="79">
        <v>96.65</v>
      </c>
      <c r="H14" s="78" t="s">
        <v>60</v>
      </c>
      <c r="I14" s="77">
        <v>2</v>
      </c>
      <c r="J14" s="80">
        <v>289.8</v>
      </c>
      <c r="K14" s="80">
        <v>310.12</v>
      </c>
      <c r="L14" s="80">
        <v>20.319999999999993</v>
      </c>
    </row>
    <row r="15" spans="2:36">
      <c r="B15" s="78" t="s">
        <v>84</v>
      </c>
      <c r="C15" s="77">
        <v>2</v>
      </c>
      <c r="D15" s="79">
        <v>0</v>
      </c>
      <c r="E15" s="79">
        <v>302.87</v>
      </c>
      <c r="F15" s="79">
        <v>302.87</v>
      </c>
      <c r="H15" s="78" t="s">
        <v>65</v>
      </c>
      <c r="I15" s="77">
        <v>1</v>
      </c>
      <c r="J15" s="80">
        <v>150</v>
      </c>
      <c r="K15" s="80">
        <v>189.9</v>
      </c>
      <c r="L15" s="80">
        <v>39.900000000000006</v>
      </c>
    </row>
    <row r="16" spans="2:36">
      <c r="B16" s="78" t="s">
        <v>85</v>
      </c>
      <c r="C16" s="77">
        <v>2</v>
      </c>
      <c r="D16" s="79">
        <v>183.32</v>
      </c>
      <c r="E16" s="79">
        <v>298.8</v>
      </c>
      <c r="F16" s="79">
        <v>115.48000000000002</v>
      </c>
      <c r="H16" s="78" t="s">
        <v>74</v>
      </c>
      <c r="I16" s="77">
        <v>1</v>
      </c>
      <c r="J16" s="80">
        <v>129.9</v>
      </c>
      <c r="K16" s="80">
        <v>150.9</v>
      </c>
      <c r="L16" s="80">
        <v>21</v>
      </c>
    </row>
    <row r="17" spans="2:12">
      <c r="B17" s="78" t="s">
        <v>86</v>
      </c>
      <c r="C17" s="77">
        <v>2</v>
      </c>
      <c r="D17" s="79">
        <v>145</v>
      </c>
      <c r="E17" s="79">
        <v>274.89</v>
      </c>
      <c r="F17" s="79">
        <v>129.89000000000001</v>
      </c>
      <c r="H17" s="78" t="s">
        <v>67</v>
      </c>
      <c r="I17" s="77">
        <v>42</v>
      </c>
      <c r="J17" s="80">
        <v>4101.5200000000004</v>
      </c>
      <c r="K17" s="80">
        <v>6551.2599999999957</v>
      </c>
      <c r="L17" s="80">
        <v>2449.7400000000007</v>
      </c>
    </row>
    <row r="18" spans="2:12">
      <c r="B18" s="78" t="s">
        <v>87</v>
      </c>
      <c r="C18" s="77">
        <v>2</v>
      </c>
      <c r="D18" s="79">
        <v>205</v>
      </c>
      <c r="E18" s="79">
        <v>250.4</v>
      </c>
      <c r="F18" s="79">
        <v>45.400000000000006</v>
      </c>
    </row>
    <row r="19" spans="2:12">
      <c r="B19" s="78" t="s">
        <v>88</v>
      </c>
      <c r="C19" s="77">
        <v>1</v>
      </c>
      <c r="D19" s="79">
        <v>84.9</v>
      </c>
      <c r="E19" s="79">
        <v>229.9</v>
      </c>
      <c r="F19" s="79">
        <v>145</v>
      </c>
    </row>
    <row r="20" spans="2:12">
      <c r="B20" s="78" t="s">
        <v>89</v>
      </c>
      <c r="C20" s="77">
        <v>1</v>
      </c>
      <c r="D20" s="79">
        <v>170</v>
      </c>
      <c r="E20" s="79">
        <v>175</v>
      </c>
      <c r="F20" s="79">
        <v>5</v>
      </c>
    </row>
    <row r="21" spans="2:12" ht="15.75" customHeight="1">
      <c r="B21" s="78" t="s">
        <v>90</v>
      </c>
      <c r="C21" s="77">
        <v>1</v>
      </c>
      <c r="D21" s="79">
        <v>80</v>
      </c>
      <c r="E21" s="79">
        <v>149.99</v>
      </c>
      <c r="F21" s="79">
        <v>69.990000000000009</v>
      </c>
    </row>
    <row r="22" spans="2:12" ht="15.75" customHeight="1">
      <c r="B22" s="78" t="s">
        <v>91</v>
      </c>
      <c r="C22" s="77">
        <v>1</v>
      </c>
      <c r="D22" s="79">
        <v>0</v>
      </c>
      <c r="E22" s="79">
        <v>147</v>
      </c>
      <c r="F22" s="79">
        <v>147</v>
      </c>
    </row>
    <row r="23" spans="2:12" ht="15.75" customHeight="1">
      <c r="B23" s="78" t="s">
        <v>92</v>
      </c>
      <c r="C23" s="77">
        <v>1</v>
      </c>
      <c r="D23" s="79">
        <v>125</v>
      </c>
      <c r="E23" s="79">
        <v>130</v>
      </c>
      <c r="F23" s="79">
        <v>5</v>
      </c>
    </row>
    <row r="24" spans="2:12" ht="15.75" customHeight="1">
      <c r="B24" s="78" t="s">
        <v>93</v>
      </c>
      <c r="C24" s="77">
        <v>1</v>
      </c>
      <c r="D24" s="79">
        <v>120</v>
      </c>
      <c r="E24" s="79">
        <v>125</v>
      </c>
      <c r="F24" s="79">
        <v>5</v>
      </c>
    </row>
    <row r="25" spans="2:12" ht="15.75" customHeight="1">
      <c r="B25" s="78" t="s">
        <v>67</v>
      </c>
      <c r="C25" s="77">
        <v>42</v>
      </c>
      <c r="D25" s="79">
        <v>4101.5200000000004</v>
      </c>
      <c r="E25" s="79">
        <v>6551.2599999999975</v>
      </c>
      <c r="F25" s="79">
        <v>2449.7400000000002</v>
      </c>
    </row>
    <row r="26" spans="2:12" ht="15.75" customHeight="1"/>
    <row r="27" spans="2:12" ht="15.75" customHeight="1">
      <c r="B27" s="27" t="s">
        <v>223</v>
      </c>
    </row>
    <row r="28" spans="2:12" ht="15.75" customHeight="1">
      <c r="B28" s="27" t="s">
        <v>224</v>
      </c>
    </row>
    <row r="29" spans="2:12" ht="15.75" customHeight="1">
      <c r="B29" s="28">
        <v>44637</v>
      </c>
    </row>
    <row r="30" spans="2:12" ht="15.75" customHeight="1"/>
    <row r="31" spans="2:12" ht="15.75" customHeight="1"/>
    <row r="32" spans="2:12" ht="15.75" customHeight="1"/>
    <row r="33" s="31" customFormat="1" ht="15.75" customHeight="1"/>
    <row r="34" s="31" customFormat="1" ht="15.75" customHeight="1"/>
    <row r="35" s="31" customFormat="1" ht="15.75" customHeight="1"/>
    <row r="36" s="31" customFormat="1" ht="15.75" customHeight="1"/>
    <row r="37" s="31" customFormat="1" ht="15.75" customHeight="1"/>
    <row r="38" s="31" customFormat="1" ht="15.75" customHeight="1"/>
    <row r="39" s="31" customFormat="1" ht="15.75" customHeight="1"/>
    <row r="40" s="31" customFormat="1" ht="15.75" customHeight="1"/>
    <row r="41" s="31" customFormat="1" ht="15.75" customHeight="1"/>
    <row r="42" s="31" customFormat="1" ht="15.75" customHeight="1"/>
    <row r="43" s="31" customFormat="1" ht="15.75" customHeight="1"/>
    <row r="44" s="31" customFormat="1" ht="15.75" customHeight="1"/>
    <row r="45" s="31" customFormat="1" ht="15.75" customHeight="1"/>
    <row r="46" s="31" customFormat="1" ht="15.75" customHeight="1"/>
    <row r="47" s="31" customFormat="1" ht="15.75" customHeight="1"/>
    <row r="48" s="31" customFormat="1" ht="15.75" customHeight="1"/>
    <row r="49" s="31" customFormat="1" ht="15.75" customHeight="1"/>
    <row r="50" s="31" customFormat="1" ht="15.75" customHeight="1"/>
    <row r="51" s="31" customFormat="1" ht="15.75" customHeight="1"/>
    <row r="52" s="31" customFormat="1" ht="15.75" customHeight="1"/>
    <row r="53" s="31" customFormat="1" ht="15.75" customHeight="1"/>
    <row r="54" s="31" customFormat="1" ht="15.75" customHeight="1"/>
    <row r="55" s="31" customFormat="1" ht="15.75" customHeight="1"/>
    <row r="56" s="31" customFormat="1" ht="15.75" customHeight="1"/>
    <row r="57" s="31" customFormat="1" ht="15.75" customHeight="1"/>
    <row r="58" s="31" customFormat="1" ht="15.75" customHeight="1"/>
    <row r="59" s="31" customFormat="1" ht="15.75" customHeight="1"/>
    <row r="60" s="31" customFormat="1" ht="15.75" customHeight="1"/>
    <row r="61" s="31" customFormat="1" ht="15.75" customHeight="1"/>
    <row r="62" s="31" customFormat="1" ht="15.75" customHeight="1"/>
    <row r="63" s="31" customFormat="1" ht="15.75" customHeight="1"/>
    <row r="64" s="31" customFormat="1" ht="15.75" customHeight="1"/>
    <row r="65" s="31" customFormat="1" ht="15.75" customHeight="1"/>
    <row r="66" s="31" customFormat="1" ht="15.75" customHeight="1"/>
    <row r="67" s="31" customFormat="1" ht="15.75" customHeight="1"/>
    <row r="68" s="31" customFormat="1" ht="15.75" customHeight="1"/>
    <row r="69" s="31" customFormat="1" ht="15.75" customHeight="1"/>
    <row r="70" s="31" customFormat="1" ht="15.75" customHeight="1"/>
    <row r="71" s="31" customFormat="1" ht="15.75" customHeight="1"/>
    <row r="72" s="31" customFormat="1" ht="15.75" customHeight="1"/>
    <row r="73" s="31" customFormat="1" ht="15.75" customHeight="1"/>
    <row r="74" s="31" customFormat="1" ht="15.75" customHeight="1"/>
    <row r="75" s="31" customFormat="1" ht="15.75" customHeight="1"/>
    <row r="76" s="31" customFormat="1" ht="15.75" customHeight="1"/>
    <row r="77" s="31" customFormat="1" ht="15.75" customHeight="1"/>
    <row r="78" s="31" customFormat="1" ht="15.75" customHeight="1"/>
    <row r="79" s="31" customFormat="1" ht="15.75" customHeight="1"/>
    <row r="80" s="31" customFormat="1" ht="15.75" customHeight="1"/>
    <row r="81" s="31" customFormat="1" ht="15.75" customHeight="1"/>
    <row r="82" s="31" customFormat="1" ht="15.75" customHeight="1"/>
    <row r="83" s="31" customFormat="1" ht="15.75" customHeight="1"/>
    <row r="84" s="31" customFormat="1" ht="15.75" customHeight="1"/>
    <row r="85" s="31" customFormat="1" ht="15.75" customHeight="1"/>
    <row r="86" s="31" customFormat="1" ht="15.75" customHeight="1"/>
    <row r="87" s="31" customFormat="1" ht="15.75" customHeight="1"/>
    <row r="88" s="31" customFormat="1" ht="15.75" customHeight="1"/>
    <row r="89" s="31" customFormat="1" ht="15.75" customHeight="1"/>
    <row r="90" s="31" customFormat="1" ht="15.75" customHeight="1"/>
    <row r="91" s="31" customFormat="1" ht="15.75" customHeight="1"/>
    <row r="92" s="31" customFormat="1" ht="15.75" customHeight="1"/>
    <row r="93" s="31" customFormat="1" ht="15.75" customHeight="1"/>
    <row r="94" s="31" customFormat="1" ht="15.75" customHeight="1"/>
    <row r="95" s="31" customFormat="1" ht="15.75" customHeight="1"/>
    <row r="96" s="31" customFormat="1" ht="15.75" customHeight="1"/>
    <row r="97" s="31" customFormat="1" ht="15.75" customHeight="1"/>
    <row r="98" s="31" customFormat="1" ht="15.75" customHeight="1"/>
    <row r="99" s="31" customFormat="1" ht="15.75" customHeight="1"/>
    <row r="100" s="31" customFormat="1" ht="15.75" customHeight="1"/>
    <row r="101" s="31" customFormat="1" ht="15.75" customHeight="1"/>
    <row r="102" s="31" customFormat="1" ht="15.75" customHeight="1"/>
    <row r="103" s="31" customFormat="1" ht="15.75" customHeight="1"/>
    <row r="104" s="31" customFormat="1" ht="15.75" customHeight="1"/>
    <row r="105" s="31" customFormat="1" ht="15.75" customHeight="1"/>
    <row r="106" s="31" customFormat="1" ht="15.75" customHeight="1"/>
    <row r="107" s="31" customFormat="1" ht="15.75" customHeight="1"/>
    <row r="108" s="31" customFormat="1" ht="15.75" customHeight="1"/>
    <row r="109" s="31" customFormat="1" ht="15.75" customHeight="1"/>
    <row r="110" s="31" customFormat="1" ht="15.75" customHeight="1"/>
    <row r="111" s="31" customFormat="1" ht="15.75" customHeight="1"/>
    <row r="112" s="31" customFormat="1" ht="15.75" customHeight="1"/>
    <row r="113" s="31" customFormat="1" ht="15.75" customHeight="1"/>
    <row r="114" s="31" customFormat="1" ht="15.75" customHeight="1"/>
    <row r="115" s="31" customFormat="1" ht="15.75" customHeight="1"/>
    <row r="116" s="31" customFormat="1" ht="15.75" customHeight="1"/>
    <row r="117" s="31" customFormat="1" ht="15.75" customHeight="1"/>
    <row r="118" s="31" customFormat="1" ht="15.75" customHeight="1"/>
    <row r="119" s="31" customFormat="1" ht="15.75" customHeight="1"/>
    <row r="120" s="31" customFormat="1" ht="15.75" customHeight="1"/>
    <row r="121" s="31" customFormat="1" ht="15.75" customHeight="1"/>
    <row r="122" s="31" customFormat="1" ht="15.75" customHeight="1"/>
    <row r="123" s="31" customFormat="1" ht="15.75" customHeight="1"/>
    <row r="124" s="31" customFormat="1" ht="15.75" customHeight="1"/>
    <row r="125" s="31" customFormat="1" ht="15.75" customHeight="1"/>
    <row r="126" s="31" customFormat="1" ht="15.75" customHeight="1"/>
    <row r="127" s="31" customFormat="1" ht="15.75" customHeight="1"/>
    <row r="128" s="31" customFormat="1" ht="15.75" customHeight="1"/>
    <row r="129" s="31" customFormat="1" ht="15.75" customHeight="1"/>
    <row r="130" s="31" customFormat="1" ht="15.75" customHeight="1"/>
    <row r="131" s="31" customFormat="1" ht="15.75" customHeight="1"/>
    <row r="132" s="31" customFormat="1" ht="15.75" customHeight="1"/>
    <row r="133" s="31" customFormat="1" ht="15.75" customHeight="1"/>
    <row r="134" s="31" customFormat="1" ht="15.75" customHeight="1"/>
    <row r="135" s="31" customFormat="1" ht="15.75" customHeight="1"/>
    <row r="136" s="31" customFormat="1" ht="15.75" customHeight="1"/>
    <row r="137" s="31" customFormat="1" ht="15.75" customHeight="1"/>
    <row r="138" s="31" customFormat="1" ht="15.75" customHeight="1"/>
    <row r="139" s="31" customFormat="1" ht="15.75" customHeight="1"/>
    <row r="140" s="31" customFormat="1" ht="15.75" customHeight="1"/>
    <row r="141" s="31" customFormat="1" ht="15.75" customHeight="1"/>
    <row r="142" s="31" customFormat="1" ht="15.75" customHeight="1"/>
    <row r="143" s="31" customFormat="1" ht="15.75" customHeight="1"/>
    <row r="144" s="31" customFormat="1" ht="15.75" customHeight="1"/>
    <row r="145" s="31" customFormat="1" ht="15.75" customHeight="1"/>
    <row r="146" s="31" customFormat="1" ht="15.75" customHeight="1"/>
    <row r="147" s="31" customFormat="1" ht="15.75" customHeight="1"/>
    <row r="148" s="31" customFormat="1" ht="15.75" customHeight="1"/>
    <row r="149" s="31" customFormat="1" ht="15.75" customHeight="1"/>
    <row r="150" s="31" customFormat="1" ht="15.75" customHeight="1"/>
    <row r="151" s="31" customFormat="1" ht="15.75" customHeight="1"/>
    <row r="152" s="31" customFormat="1" ht="15.75" customHeight="1"/>
    <row r="153" s="31" customFormat="1" ht="15.75" customHeight="1"/>
    <row r="154" s="31" customFormat="1" ht="15.75" customHeight="1"/>
    <row r="155" s="31" customFormat="1" ht="15.75" customHeight="1"/>
    <row r="156" s="31" customFormat="1" ht="15.75" customHeight="1"/>
    <row r="157" s="31" customFormat="1" ht="15.75" customHeight="1"/>
    <row r="158" s="31" customFormat="1" ht="15.75" customHeight="1"/>
    <row r="159" s="31" customFormat="1" ht="15.75" customHeight="1"/>
    <row r="160" s="31" customFormat="1" ht="15.75" customHeight="1"/>
    <row r="161" s="31" customFormat="1" ht="15.75" customHeight="1"/>
    <row r="162" s="31" customFormat="1" ht="15.75" customHeight="1"/>
    <row r="163" s="31" customFormat="1" ht="15.75" customHeight="1"/>
    <row r="164" s="31" customFormat="1" ht="15.75" customHeight="1"/>
    <row r="165" s="31" customFormat="1" ht="15.75" customHeight="1"/>
    <row r="166" s="31" customFormat="1" ht="15.75" customHeight="1"/>
    <row r="167" s="31" customFormat="1" ht="15.75" customHeight="1"/>
    <row r="168" s="31" customFormat="1" ht="15.75" customHeight="1"/>
    <row r="169" s="31" customFormat="1" ht="15.75" customHeight="1"/>
    <row r="170" s="31" customFormat="1" ht="15.75" customHeight="1"/>
    <row r="171" s="31" customFormat="1" ht="15.75" customHeight="1"/>
    <row r="172" s="31" customFormat="1" ht="15.75" customHeight="1"/>
    <row r="173" s="31" customFormat="1" ht="15.75" customHeight="1"/>
    <row r="174" s="31" customFormat="1" ht="15.75" customHeight="1"/>
    <row r="175" s="31" customFormat="1" ht="15.75" customHeight="1"/>
    <row r="176" s="31" customFormat="1" ht="15.75" customHeight="1"/>
    <row r="177" s="31" customFormat="1" ht="15.75" customHeight="1"/>
    <row r="178" s="31" customFormat="1" ht="15.75" customHeight="1"/>
    <row r="179" s="31" customFormat="1" ht="15.75" customHeight="1"/>
    <row r="180" s="31" customFormat="1" ht="15.75" customHeight="1"/>
    <row r="181" s="31" customFormat="1" ht="15.75" customHeight="1"/>
    <row r="182" s="31" customFormat="1" ht="15.75" customHeight="1"/>
    <row r="183" s="31" customFormat="1" ht="15.75" customHeight="1"/>
    <row r="184" s="31" customFormat="1" ht="15.75" customHeight="1"/>
    <row r="185" s="31" customFormat="1" ht="15.75" customHeight="1"/>
    <row r="186" s="31" customFormat="1" ht="15.75" customHeight="1"/>
    <row r="187" s="31" customFormat="1" ht="15.75" customHeight="1"/>
    <row r="188" s="31" customFormat="1" ht="15.75" customHeight="1"/>
    <row r="189" s="31" customFormat="1" ht="15.75" customHeight="1"/>
    <row r="190" s="31" customFormat="1" ht="15.75" customHeight="1"/>
    <row r="191" s="31" customFormat="1" ht="15.75" customHeight="1"/>
    <row r="192" s="31" customFormat="1" ht="15.75" customHeight="1"/>
    <row r="193" s="31" customFormat="1" ht="15.75" customHeight="1"/>
    <row r="194" s="31" customFormat="1" ht="15.75" customHeight="1"/>
    <row r="195" s="31" customFormat="1" ht="15.75" customHeight="1"/>
    <row r="196" s="31" customFormat="1" ht="15.75" customHeight="1"/>
    <row r="197" s="31" customFormat="1" ht="15.75" customHeight="1"/>
    <row r="198" s="31" customFormat="1" ht="15.75" customHeight="1"/>
    <row r="199" s="31" customFormat="1" ht="15.75" customHeight="1"/>
    <row r="200" s="31" customFormat="1" ht="15.75" customHeight="1"/>
    <row r="201" s="31" customFormat="1" ht="15.75" customHeight="1"/>
    <row r="202" s="31" customFormat="1" ht="15.75" customHeight="1"/>
    <row r="203" s="31" customFormat="1" ht="15.75" customHeight="1"/>
    <row r="204" s="31" customFormat="1" ht="15.75" customHeight="1"/>
    <row r="205" s="31" customFormat="1" ht="15.75" customHeight="1"/>
    <row r="206" s="31" customFormat="1" ht="15.75" customHeight="1"/>
    <row r="207" s="31" customFormat="1" ht="15.75" customHeight="1"/>
    <row r="208" s="31" customFormat="1" ht="15.75" customHeight="1"/>
    <row r="209" s="31" customFormat="1" ht="15.75" customHeight="1"/>
    <row r="210" s="31" customFormat="1" ht="15.75" customHeight="1"/>
    <row r="211" s="31" customFormat="1" ht="15.75" customHeight="1"/>
    <row r="212" s="31" customFormat="1" ht="15.75" customHeight="1"/>
    <row r="213" s="31" customFormat="1" ht="15.75" customHeight="1"/>
    <row r="214" s="31" customFormat="1" ht="15.75" customHeight="1"/>
    <row r="215" s="31" customFormat="1" ht="15.75" customHeight="1"/>
    <row r="216" s="31" customFormat="1" ht="15.75" customHeight="1"/>
    <row r="217" s="31" customFormat="1" ht="15.75" customHeight="1"/>
    <row r="218" s="31" customFormat="1" ht="15.75" customHeight="1"/>
    <row r="219" s="31" customFormat="1" ht="15.75" customHeight="1"/>
    <row r="220" s="31" customFormat="1" ht="15.75" customHeight="1"/>
    <row r="221" s="31" customFormat="1" ht="15.75" customHeight="1"/>
    <row r="222" s="31" customFormat="1" ht="15.75" customHeight="1"/>
    <row r="223" s="31" customFormat="1" ht="15.75" customHeight="1"/>
    <row r="224" s="31" customFormat="1" ht="15.75" customHeight="1"/>
    <row r="225" s="31" customFormat="1" ht="15.75" customHeight="1"/>
    <row r="226" s="31" customFormat="1" ht="15.75" customHeight="1"/>
    <row r="227" s="31" customFormat="1" ht="15.75" customHeight="1"/>
    <row r="228" s="31" customFormat="1" ht="15.75" customHeight="1"/>
    <row r="229" s="31" customFormat="1" ht="15.75" customHeight="1"/>
    <row r="230" s="31" customFormat="1" ht="15.75" customHeight="1"/>
    <row r="231" s="31" customFormat="1" ht="15.75" customHeight="1"/>
    <row r="232" s="31" customFormat="1" ht="15.75" customHeight="1"/>
    <row r="233" s="31" customFormat="1" ht="15.75" customHeight="1"/>
    <row r="234" s="31" customFormat="1" ht="15.75" customHeight="1"/>
    <row r="235" s="31" customFormat="1" ht="15.75" customHeight="1"/>
    <row r="236" s="31" customFormat="1" ht="15.75" customHeight="1"/>
    <row r="237" s="31" customFormat="1" ht="15.75" customHeight="1"/>
    <row r="238" s="31" customFormat="1" ht="15.75" customHeight="1"/>
    <row r="239" s="31" customFormat="1" ht="15.75" customHeight="1"/>
    <row r="240" s="31" customFormat="1" ht="15.75" customHeight="1"/>
    <row r="241" s="31" customFormat="1" ht="15.75" customHeight="1"/>
    <row r="242" s="31" customFormat="1" ht="15.75" customHeight="1"/>
    <row r="243" s="31" customFormat="1" ht="15.75" customHeight="1"/>
    <row r="244" s="31" customFormat="1" ht="15.75" customHeight="1"/>
    <row r="245" s="31" customFormat="1" ht="15.75" customHeight="1"/>
    <row r="246" s="31" customFormat="1" ht="15.75" customHeight="1"/>
    <row r="247" s="31" customFormat="1" ht="15.75" customHeight="1"/>
    <row r="248" s="31" customFormat="1" ht="15.75" customHeight="1"/>
    <row r="249" s="31" customFormat="1" ht="15.75" customHeight="1"/>
    <row r="250" s="31" customFormat="1" ht="15.75" customHeight="1"/>
    <row r="251" s="31" customFormat="1" ht="15.75" customHeight="1"/>
    <row r="252" s="31" customFormat="1" ht="15.75" customHeight="1"/>
    <row r="253" s="31" customFormat="1" ht="15.75" customHeight="1"/>
    <row r="254" s="31" customFormat="1" ht="15.75" customHeight="1"/>
    <row r="255" s="31" customFormat="1" ht="15.75" customHeight="1"/>
    <row r="256" s="31" customFormat="1" ht="15.75" customHeight="1"/>
    <row r="257" s="31" customFormat="1" ht="15.75" customHeight="1"/>
    <row r="258" s="31" customFormat="1" ht="15.75" customHeight="1"/>
    <row r="259" s="31" customFormat="1" ht="15.75" customHeight="1"/>
    <row r="260" s="31" customFormat="1" ht="15.75" customHeight="1"/>
    <row r="261" s="31" customFormat="1" ht="15.75" customHeight="1"/>
    <row r="262" s="31" customFormat="1" ht="15.75" customHeight="1"/>
    <row r="263" s="31" customFormat="1" ht="15.75" customHeight="1"/>
    <row r="264" s="31" customFormat="1" ht="15.75" customHeight="1"/>
    <row r="265" s="31" customFormat="1" ht="15.75" customHeight="1"/>
    <row r="266" s="31" customFormat="1" ht="15.75" customHeight="1"/>
    <row r="267" s="31" customFormat="1" ht="15.75" customHeight="1"/>
    <row r="268" s="31" customFormat="1" ht="15.75" customHeight="1"/>
    <row r="269" s="31" customFormat="1" ht="15.75" customHeight="1"/>
    <row r="270" s="31" customFormat="1" ht="15.75" customHeight="1"/>
    <row r="271" s="31" customFormat="1" ht="15.75" customHeight="1"/>
    <row r="272" s="31" customFormat="1" ht="15.75" customHeight="1"/>
    <row r="273" s="31" customFormat="1" ht="15.75" customHeight="1"/>
    <row r="274" s="31" customFormat="1" ht="15.75" customHeight="1"/>
    <row r="275" s="31" customFormat="1" ht="15.75" customHeight="1"/>
    <row r="276" s="31" customFormat="1" ht="15.75" customHeight="1"/>
    <row r="277" s="31" customFormat="1" ht="15.75" customHeight="1"/>
    <row r="278" s="31" customFormat="1" ht="15.75" customHeight="1"/>
    <row r="279" s="31" customFormat="1" ht="15.75" customHeight="1"/>
    <row r="280" s="31" customFormat="1" ht="15.75" customHeight="1"/>
    <row r="281" s="31" customFormat="1" ht="15.75" customHeight="1"/>
    <row r="282" s="31" customFormat="1" ht="15.75" customHeight="1"/>
    <row r="283" s="31" customFormat="1" ht="15.75" customHeight="1"/>
    <row r="284" s="31" customFormat="1" ht="15.75" customHeight="1"/>
    <row r="285" s="31" customFormat="1" ht="15.75" customHeight="1"/>
    <row r="286" s="31" customFormat="1" ht="15.75" customHeight="1"/>
    <row r="287" s="31" customFormat="1" ht="15.75" customHeight="1"/>
    <row r="288" s="31" customFormat="1" ht="15.75" customHeight="1"/>
    <row r="289" s="31" customFormat="1" ht="15.75" customHeight="1"/>
    <row r="290" s="31" customFormat="1" ht="15.75" customHeight="1"/>
    <row r="291" s="31" customFormat="1" ht="15.75" customHeight="1"/>
    <row r="292" s="31" customFormat="1" ht="15.75" customHeight="1"/>
    <row r="293" s="31" customFormat="1" ht="15.75" customHeight="1"/>
    <row r="294" s="31" customFormat="1" ht="15.75" customHeight="1"/>
    <row r="295" s="31" customFormat="1" ht="15.75" customHeight="1"/>
    <row r="296" s="31" customFormat="1" ht="15.75" customHeight="1"/>
    <row r="297" s="31" customFormat="1" ht="15.75" customHeight="1"/>
    <row r="298" s="31" customFormat="1" ht="15.75" customHeight="1"/>
    <row r="299" s="31" customFormat="1" ht="15.75" customHeight="1"/>
    <row r="300" s="31" customFormat="1" ht="15.75" customHeight="1"/>
    <row r="301" s="31" customFormat="1" ht="15.75" customHeight="1"/>
    <row r="302" s="31" customFormat="1" ht="15.75" customHeight="1"/>
    <row r="303" s="31" customFormat="1" ht="15.75" customHeight="1"/>
    <row r="304" s="31" customFormat="1" ht="15.75" customHeight="1"/>
    <row r="305" s="31" customFormat="1" ht="15.75" customHeight="1"/>
    <row r="306" s="31" customFormat="1" ht="15.75" customHeight="1"/>
    <row r="307" s="31" customFormat="1" ht="15.75" customHeight="1"/>
    <row r="308" s="31" customFormat="1" ht="15.75" customHeight="1"/>
    <row r="309" s="31" customFormat="1" ht="15.75" customHeight="1"/>
    <row r="310" s="31" customFormat="1" ht="15.75" customHeight="1"/>
    <row r="311" s="31" customFormat="1" ht="15.75" customHeight="1"/>
    <row r="312" s="31" customFormat="1" ht="15.75" customHeight="1"/>
    <row r="313" s="31" customFormat="1" ht="15.75" customHeight="1"/>
    <row r="314" s="31" customFormat="1" ht="15.75" customHeight="1"/>
    <row r="315" s="31" customFormat="1" ht="15.75" customHeight="1"/>
    <row r="316" s="31" customFormat="1" ht="15.75" customHeight="1"/>
    <row r="317" s="31" customFormat="1" ht="15.75" customHeight="1"/>
    <row r="318" s="31" customFormat="1" ht="15.75" customHeight="1"/>
    <row r="319" s="31" customFormat="1" ht="15.75" customHeight="1"/>
    <row r="320" s="31" customFormat="1" ht="15.75" customHeight="1"/>
    <row r="321" s="31" customFormat="1" ht="15.75" customHeight="1"/>
    <row r="322" s="31" customFormat="1" ht="15.75" customHeight="1"/>
    <row r="323" s="31" customFormat="1" ht="15.75" customHeight="1"/>
    <row r="324" s="31" customFormat="1" ht="15.75" customHeight="1"/>
    <row r="325" s="31" customFormat="1" ht="15.75" customHeight="1"/>
    <row r="326" s="31" customFormat="1" ht="15.75" customHeight="1"/>
    <row r="327" s="31" customFormat="1" ht="15.75" customHeight="1"/>
    <row r="328" s="31" customFormat="1" ht="15.75" customHeight="1"/>
    <row r="329" s="31" customFormat="1" ht="15.75" customHeight="1"/>
    <row r="330" s="31" customFormat="1" ht="15.75" customHeight="1"/>
    <row r="331" s="31" customFormat="1" ht="15.75" customHeight="1"/>
    <row r="332" s="31" customFormat="1" ht="15.75" customHeight="1"/>
    <row r="333" s="31" customFormat="1" ht="15.75" customHeight="1"/>
    <row r="334" s="31" customFormat="1" ht="15.75" customHeight="1"/>
    <row r="335" s="31" customFormat="1" ht="15.75" customHeight="1"/>
    <row r="336" s="31" customFormat="1" ht="15.75" customHeight="1"/>
    <row r="337" s="31" customFormat="1" ht="15.75" customHeight="1"/>
    <row r="338" s="31" customFormat="1" ht="15.75" customHeight="1"/>
    <row r="339" s="31" customFormat="1" ht="15.75" customHeight="1"/>
    <row r="340" s="31" customFormat="1" ht="15.75" customHeight="1"/>
    <row r="341" s="31" customFormat="1" ht="15.75" customHeight="1"/>
    <row r="342" s="31" customFormat="1" ht="15.75" customHeight="1"/>
    <row r="343" s="31" customFormat="1" ht="15.75" customHeight="1"/>
    <row r="344" s="31" customFormat="1" ht="15.75" customHeight="1"/>
    <row r="345" s="31" customFormat="1" ht="15.75" customHeight="1"/>
    <row r="346" s="31" customFormat="1" ht="15.75" customHeight="1"/>
    <row r="347" s="31" customFormat="1" ht="15.75" customHeight="1"/>
    <row r="348" s="31" customFormat="1" ht="15.75" customHeight="1"/>
    <row r="349" s="31" customFormat="1" ht="15.75" customHeight="1"/>
    <row r="350" s="31" customFormat="1" ht="15.75" customHeight="1"/>
    <row r="351" s="31" customFormat="1" ht="15.75" customHeight="1"/>
    <row r="352" s="31" customFormat="1" ht="15.75" customHeight="1"/>
    <row r="353" s="31" customFormat="1" ht="15.75" customHeight="1"/>
    <row r="354" s="31" customFormat="1" ht="15.75" customHeight="1"/>
    <row r="355" s="31" customFormat="1" ht="15.75" customHeight="1"/>
    <row r="356" s="31" customFormat="1" ht="15.75" customHeight="1"/>
    <row r="357" s="31" customFormat="1" ht="15.75" customHeight="1"/>
    <row r="358" s="31" customFormat="1" ht="15.75" customHeight="1"/>
    <row r="359" s="31" customFormat="1" ht="15.75" customHeight="1"/>
    <row r="360" s="31" customFormat="1" ht="15.75" customHeight="1"/>
    <row r="361" s="31" customFormat="1" ht="15.75" customHeight="1"/>
    <row r="362" s="31" customFormat="1" ht="15.75" customHeight="1"/>
    <row r="363" s="31" customFormat="1" ht="15.75" customHeight="1"/>
    <row r="364" s="31" customFormat="1" ht="15.75" customHeight="1"/>
    <row r="365" s="31" customFormat="1" ht="15.75" customHeight="1"/>
    <row r="366" s="31" customFormat="1" ht="15.75" customHeight="1"/>
    <row r="367" s="31" customFormat="1" ht="15.75" customHeight="1"/>
    <row r="368" s="31" customFormat="1" ht="15.75" customHeight="1"/>
    <row r="369" s="31" customFormat="1" ht="15.75" customHeight="1"/>
    <row r="370" s="31" customFormat="1" ht="15.75" customHeight="1"/>
    <row r="371" s="31" customFormat="1" ht="15.75" customHeight="1"/>
    <row r="372" s="31" customFormat="1" ht="15.75" customHeight="1"/>
    <row r="373" s="31" customFormat="1" ht="15.75" customHeight="1"/>
    <row r="374" s="31" customFormat="1" ht="15.75" customHeight="1"/>
    <row r="375" s="31" customFormat="1" ht="15.75" customHeight="1"/>
    <row r="376" s="31" customFormat="1" ht="15.75" customHeight="1"/>
    <row r="377" s="31" customFormat="1" ht="15.75" customHeight="1"/>
    <row r="378" s="31" customFormat="1" ht="15.75" customHeight="1"/>
    <row r="379" s="31" customFormat="1" ht="15.75" customHeight="1"/>
    <row r="380" s="31" customFormat="1" ht="15.75" customHeight="1"/>
    <row r="381" s="31" customFormat="1" ht="15.75" customHeight="1"/>
    <row r="382" s="31" customFormat="1" ht="15.75" customHeight="1"/>
    <row r="383" s="31" customFormat="1" ht="15.75" customHeight="1"/>
    <row r="384" s="31" customFormat="1" ht="15.75" customHeight="1"/>
    <row r="385" s="31" customFormat="1" ht="15.75" customHeight="1"/>
    <row r="386" s="31" customFormat="1" ht="15.75" customHeight="1"/>
    <row r="387" s="31" customFormat="1" ht="15.75" customHeight="1"/>
    <row r="388" s="31" customFormat="1" ht="15.75" customHeight="1"/>
    <row r="389" s="31" customFormat="1" ht="15.75" customHeight="1"/>
    <row r="390" s="31" customFormat="1" ht="15.75" customHeight="1"/>
    <row r="391" s="31" customFormat="1" ht="15.75" customHeight="1"/>
    <row r="392" s="31" customFormat="1" ht="15.75" customHeight="1"/>
    <row r="393" s="31" customFormat="1" ht="15.75" customHeight="1"/>
    <row r="394" s="31" customFormat="1" ht="15.75" customHeight="1"/>
    <row r="395" s="31" customFormat="1" ht="15.75" customHeight="1"/>
    <row r="396" s="31" customFormat="1" ht="15.75" customHeight="1"/>
    <row r="397" s="31" customFormat="1" ht="15.75" customHeight="1"/>
    <row r="398" s="31" customFormat="1" ht="15.75" customHeight="1"/>
    <row r="399" s="31" customFormat="1" ht="15.75" customHeight="1"/>
    <row r="400" s="31" customFormat="1" ht="15.75" customHeight="1"/>
    <row r="401" s="31" customFormat="1" ht="15.75" customHeight="1"/>
    <row r="402" s="31" customFormat="1" ht="15.75" customHeight="1"/>
    <row r="403" s="31" customFormat="1" ht="15.75" customHeight="1"/>
    <row r="404" s="31" customFormat="1" ht="15.75" customHeight="1"/>
    <row r="405" s="31" customFormat="1" ht="15.75" customHeight="1"/>
    <row r="406" s="31" customFormat="1" ht="15.75" customHeight="1"/>
    <row r="407" s="31" customFormat="1" ht="15.75" customHeight="1"/>
    <row r="408" s="31" customFormat="1" ht="15.75" customHeight="1"/>
    <row r="409" s="31" customFormat="1" ht="15.75" customHeight="1"/>
    <row r="410" s="31" customFormat="1" ht="15.75" customHeight="1"/>
    <row r="411" s="31" customFormat="1" ht="15.75" customHeight="1"/>
    <row r="412" s="31" customFormat="1" ht="15.75" customHeight="1"/>
    <row r="413" s="31" customFormat="1" ht="15.75" customHeight="1"/>
    <row r="414" s="31" customFormat="1" ht="15.75" customHeight="1"/>
    <row r="415" s="31" customFormat="1" ht="15.75" customHeight="1"/>
    <row r="416" s="31" customFormat="1" ht="15.75" customHeight="1"/>
    <row r="417" s="31" customFormat="1" ht="15.75" customHeight="1"/>
    <row r="418" s="31" customFormat="1" ht="15.75" customHeight="1"/>
    <row r="419" s="31" customFormat="1" ht="15.75" customHeight="1"/>
    <row r="420" s="31" customFormat="1" ht="15.75" customHeight="1"/>
    <row r="421" s="31" customFormat="1" ht="15.75" customHeight="1"/>
    <row r="422" s="31" customFormat="1" ht="15.75" customHeight="1"/>
    <row r="423" s="31" customFormat="1" ht="15.75" customHeight="1"/>
    <row r="424" s="31" customFormat="1" ht="15.75" customHeight="1"/>
    <row r="425" s="31" customFormat="1" ht="15.75" customHeight="1"/>
    <row r="426" s="31" customFormat="1" ht="15.75" customHeight="1"/>
    <row r="427" s="31" customFormat="1" ht="15.75" customHeight="1"/>
    <row r="428" s="31" customFormat="1" ht="15.75" customHeight="1"/>
    <row r="429" s="31" customFormat="1" ht="15.75" customHeight="1"/>
    <row r="430" s="31" customFormat="1" ht="15.75" customHeight="1"/>
    <row r="431" s="31" customFormat="1" ht="15.75" customHeight="1"/>
    <row r="432" s="31" customFormat="1" ht="15.75" customHeight="1"/>
    <row r="433" s="31" customFormat="1" ht="15.75" customHeight="1"/>
    <row r="434" s="31" customFormat="1" ht="15.75" customHeight="1"/>
    <row r="435" s="31" customFormat="1" ht="15.75" customHeight="1"/>
    <row r="436" s="31" customFormat="1" ht="15.75" customHeight="1"/>
    <row r="437" s="31" customFormat="1" ht="15.75" customHeight="1"/>
    <row r="438" s="31" customFormat="1" ht="15.75" customHeight="1"/>
    <row r="439" s="31" customFormat="1" ht="15.75" customHeight="1"/>
    <row r="440" s="31" customFormat="1" ht="15.75" customHeight="1"/>
    <row r="441" s="31" customFormat="1" ht="15.75" customHeight="1"/>
    <row r="442" s="31" customFormat="1" ht="15.75" customHeight="1"/>
    <row r="443" s="31" customFormat="1" ht="15.75" customHeight="1"/>
    <row r="444" s="31" customFormat="1" ht="15.75" customHeight="1"/>
    <row r="445" s="31" customFormat="1" ht="15.75" customHeight="1"/>
    <row r="446" s="31" customFormat="1" ht="15.75" customHeight="1"/>
    <row r="447" s="31" customFormat="1" ht="15.75" customHeight="1"/>
    <row r="448" s="31" customFormat="1" ht="15.75" customHeight="1"/>
    <row r="449" s="31" customFormat="1" ht="15.75" customHeight="1"/>
    <row r="450" s="31" customFormat="1" ht="15.75" customHeight="1"/>
    <row r="451" s="31" customFormat="1" ht="15.75" customHeight="1"/>
    <row r="452" s="31" customFormat="1" ht="15.75" customHeight="1"/>
    <row r="453" s="31" customFormat="1" ht="15.75" customHeight="1"/>
    <row r="454" s="31" customFormat="1" ht="15.75" customHeight="1"/>
    <row r="455" s="31" customFormat="1" ht="15.75" customHeight="1"/>
    <row r="456" s="31" customFormat="1" ht="15.75" customHeight="1"/>
    <row r="457" s="31" customFormat="1" ht="15.75" customHeight="1"/>
    <row r="458" s="31" customFormat="1" ht="15.75" customHeight="1"/>
    <row r="459" s="31" customFormat="1" ht="15.75" customHeight="1"/>
    <row r="460" s="31" customFormat="1" ht="15.75" customHeight="1"/>
    <row r="461" s="31" customFormat="1" ht="15.75" customHeight="1"/>
    <row r="462" s="31" customFormat="1" ht="15.75" customHeight="1"/>
    <row r="463" s="31" customFormat="1" ht="15.75" customHeight="1"/>
    <row r="464" s="31" customFormat="1" ht="15.75" customHeight="1"/>
    <row r="465" s="31" customFormat="1" ht="15.75" customHeight="1"/>
    <row r="466" s="31" customFormat="1" ht="15.75" customHeight="1"/>
    <row r="467" s="31" customFormat="1" ht="15.75" customHeight="1"/>
    <row r="468" s="31" customFormat="1" ht="15.75" customHeight="1"/>
    <row r="469" s="31" customFormat="1" ht="15.75" customHeight="1"/>
    <row r="470" s="31" customFormat="1" ht="15.75" customHeight="1"/>
    <row r="471" s="31" customFormat="1" ht="15.75" customHeight="1"/>
    <row r="472" s="31" customFormat="1" ht="15.75" customHeight="1"/>
    <row r="473" s="31" customFormat="1" ht="15.75" customHeight="1"/>
    <row r="474" s="31" customFormat="1" ht="15.75" customHeight="1"/>
    <row r="475" s="31" customFormat="1" ht="15.75" customHeight="1"/>
    <row r="476" s="31" customFormat="1" ht="15.75" customHeight="1"/>
    <row r="477" s="31" customFormat="1" ht="15.75" customHeight="1"/>
    <row r="478" s="31" customFormat="1" ht="15.75" customHeight="1"/>
    <row r="479" s="31" customFormat="1" ht="15.75" customHeight="1"/>
    <row r="480" s="31" customFormat="1" ht="15.75" customHeight="1"/>
    <row r="481" s="31" customFormat="1" ht="15.75" customHeight="1"/>
    <row r="482" s="31" customFormat="1" ht="15.75" customHeight="1"/>
    <row r="483" s="31" customFormat="1" ht="15.75" customHeight="1"/>
    <row r="484" s="31" customFormat="1" ht="15.75" customHeight="1"/>
    <row r="485" s="31" customFormat="1" ht="15.75" customHeight="1"/>
    <row r="486" s="31" customFormat="1" ht="15.75" customHeight="1"/>
    <row r="487" s="31" customFormat="1" ht="15.75" customHeight="1"/>
    <row r="488" s="31" customFormat="1" ht="15.75" customHeight="1"/>
    <row r="489" s="31" customFormat="1" ht="15.75" customHeight="1"/>
    <row r="490" s="31" customFormat="1" ht="15.75" customHeight="1"/>
    <row r="491" s="31" customFormat="1" ht="15.75" customHeight="1"/>
    <row r="492" s="31" customFormat="1" ht="15.75" customHeight="1"/>
    <row r="493" s="31" customFormat="1" ht="15.75" customHeight="1"/>
    <row r="494" s="31" customFormat="1" ht="15.75" customHeight="1"/>
    <row r="495" s="31" customFormat="1" ht="15.75" customHeight="1"/>
    <row r="496" s="31" customFormat="1" ht="15.75" customHeight="1"/>
    <row r="497" s="31" customFormat="1" ht="15.75" customHeight="1"/>
    <row r="498" s="31" customFormat="1" ht="15.75" customHeight="1"/>
    <row r="499" s="31" customFormat="1" ht="15.75" customHeight="1"/>
    <row r="500" s="31" customFormat="1" ht="15.75" customHeight="1"/>
    <row r="501" s="31" customFormat="1" ht="15.75" customHeight="1"/>
    <row r="502" s="31" customFormat="1" ht="15.75" customHeight="1"/>
    <row r="503" s="31" customFormat="1" ht="15.75" customHeight="1"/>
    <row r="504" s="31" customFormat="1" ht="15.75" customHeight="1"/>
    <row r="505" s="31" customFormat="1" ht="15.75" customHeight="1"/>
    <row r="506" s="31" customFormat="1" ht="15.75" customHeight="1"/>
    <row r="507" s="31" customFormat="1" ht="15.75" customHeight="1"/>
    <row r="508" s="31" customFormat="1" ht="15.75" customHeight="1"/>
    <row r="509" s="31" customFormat="1" ht="15.75" customHeight="1"/>
    <row r="510" s="31" customFormat="1" ht="15.75" customHeight="1"/>
    <row r="511" s="31" customFormat="1" ht="15.75" customHeight="1"/>
    <row r="512" s="31" customFormat="1" ht="15.75" customHeight="1"/>
    <row r="513" s="31" customFormat="1" ht="15.75" customHeight="1"/>
    <row r="514" s="31" customFormat="1" ht="15.75" customHeight="1"/>
    <row r="515" s="31" customFormat="1" ht="15.75" customHeight="1"/>
    <row r="516" s="31" customFormat="1" ht="15.75" customHeight="1"/>
    <row r="517" s="31" customFormat="1" ht="15.75" customHeight="1"/>
    <row r="518" s="31" customFormat="1" ht="15.75" customHeight="1"/>
    <row r="519" s="31" customFormat="1" ht="15.75" customHeight="1"/>
    <row r="520" s="31" customFormat="1" ht="15.75" customHeight="1"/>
    <row r="521" s="31" customFormat="1" ht="15.75" customHeight="1"/>
    <row r="522" s="31" customFormat="1" ht="15.75" customHeight="1"/>
    <row r="523" s="31" customFormat="1" ht="15.75" customHeight="1"/>
    <row r="524" s="31" customFormat="1" ht="15.75" customHeight="1"/>
    <row r="525" s="31" customFormat="1" ht="15.75" customHeight="1"/>
    <row r="526" s="31" customFormat="1" ht="15.75" customHeight="1"/>
    <row r="527" s="31" customFormat="1" ht="15.75" customHeight="1"/>
    <row r="528" s="31" customFormat="1" ht="15.75" customHeight="1"/>
    <row r="529" s="31" customFormat="1" ht="15.75" customHeight="1"/>
    <row r="530" s="31" customFormat="1" ht="15.75" customHeight="1"/>
    <row r="531" s="31" customFormat="1" ht="15.75" customHeight="1"/>
    <row r="532" s="31" customFormat="1" ht="15.75" customHeight="1"/>
    <row r="533" s="31" customFormat="1" ht="15.75" customHeight="1"/>
    <row r="534" s="31" customFormat="1" ht="15.75" customHeight="1"/>
    <row r="535" s="31" customFormat="1" ht="15.75" customHeight="1"/>
    <row r="536" s="31" customFormat="1" ht="15.75" customHeight="1"/>
    <row r="537" s="31" customFormat="1" ht="15.75" customHeight="1"/>
    <row r="538" s="31" customFormat="1" ht="15.75" customHeight="1"/>
    <row r="539" s="31" customFormat="1" ht="15.75" customHeight="1"/>
    <row r="540" s="31" customFormat="1" ht="15.75" customHeight="1"/>
    <row r="541" s="31" customFormat="1" ht="15.75" customHeight="1"/>
    <row r="542" s="31" customFormat="1" ht="15.75" customHeight="1"/>
    <row r="543" s="31" customFormat="1" ht="15.75" customHeight="1"/>
    <row r="544" s="31" customFormat="1" ht="15.75" customHeight="1"/>
    <row r="545" s="31" customFormat="1" ht="15.75" customHeight="1"/>
    <row r="546" s="31" customFormat="1" ht="15.75" customHeight="1"/>
    <row r="547" s="31" customFormat="1" ht="15.75" customHeight="1"/>
    <row r="548" s="31" customFormat="1" ht="15.75" customHeight="1"/>
    <row r="549" s="31" customFormat="1" ht="15.75" customHeight="1"/>
    <row r="550" s="31" customFormat="1" ht="15.75" customHeight="1"/>
    <row r="551" s="31" customFormat="1" ht="15.75" customHeight="1"/>
    <row r="552" s="31" customFormat="1" ht="15.75" customHeight="1"/>
    <row r="553" s="31" customFormat="1" ht="15.75" customHeight="1"/>
    <row r="554" s="31" customFormat="1" ht="15.75" customHeight="1"/>
    <row r="555" s="31" customFormat="1" ht="15.75" customHeight="1"/>
    <row r="556" s="31" customFormat="1" ht="15.75" customHeight="1"/>
    <row r="557" s="31" customFormat="1" ht="15.75" customHeight="1"/>
    <row r="558" s="31" customFormat="1" ht="15.75" customHeight="1"/>
    <row r="559" s="31" customFormat="1" ht="15.75" customHeight="1"/>
    <row r="560" s="31" customFormat="1" ht="15.75" customHeight="1"/>
    <row r="561" s="31" customFormat="1" ht="15.75" customHeight="1"/>
    <row r="562" s="31" customFormat="1" ht="15.75" customHeight="1"/>
    <row r="563" s="31" customFormat="1" ht="15.75" customHeight="1"/>
    <row r="564" s="31" customFormat="1" ht="15.75" customHeight="1"/>
    <row r="565" s="31" customFormat="1" ht="15.75" customHeight="1"/>
    <row r="566" s="31" customFormat="1" ht="15.75" customHeight="1"/>
    <row r="567" s="31" customFormat="1" ht="15.75" customHeight="1"/>
    <row r="568" s="31" customFormat="1" ht="15.75" customHeight="1"/>
    <row r="569" s="31" customFormat="1" ht="15.75" customHeight="1"/>
    <row r="570" s="31" customFormat="1" ht="15.75" customHeight="1"/>
    <row r="571" s="31" customFormat="1" ht="15.75" customHeight="1"/>
    <row r="572" s="31" customFormat="1" ht="15.75" customHeight="1"/>
    <row r="573" s="31" customFormat="1" ht="15.75" customHeight="1"/>
    <row r="574" s="31" customFormat="1" ht="15.75" customHeight="1"/>
    <row r="575" s="31" customFormat="1" ht="15.75" customHeight="1"/>
    <row r="576" s="31" customFormat="1" ht="15.75" customHeight="1"/>
    <row r="577" s="31" customFormat="1" ht="15.75" customHeight="1"/>
    <row r="578" s="31" customFormat="1" ht="15.75" customHeight="1"/>
    <row r="579" s="31" customFormat="1" ht="15.75" customHeight="1"/>
    <row r="580" s="31" customFormat="1" ht="15.75" customHeight="1"/>
    <row r="581" s="31" customFormat="1" ht="15.75" customHeight="1"/>
    <row r="582" s="31" customFormat="1" ht="15.75" customHeight="1"/>
    <row r="583" s="31" customFormat="1" ht="15.75" customHeight="1"/>
    <row r="584" s="31" customFormat="1" ht="15.75" customHeight="1"/>
    <row r="585" s="31" customFormat="1" ht="15.75" customHeight="1"/>
    <row r="586" s="31" customFormat="1" ht="15.75" customHeight="1"/>
    <row r="587" s="31" customFormat="1" ht="15.75" customHeight="1"/>
    <row r="588" s="31" customFormat="1" ht="15.75" customHeight="1"/>
    <row r="589" s="31" customFormat="1" ht="15.75" customHeight="1"/>
    <row r="590" s="31" customFormat="1" ht="15.75" customHeight="1"/>
    <row r="591" s="31" customFormat="1" ht="15.75" customHeight="1"/>
    <row r="592" s="31" customFormat="1" ht="15.75" customHeight="1"/>
    <row r="593" s="31" customFormat="1" ht="15.75" customHeight="1"/>
    <row r="594" s="31" customFormat="1" ht="15.75" customHeight="1"/>
    <row r="595" s="31" customFormat="1" ht="15.75" customHeight="1"/>
    <row r="596" s="31" customFormat="1" ht="15.75" customHeight="1"/>
    <row r="597" s="31" customFormat="1" ht="15.75" customHeight="1"/>
    <row r="598" s="31" customFormat="1" ht="15.75" customHeight="1"/>
    <row r="599" s="31" customFormat="1" ht="15.75" customHeight="1"/>
    <row r="600" s="31" customFormat="1" ht="15.75" customHeight="1"/>
    <row r="601" s="31" customFormat="1" ht="15.75" customHeight="1"/>
    <row r="602" s="31" customFormat="1" ht="15.75" customHeight="1"/>
    <row r="603" s="31" customFormat="1" ht="15.75" customHeight="1"/>
    <row r="604" s="31" customFormat="1" ht="15.75" customHeight="1"/>
    <row r="605" s="31" customFormat="1" ht="15.75" customHeight="1"/>
    <row r="606" s="31" customFormat="1" ht="15.75" customHeight="1"/>
    <row r="607" s="31" customFormat="1" ht="15.75" customHeight="1"/>
    <row r="608" s="31" customFormat="1" ht="15.75" customHeight="1"/>
    <row r="609" s="31" customFormat="1" ht="15.75" customHeight="1"/>
    <row r="610" s="31" customFormat="1" ht="15.75" customHeight="1"/>
    <row r="611" s="31" customFormat="1" ht="15.75" customHeight="1"/>
    <row r="612" s="31" customFormat="1" ht="15.75" customHeight="1"/>
    <row r="613" s="31" customFormat="1" ht="15.75" customHeight="1"/>
    <row r="614" s="31" customFormat="1" ht="15.75" customHeight="1"/>
    <row r="615" s="31" customFormat="1" ht="15.75" customHeight="1"/>
    <row r="616" s="31" customFormat="1" ht="15.75" customHeight="1"/>
    <row r="617" s="31" customFormat="1" ht="15.75" customHeight="1"/>
    <row r="618" s="31" customFormat="1" ht="15.75" customHeight="1"/>
    <row r="619" s="31" customFormat="1" ht="15.75" customHeight="1"/>
    <row r="620" s="31" customFormat="1" ht="15.75" customHeight="1"/>
    <row r="621" s="31" customFormat="1" ht="15.75" customHeight="1"/>
    <row r="622" s="31" customFormat="1" ht="15.75" customHeight="1"/>
    <row r="623" s="31" customFormat="1" ht="15.75" customHeight="1"/>
    <row r="624" s="31" customFormat="1" ht="15.75" customHeight="1"/>
    <row r="625" s="31" customFormat="1" ht="15.75" customHeight="1"/>
    <row r="626" s="31" customFormat="1" ht="15.75" customHeight="1"/>
    <row r="627" s="31" customFormat="1" ht="15.75" customHeight="1"/>
    <row r="628" s="31" customFormat="1" ht="15.75" customHeight="1"/>
    <row r="629" s="31" customFormat="1" ht="15.75" customHeight="1"/>
    <row r="630" s="31" customFormat="1" ht="15.75" customHeight="1"/>
    <row r="631" s="31" customFormat="1" ht="15.75" customHeight="1"/>
    <row r="632" s="31" customFormat="1" ht="15.75" customHeight="1"/>
    <row r="633" s="31" customFormat="1" ht="15.75" customHeight="1"/>
    <row r="634" s="31" customFormat="1" ht="15.75" customHeight="1"/>
    <row r="635" s="31" customFormat="1" ht="15.75" customHeight="1"/>
    <row r="636" s="31" customFormat="1" ht="15.75" customHeight="1"/>
    <row r="637" s="31" customFormat="1" ht="15.75" customHeight="1"/>
    <row r="638" s="31" customFormat="1" ht="15.75" customHeight="1"/>
    <row r="639" s="31" customFormat="1" ht="15.75" customHeight="1"/>
    <row r="640" s="31" customFormat="1" ht="15.75" customHeight="1"/>
    <row r="641" s="31" customFormat="1" ht="15.75" customHeight="1"/>
    <row r="642" s="31" customFormat="1" ht="15.75" customHeight="1"/>
    <row r="643" s="31" customFormat="1" ht="15.75" customHeight="1"/>
    <row r="644" s="31" customFormat="1" ht="15.75" customHeight="1"/>
    <row r="645" s="31" customFormat="1" ht="15.75" customHeight="1"/>
    <row r="646" s="31" customFormat="1" ht="15.75" customHeight="1"/>
    <row r="647" s="31" customFormat="1" ht="15.75" customHeight="1"/>
    <row r="648" s="31" customFormat="1" ht="15.75" customHeight="1"/>
    <row r="649" s="31" customFormat="1" ht="15.75" customHeight="1"/>
    <row r="650" s="31" customFormat="1" ht="15.75" customHeight="1"/>
    <row r="651" s="31" customFormat="1" ht="15.75" customHeight="1"/>
    <row r="652" s="31" customFormat="1" ht="15.75" customHeight="1"/>
    <row r="653" s="31" customFormat="1" ht="15.75" customHeight="1"/>
    <row r="654" s="31" customFormat="1" ht="15.75" customHeight="1"/>
    <row r="655" s="31" customFormat="1" ht="15.75" customHeight="1"/>
    <row r="656" s="31" customFormat="1" ht="15.75" customHeight="1"/>
    <row r="657" s="31" customFormat="1" ht="15.75" customHeight="1"/>
    <row r="658" s="31" customFormat="1" ht="15.75" customHeight="1"/>
    <row r="659" s="31" customFormat="1" ht="15.75" customHeight="1"/>
    <row r="660" s="31" customFormat="1" ht="15.75" customHeight="1"/>
    <row r="661" s="31" customFormat="1" ht="15.75" customHeight="1"/>
    <row r="662" s="31" customFormat="1" ht="15.75" customHeight="1"/>
    <row r="663" s="31" customFormat="1" ht="15.75" customHeight="1"/>
    <row r="664" s="31" customFormat="1" ht="15.75" customHeight="1"/>
    <row r="665" s="31" customFormat="1" ht="15.75" customHeight="1"/>
    <row r="666" s="31" customFormat="1" ht="15.75" customHeight="1"/>
    <row r="667" s="31" customFormat="1" ht="15.75" customHeight="1"/>
    <row r="668" s="31" customFormat="1" ht="15.75" customHeight="1"/>
    <row r="669" s="31" customFormat="1" ht="15.75" customHeight="1"/>
    <row r="670" s="31" customFormat="1" ht="15.75" customHeight="1"/>
    <row r="671" s="31" customFormat="1" ht="15.75" customHeight="1"/>
    <row r="672" s="31" customFormat="1" ht="15.75" customHeight="1"/>
    <row r="673" s="31" customFormat="1" ht="15.75" customHeight="1"/>
    <row r="674" s="31" customFormat="1" ht="15.75" customHeight="1"/>
    <row r="675" s="31" customFormat="1" ht="15.75" customHeight="1"/>
    <row r="676" s="31" customFormat="1" ht="15.75" customHeight="1"/>
    <row r="677" s="31" customFormat="1" ht="15.75" customHeight="1"/>
    <row r="678" s="31" customFormat="1" ht="15.75" customHeight="1"/>
    <row r="679" s="31" customFormat="1" ht="15.75" customHeight="1"/>
    <row r="680" s="31" customFormat="1" ht="15.75" customHeight="1"/>
    <row r="681" s="31" customFormat="1" ht="15.75" customHeight="1"/>
    <row r="682" s="31" customFormat="1" ht="15.75" customHeight="1"/>
    <row r="683" s="31" customFormat="1" ht="15.75" customHeight="1"/>
    <row r="684" s="31" customFormat="1" ht="15.75" customHeight="1"/>
    <row r="685" s="31" customFormat="1" ht="15.75" customHeight="1"/>
    <row r="686" s="31" customFormat="1" ht="15.75" customHeight="1"/>
    <row r="687" s="31" customFormat="1" ht="15.75" customHeight="1"/>
    <row r="688" s="31" customFormat="1" ht="15.75" customHeight="1"/>
    <row r="689" s="31" customFormat="1" ht="15.75" customHeight="1"/>
    <row r="690" s="31" customFormat="1" ht="15.75" customHeight="1"/>
    <row r="691" s="31" customFormat="1" ht="15.75" customHeight="1"/>
    <row r="692" s="31" customFormat="1" ht="15.75" customHeight="1"/>
    <row r="693" s="31" customFormat="1" ht="15.75" customHeight="1"/>
    <row r="694" s="31" customFormat="1" ht="15.75" customHeight="1"/>
    <row r="695" s="31" customFormat="1" ht="15.75" customHeight="1"/>
    <row r="696" s="31" customFormat="1" ht="15.75" customHeight="1"/>
    <row r="697" s="31" customFormat="1" ht="15.75" customHeight="1"/>
    <row r="698" s="31" customFormat="1" ht="15.75" customHeight="1"/>
    <row r="699" s="31" customFormat="1" ht="15.75" customHeight="1"/>
    <row r="700" s="31" customFormat="1" ht="15.75" customHeight="1"/>
    <row r="701" s="31" customFormat="1" ht="15.75" customHeight="1"/>
    <row r="702" s="31" customFormat="1" ht="15.75" customHeight="1"/>
    <row r="703" s="31" customFormat="1" ht="15.75" customHeight="1"/>
    <row r="704" s="31" customFormat="1" ht="15.75" customHeight="1"/>
    <row r="705" s="31" customFormat="1" ht="15.75" customHeight="1"/>
    <row r="706" s="31" customFormat="1" ht="15.75" customHeight="1"/>
    <row r="707" s="31" customFormat="1" ht="15.75" customHeight="1"/>
    <row r="708" s="31" customFormat="1" ht="15.75" customHeight="1"/>
    <row r="709" s="31" customFormat="1" ht="15.75" customHeight="1"/>
    <row r="710" s="31" customFormat="1" ht="15.75" customHeight="1"/>
    <row r="711" s="31" customFormat="1" ht="15.75" customHeight="1"/>
    <row r="712" s="31" customFormat="1" ht="15.75" customHeight="1"/>
    <row r="713" s="31" customFormat="1" ht="15.75" customHeight="1"/>
    <row r="714" s="31" customFormat="1" ht="15.75" customHeight="1"/>
    <row r="715" s="31" customFormat="1" ht="15.75" customHeight="1"/>
    <row r="716" s="31" customFormat="1" ht="15.75" customHeight="1"/>
    <row r="717" s="31" customFormat="1" ht="15.75" customHeight="1"/>
    <row r="718" s="31" customFormat="1" ht="15.75" customHeight="1"/>
    <row r="719" s="31" customFormat="1" ht="15.75" customHeight="1"/>
    <row r="720" s="31" customFormat="1" ht="15.75" customHeight="1"/>
    <row r="721" s="31" customFormat="1" ht="15.75" customHeight="1"/>
    <row r="722" s="31" customFormat="1" ht="15.75" customHeight="1"/>
    <row r="723" s="31" customFormat="1" ht="15.75" customHeight="1"/>
    <row r="724" s="31" customFormat="1" ht="15.75" customHeight="1"/>
    <row r="725" s="31" customFormat="1" ht="15.75" customHeight="1"/>
    <row r="726" s="31" customFormat="1" ht="15.75" customHeight="1"/>
    <row r="727" s="31" customFormat="1" ht="15.75" customHeight="1"/>
    <row r="728" s="31" customFormat="1" ht="15.75" customHeight="1"/>
    <row r="729" s="31" customFormat="1" ht="15.75" customHeight="1"/>
    <row r="730" s="31" customFormat="1" ht="15.75" customHeight="1"/>
    <row r="731" s="31" customFormat="1" ht="15.75" customHeight="1"/>
    <row r="732" s="31" customFormat="1" ht="15.75" customHeight="1"/>
    <row r="733" s="31" customFormat="1" ht="15.75" customHeight="1"/>
    <row r="734" s="31" customFormat="1" ht="15.75" customHeight="1"/>
    <row r="735" s="31" customFormat="1" ht="15.75" customHeight="1"/>
    <row r="736" s="31" customFormat="1" ht="15.75" customHeight="1"/>
    <row r="737" s="31" customFormat="1" ht="15.75" customHeight="1"/>
    <row r="738" s="31" customFormat="1" ht="15.75" customHeight="1"/>
    <row r="739" s="31" customFormat="1" ht="15.75" customHeight="1"/>
    <row r="740" s="31" customFormat="1" ht="15.75" customHeight="1"/>
    <row r="741" s="31" customFormat="1" ht="15.75" customHeight="1"/>
    <row r="742" s="31" customFormat="1" ht="15.75" customHeight="1"/>
    <row r="743" s="31" customFormat="1" ht="15.75" customHeight="1"/>
    <row r="744" s="31" customFormat="1" ht="15.75" customHeight="1"/>
    <row r="745" s="31" customFormat="1" ht="15.75" customHeight="1"/>
    <row r="746" s="31" customFormat="1" ht="15.75" customHeight="1"/>
    <row r="747" s="31" customFormat="1" ht="15.75" customHeight="1"/>
    <row r="748" s="31" customFormat="1" ht="15.75" customHeight="1"/>
    <row r="749" s="31" customFormat="1" ht="15.75" customHeight="1"/>
    <row r="750" s="31" customFormat="1" ht="15.75" customHeight="1"/>
    <row r="751" s="31" customFormat="1" ht="15.75" customHeight="1"/>
    <row r="752" s="31" customFormat="1" ht="15.75" customHeight="1"/>
    <row r="753" s="31" customFormat="1" ht="15.75" customHeight="1"/>
    <row r="754" s="31" customFormat="1" ht="15.75" customHeight="1"/>
    <row r="755" s="31" customFormat="1" ht="15.75" customHeight="1"/>
    <row r="756" s="31" customFormat="1" ht="15.75" customHeight="1"/>
    <row r="757" s="31" customFormat="1" ht="15.75" customHeight="1"/>
    <row r="758" s="31" customFormat="1" ht="15.75" customHeight="1"/>
    <row r="759" s="31" customFormat="1" ht="15.75" customHeight="1"/>
    <row r="760" s="31" customFormat="1" ht="15.75" customHeight="1"/>
    <row r="761" s="31" customFormat="1" ht="15.75" customHeight="1"/>
    <row r="762" s="31" customFormat="1" ht="15.75" customHeight="1"/>
    <row r="763" s="31" customFormat="1" ht="15.75" customHeight="1"/>
    <row r="764" s="31" customFormat="1" ht="15.75" customHeight="1"/>
    <row r="765" s="31" customFormat="1" ht="15.75" customHeight="1"/>
    <row r="766" s="31" customFormat="1" ht="15.75" customHeight="1"/>
    <row r="767" s="31" customFormat="1" ht="15.75" customHeight="1"/>
    <row r="768" s="31" customFormat="1" ht="15.75" customHeight="1"/>
    <row r="769" s="31" customFormat="1" ht="15.75" customHeight="1"/>
    <row r="770" s="31" customFormat="1" ht="15.75" customHeight="1"/>
    <row r="771" s="31" customFormat="1" ht="15.75" customHeight="1"/>
    <row r="772" s="31" customFormat="1" ht="15.75" customHeight="1"/>
    <row r="773" s="31" customFormat="1" ht="15.75" customHeight="1"/>
    <row r="774" s="31" customFormat="1" ht="15.75" customHeight="1"/>
    <row r="775" s="31" customFormat="1" ht="15.75" customHeight="1"/>
    <row r="776" s="31" customFormat="1" ht="15.75" customHeight="1"/>
    <row r="777" s="31" customFormat="1" ht="15.75" customHeight="1"/>
    <row r="778" s="31" customFormat="1" ht="15.75" customHeight="1"/>
    <row r="779" s="31" customFormat="1" ht="15.75" customHeight="1"/>
    <row r="780" s="31" customFormat="1" ht="15.75" customHeight="1"/>
    <row r="781" s="31" customFormat="1" ht="15.75" customHeight="1"/>
    <row r="782" s="31" customFormat="1" ht="15.75" customHeight="1"/>
    <row r="783" s="31" customFormat="1" ht="15.75" customHeight="1"/>
    <row r="784" s="31" customFormat="1" ht="15.75" customHeight="1"/>
    <row r="785" s="31" customFormat="1" ht="15.75" customHeight="1"/>
    <row r="786" s="31" customFormat="1" ht="15.75" customHeight="1"/>
    <row r="787" s="31" customFormat="1" ht="15.75" customHeight="1"/>
    <row r="788" s="31" customFormat="1" ht="15.75" customHeight="1"/>
    <row r="789" s="31" customFormat="1" ht="15.75" customHeight="1"/>
    <row r="790" s="31" customFormat="1" ht="15.75" customHeight="1"/>
    <row r="791" s="31" customFormat="1" ht="15.75" customHeight="1"/>
    <row r="792" s="31" customFormat="1" ht="15.75" customHeight="1"/>
    <row r="793" s="31" customFormat="1" ht="15.75" customHeight="1"/>
    <row r="794" s="31" customFormat="1" ht="15.75" customHeight="1"/>
    <row r="795" s="31" customFormat="1" ht="15.75" customHeight="1"/>
    <row r="796" s="31" customFormat="1" ht="15.75" customHeight="1"/>
    <row r="797" s="31" customFormat="1" ht="15.75" customHeight="1"/>
    <row r="798" s="31" customFormat="1" ht="15.75" customHeight="1"/>
    <row r="799" s="31" customFormat="1" ht="15.75" customHeight="1"/>
    <row r="800" s="31" customFormat="1" ht="15.75" customHeight="1"/>
    <row r="801" s="31" customFormat="1" ht="15.75" customHeight="1"/>
    <row r="802" s="31" customFormat="1" ht="15.75" customHeight="1"/>
    <row r="803" s="31" customFormat="1" ht="15.75" customHeight="1"/>
    <row r="804" s="31" customFormat="1" ht="15.75" customHeight="1"/>
    <row r="805" s="31" customFormat="1" ht="15.75" customHeight="1"/>
    <row r="806" s="31" customFormat="1" ht="15.75" customHeight="1"/>
    <row r="807" s="31" customFormat="1" ht="15.75" customHeight="1"/>
    <row r="808" s="31" customFormat="1" ht="15.75" customHeight="1"/>
    <row r="809" s="31" customFormat="1" ht="15.75" customHeight="1"/>
    <row r="810" s="31" customFormat="1" ht="15.75" customHeight="1"/>
    <row r="811" s="31" customFormat="1" ht="15.75" customHeight="1"/>
    <row r="812" s="31" customFormat="1" ht="15.75" customHeight="1"/>
    <row r="813" s="31" customFormat="1" ht="15.75" customHeight="1"/>
    <row r="814" s="31" customFormat="1" ht="15.75" customHeight="1"/>
    <row r="815" s="31" customFormat="1" ht="15.75" customHeight="1"/>
    <row r="816" s="31" customFormat="1" ht="15.75" customHeight="1"/>
    <row r="817" s="31" customFormat="1" ht="15.75" customHeight="1"/>
    <row r="818" s="31" customFormat="1" ht="15.75" customHeight="1"/>
    <row r="819" s="31" customFormat="1" ht="15.75" customHeight="1"/>
    <row r="820" s="31" customFormat="1" ht="15.75" customHeight="1"/>
    <row r="821" s="31" customFormat="1" ht="15.75" customHeight="1"/>
    <row r="822" s="31" customFormat="1" ht="15.75" customHeight="1"/>
    <row r="823" s="31" customFormat="1" ht="15.75" customHeight="1"/>
    <row r="824" s="31" customFormat="1" ht="15.75" customHeight="1"/>
    <row r="825" s="31" customFormat="1" ht="15.75" customHeight="1"/>
    <row r="826" s="31" customFormat="1" ht="15.75" customHeight="1"/>
    <row r="827" s="31" customFormat="1" ht="15.75" customHeight="1"/>
    <row r="828" s="31" customFormat="1" ht="15.75" customHeight="1"/>
    <row r="829" s="31" customFormat="1" ht="15.75" customHeight="1"/>
    <row r="830" s="31" customFormat="1" ht="15.75" customHeight="1"/>
    <row r="831" s="31" customFormat="1" ht="15.75" customHeight="1"/>
    <row r="832" s="31" customFormat="1" ht="15.75" customHeight="1"/>
    <row r="833" s="31" customFormat="1" ht="15.75" customHeight="1"/>
    <row r="834" s="31" customFormat="1" ht="15.75" customHeight="1"/>
    <row r="835" s="31" customFormat="1" ht="15.75" customHeight="1"/>
    <row r="836" s="31" customFormat="1" ht="15.75" customHeight="1"/>
    <row r="837" s="31" customFormat="1" ht="15.75" customHeight="1"/>
    <row r="838" s="31" customFormat="1" ht="15.75" customHeight="1"/>
    <row r="839" s="31" customFormat="1" ht="15.75" customHeight="1"/>
    <row r="840" s="31" customFormat="1" ht="15.75" customHeight="1"/>
    <row r="841" s="31" customFormat="1" ht="15.75" customHeight="1"/>
    <row r="842" s="31" customFormat="1" ht="15.75" customHeight="1"/>
    <row r="843" s="31" customFormat="1" ht="15.75" customHeight="1"/>
    <row r="844" s="31" customFormat="1" ht="15.75" customHeight="1"/>
    <row r="845" s="31" customFormat="1" ht="15.75" customHeight="1"/>
    <row r="846" s="31" customFormat="1" ht="15.75" customHeight="1"/>
    <row r="847" s="31" customFormat="1" ht="15.75" customHeight="1"/>
    <row r="848" s="31" customFormat="1" ht="15.75" customHeight="1"/>
    <row r="849" s="31" customFormat="1" ht="15.75" customHeight="1"/>
    <row r="850" s="31" customFormat="1" ht="15.75" customHeight="1"/>
    <row r="851" s="31" customFormat="1" ht="15.75" customHeight="1"/>
    <row r="852" s="31" customFormat="1" ht="15.75" customHeight="1"/>
    <row r="853" s="31" customFormat="1" ht="15.75" customHeight="1"/>
    <row r="854" s="31" customFormat="1" ht="15.75" customHeight="1"/>
    <row r="855" s="31" customFormat="1" ht="15.75" customHeight="1"/>
    <row r="856" s="31" customFormat="1" ht="15.75" customHeight="1"/>
    <row r="857" s="31" customFormat="1" ht="15.75" customHeight="1"/>
    <row r="858" s="31" customFormat="1" ht="15.75" customHeight="1"/>
    <row r="859" s="31" customFormat="1" ht="15.75" customHeight="1"/>
    <row r="860" s="31" customFormat="1" ht="15.75" customHeight="1"/>
    <row r="861" s="31" customFormat="1" ht="15.75" customHeight="1"/>
    <row r="862" s="31" customFormat="1" ht="15.75" customHeight="1"/>
    <row r="863" s="31" customFormat="1" ht="15.75" customHeight="1"/>
    <row r="864" s="31" customFormat="1" ht="15.75" customHeight="1"/>
    <row r="865" s="31" customFormat="1" ht="15.75" customHeight="1"/>
    <row r="866" s="31" customFormat="1" ht="15.75" customHeight="1"/>
    <row r="867" s="31" customFormat="1" ht="15.75" customHeight="1"/>
    <row r="868" s="31" customFormat="1" ht="15.75" customHeight="1"/>
    <row r="869" s="31" customFormat="1" ht="15.75" customHeight="1"/>
    <row r="870" s="31" customFormat="1" ht="15.75" customHeight="1"/>
    <row r="871" s="31" customFormat="1" ht="15.75" customHeight="1"/>
    <row r="872" s="31" customFormat="1" ht="15.75" customHeight="1"/>
    <row r="873" s="31" customFormat="1" ht="15.75" customHeight="1"/>
    <row r="874" s="31" customFormat="1" ht="15.75" customHeight="1"/>
    <row r="875" s="31" customFormat="1" ht="15.75" customHeight="1"/>
    <row r="876" s="31" customFormat="1" ht="15.75" customHeight="1"/>
    <row r="877" s="31" customFormat="1" ht="15.75" customHeight="1"/>
    <row r="878" s="31" customFormat="1" ht="15.75" customHeight="1"/>
    <row r="879" s="31" customFormat="1" ht="15.75" customHeight="1"/>
    <row r="880" s="31" customFormat="1" ht="15.75" customHeight="1"/>
    <row r="881" s="31" customFormat="1" ht="15.75" customHeight="1"/>
    <row r="882" s="31" customFormat="1" ht="15.75" customHeight="1"/>
    <row r="883" s="31" customFormat="1" ht="15.75" customHeight="1"/>
    <row r="884" s="31" customFormat="1" ht="15.75" customHeight="1"/>
    <row r="885" s="31" customFormat="1" ht="15.75" customHeight="1"/>
    <row r="886" s="31" customFormat="1" ht="15.75" customHeight="1"/>
    <row r="887" s="31" customFormat="1" ht="15.75" customHeight="1"/>
    <row r="888" s="31" customFormat="1" ht="15.75" customHeight="1"/>
    <row r="889" s="31" customFormat="1" ht="15.75" customHeight="1"/>
    <row r="890" s="31" customFormat="1" ht="15.75" customHeight="1"/>
    <row r="891" s="31" customFormat="1" ht="15.75" customHeight="1"/>
    <row r="892" s="31" customFormat="1" ht="15.75" customHeight="1"/>
    <row r="893" s="31" customFormat="1" ht="15.75" customHeight="1"/>
    <row r="894" s="31" customFormat="1" ht="15.75" customHeight="1"/>
    <row r="895" s="31" customFormat="1" ht="15.75" customHeight="1"/>
    <row r="896" s="31" customFormat="1" ht="15.75" customHeight="1"/>
    <row r="897" s="31" customFormat="1" ht="15.75" customHeight="1"/>
    <row r="898" s="31" customFormat="1" ht="15.75" customHeight="1"/>
    <row r="899" s="31" customFormat="1" ht="15.75" customHeight="1"/>
    <row r="900" s="31" customFormat="1" ht="15.75" customHeight="1"/>
    <row r="901" s="31" customFormat="1" ht="15.75" customHeight="1"/>
    <row r="902" s="31" customFormat="1" ht="15.75" customHeight="1"/>
    <row r="903" s="31" customFormat="1" ht="15.75" customHeight="1"/>
    <row r="904" s="31" customFormat="1" ht="15.75" customHeight="1"/>
    <row r="905" s="31" customFormat="1" ht="15.75" customHeight="1"/>
    <row r="906" s="31" customFormat="1" ht="15.75" customHeight="1"/>
    <row r="907" s="31" customFormat="1" ht="15.75" customHeight="1"/>
    <row r="908" s="31" customFormat="1" ht="15.75" customHeight="1"/>
    <row r="909" s="31" customFormat="1" ht="15.75" customHeight="1"/>
    <row r="910" s="31" customFormat="1" ht="15.75" customHeight="1"/>
    <row r="911" s="31" customFormat="1" ht="15.75" customHeight="1"/>
    <row r="912" s="31" customFormat="1" ht="15.75" customHeight="1"/>
    <row r="913" s="31" customFormat="1" ht="15.75" customHeight="1"/>
    <row r="914" s="31" customFormat="1" ht="15.75" customHeight="1"/>
    <row r="915" s="31" customFormat="1" ht="15.75" customHeight="1"/>
    <row r="916" s="31" customFormat="1" ht="15.75" customHeight="1"/>
    <row r="917" s="31" customFormat="1" ht="15.75" customHeight="1"/>
    <row r="918" s="31" customFormat="1" ht="15.75" customHeight="1"/>
    <row r="919" s="31" customFormat="1" ht="15.75" customHeight="1"/>
    <row r="920" s="31" customFormat="1" ht="15.75" customHeight="1"/>
    <row r="921" s="31" customFormat="1" ht="15.75" customHeight="1"/>
    <row r="922" s="31" customFormat="1" ht="15.75" customHeight="1"/>
    <row r="923" s="31" customFormat="1" ht="15.75" customHeight="1"/>
    <row r="924" s="31" customFormat="1" ht="15.75" customHeight="1"/>
    <row r="925" s="31" customFormat="1" ht="15.75" customHeight="1"/>
    <row r="926" s="31" customFormat="1" ht="15.75" customHeight="1"/>
    <row r="927" s="31" customFormat="1" ht="15.75" customHeight="1"/>
    <row r="928" s="31" customFormat="1" ht="15.75" customHeight="1"/>
    <row r="929" s="31" customFormat="1" ht="15.75" customHeight="1"/>
    <row r="930" s="31" customFormat="1" ht="15.75" customHeight="1"/>
    <row r="931" s="31" customFormat="1" ht="15.75" customHeight="1"/>
    <row r="932" s="31" customFormat="1" ht="15.75" customHeight="1"/>
    <row r="933" s="31" customFormat="1" ht="15.75" customHeight="1"/>
    <row r="934" s="31" customFormat="1" ht="15.75" customHeight="1"/>
    <row r="935" s="31" customFormat="1" ht="15.75" customHeight="1"/>
    <row r="936" s="31" customFormat="1" ht="15.75" customHeight="1"/>
    <row r="937" s="31" customFormat="1" ht="15.75" customHeight="1"/>
    <row r="938" s="31" customFormat="1" ht="15.75" customHeight="1"/>
    <row r="939" s="31" customFormat="1" ht="15.75" customHeight="1"/>
    <row r="940" s="31" customFormat="1" ht="15.75" customHeight="1"/>
    <row r="941" s="31" customFormat="1" ht="15.75" customHeight="1"/>
    <row r="942" s="31" customFormat="1" ht="15.75" customHeight="1"/>
    <row r="943" s="31" customFormat="1" ht="15.75" customHeight="1"/>
    <row r="944" s="31" customFormat="1" ht="15.75" customHeight="1"/>
    <row r="945" s="31" customFormat="1" ht="15.75" customHeight="1"/>
    <row r="946" s="31" customFormat="1" ht="15.75" customHeight="1"/>
    <row r="947" s="31" customFormat="1" ht="15.75" customHeight="1"/>
    <row r="948" s="31" customFormat="1" ht="15.75" customHeight="1"/>
    <row r="949" s="31" customFormat="1" ht="15.75" customHeight="1"/>
    <row r="950" s="31" customFormat="1" ht="15.75" customHeight="1"/>
    <row r="951" s="31" customFormat="1" ht="15.75" customHeight="1"/>
    <row r="952" s="31" customFormat="1" ht="15.75" customHeight="1"/>
    <row r="953" s="31" customFormat="1" ht="15.75" customHeight="1"/>
    <row r="954" s="31" customFormat="1" ht="15.75" customHeight="1"/>
    <row r="955" s="31" customFormat="1" ht="15.75" customHeight="1"/>
    <row r="956" s="31" customFormat="1" ht="15.75" customHeight="1"/>
    <row r="957" s="31" customFormat="1" ht="15.75" customHeight="1"/>
    <row r="958" s="31" customFormat="1" ht="15.75" customHeight="1"/>
    <row r="959" s="31" customFormat="1" ht="15.75" customHeight="1"/>
    <row r="960" s="31" customFormat="1" ht="15.75" customHeight="1"/>
    <row r="961" s="31" customFormat="1" ht="15.75" customHeight="1"/>
    <row r="962" s="31" customFormat="1" ht="15.75" customHeight="1"/>
    <row r="963" s="31" customFormat="1" ht="15.75" customHeight="1"/>
    <row r="964" s="31" customFormat="1" ht="15.75" customHeight="1"/>
    <row r="965" s="31" customFormat="1" ht="15.75" customHeight="1"/>
    <row r="966" s="31" customFormat="1" ht="15.75" customHeight="1"/>
    <row r="967" s="31" customFormat="1" ht="15.75" customHeight="1"/>
    <row r="968" s="31" customFormat="1" ht="15.75" customHeight="1"/>
    <row r="969" s="31" customFormat="1" ht="15.75" customHeight="1"/>
    <row r="970" s="31" customFormat="1" ht="15.75" customHeight="1"/>
    <row r="971" s="31" customFormat="1" ht="15.75" customHeight="1"/>
    <row r="972" s="31" customFormat="1" ht="15.75" customHeight="1"/>
    <row r="973" s="31" customFormat="1" ht="15.75" customHeight="1"/>
    <row r="974" s="31" customFormat="1" ht="15.75" customHeight="1"/>
    <row r="975" s="31" customFormat="1" ht="15.75" customHeight="1"/>
    <row r="976" s="31" customFormat="1" ht="15.75" customHeight="1"/>
    <row r="977" s="31" customFormat="1" ht="15.75" customHeight="1"/>
    <row r="978" s="31" customFormat="1" ht="15.75" customHeight="1"/>
    <row r="979" s="31" customFormat="1" ht="15.75" customHeight="1"/>
    <row r="980" s="31" customFormat="1" ht="15.75" customHeight="1"/>
    <row r="981" s="31" customFormat="1" ht="15.75" customHeight="1"/>
    <row r="982" s="31" customFormat="1" ht="15.75" customHeight="1"/>
    <row r="983" s="31" customFormat="1" ht="15.75" customHeight="1"/>
    <row r="984" s="31" customFormat="1" ht="15.75" customHeight="1"/>
    <row r="985" s="31" customFormat="1" ht="15.75" customHeight="1"/>
    <row r="986" s="31" customFormat="1" ht="15.75" customHeight="1"/>
    <row r="987" s="31" customFormat="1" ht="15.75" customHeight="1"/>
    <row r="988" s="31" customFormat="1" ht="15.75" customHeight="1"/>
    <row r="989" s="31" customFormat="1" ht="15.75" customHeight="1"/>
    <row r="990" s="31" customFormat="1" ht="15.75" customHeight="1"/>
    <row r="991" s="31" customFormat="1" ht="15.75" customHeight="1"/>
    <row r="992" s="31" customFormat="1" ht="15.75" customHeight="1"/>
    <row r="993" s="31" customFormat="1" ht="15.75" customHeight="1"/>
    <row r="994" s="31" customFormat="1" ht="15.75" customHeight="1"/>
    <row r="995" s="31" customFormat="1" ht="15.75" customHeight="1"/>
    <row r="996" s="31" customFormat="1" ht="15.75" customHeight="1"/>
    <row r="997" s="31" customFormat="1" ht="15.75" customHeight="1"/>
    <row r="998" s="31" customFormat="1" ht="15.75" customHeight="1"/>
    <row r="999" s="31" customFormat="1" ht="15.75" customHeight="1"/>
    <row r="1000" s="31" customFormat="1" ht="15.75" customHeight="1"/>
  </sheetData>
  <sheetProtection algorithmName="SHA-512" hashValue="TEnht+OCNby7dSB0XQAdwUuCUbawCfVLQoxCKnnvjXvyHkZ186L+ZGddm0ZC8U6hGSE33YsmRvitrOObMGkusg==" saltValue="KxUsU+QQZE1aGAodZe3VXA==" spinCount="100000" sheet="1" objects="1" scenarios="1" selectLockedCells="1"/>
  <mergeCells count="6">
    <mergeCell ref="AF1:AJ2"/>
    <mergeCell ref="B1:F2"/>
    <mergeCell ref="H1:L2"/>
    <mergeCell ref="N1:R2"/>
    <mergeCell ref="T1:X2"/>
    <mergeCell ref="Z1:AD2"/>
  </mergeCells>
  <conditionalFormatting sqref="F4:F24">
    <cfRule type="colorScale" priority="1">
      <colorScale>
        <cfvo type="min"/>
        <cfvo type="max"/>
        <color rgb="FFFFEF9C"/>
        <color rgb="FF63BE7B"/>
      </colorScale>
    </cfRule>
  </conditionalFormatting>
  <conditionalFormatting sqref="E4:E24">
    <cfRule type="colorScale" priority="2">
      <colorScale>
        <cfvo type="min"/>
        <cfvo type="max"/>
        <color rgb="FFFFEF9C"/>
        <color rgb="FF63BE7B"/>
      </colorScale>
    </cfRule>
  </conditionalFormatting>
  <conditionalFormatting sqref="D4:D24">
    <cfRule type="colorScale" priority="3">
      <colorScale>
        <cfvo type="min"/>
        <cfvo type="max"/>
        <color rgb="FFFFEF9C"/>
        <color rgb="FF63BE7B"/>
      </colorScale>
    </cfRule>
  </conditionalFormatting>
  <conditionalFormatting sqref="C4:C24">
    <cfRule type="colorScale" priority="4">
      <colorScale>
        <cfvo type="min"/>
        <cfvo type="max"/>
        <color rgb="FFFFEF9C"/>
        <color rgb="FF63BE7B"/>
      </colorScale>
    </cfRule>
  </conditionalFormatting>
  <conditionalFormatting sqref="Q4:Q10">
    <cfRule type="colorScale" priority="5">
      <colorScale>
        <cfvo type="min"/>
        <cfvo type="max"/>
        <color rgb="FFFFEF9C"/>
        <color rgb="FF63BE7B"/>
      </colorScale>
    </cfRule>
  </conditionalFormatting>
  <conditionalFormatting sqref="R4:R10">
    <cfRule type="colorScale" priority="6">
      <colorScale>
        <cfvo type="min"/>
        <cfvo type="max"/>
        <color rgb="FFFFEF9C"/>
        <color rgb="FF63BE7B"/>
      </colorScale>
    </cfRule>
  </conditionalFormatting>
  <conditionalFormatting sqref="P4:P10">
    <cfRule type="colorScale" priority="7">
      <colorScale>
        <cfvo type="min"/>
        <cfvo type="max"/>
        <color rgb="FFFFEF9C"/>
        <color rgb="FF63BE7B"/>
      </colorScale>
    </cfRule>
  </conditionalFormatting>
  <conditionalFormatting sqref="O4:O10">
    <cfRule type="colorScale" priority="8">
      <colorScale>
        <cfvo type="min"/>
        <cfvo type="max"/>
        <color rgb="FFFFEF9C"/>
        <color rgb="FF63BE7B"/>
      </colorScale>
    </cfRule>
  </conditionalFormatting>
  <conditionalFormatting sqref="I4:I16">
    <cfRule type="colorScale" priority="9">
      <colorScale>
        <cfvo type="min"/>
        <cfvo type="max"/>
        <color rgb="FFFFEF9C"/>
        <color rgb="FF63BE7B"/>
      </colorScale>
    </cfRule>
  </conditionalFormatting>
  <conditionalFormatting sqref="J4:J16">
    <cfRule type="colorScale" priority="10">
      <colorScale>
        <cfvo type="min"/>
        <cfvo type="max"/>
        <color rgb="FFFFEF9C"/>
        <color rgb="FF63BE7B"/>
      </colorScale>
    </cfRule>
  </conditionalFormatting>
  <conditionalFormatting sqref="K4:K16">
    <cfRule type="colorScale" priority="11">
      <colorScale>
        <cfvo type="min"/>
        <cfvo type="max"/>
        <color rgb="FFFFEF9C"/>
        <color rgb="FF63BE7B"/>
      </colorScale>
    </cfRule>
  </conditionalFormatting>
  <conditionalFormatting sqref="L4:L16">
    <cfRule type="colorScale" priority="12">
      <colorScale>
        <cfvo type="min"/>
        <cfvo type="max"/>
        <color rgb="FFFFEF9C"/>
        <color rgb="FF63BE7B"/>
      </colorScale>
    </cfRule>
  </conditionalFormatting>
  <conditionalFormatting sqref="U4:U10">
    <cfRule type="colorScale" priority="13">
      <colorScale>
        <cfvo type="min"/>
        <cfvo type="max"/>
        <color rgb="FFFFEF9C"/>
        <color rgb="FF63BE7B"/>
      </colorScale>
    </cfRule>
  </conditionalFormatting>
  <conditionalFormatting sqref="V4:V10">
    <cfRule type="colorScale" priority="14">
      <colorScale>
        <cfvo type="min"/>
        <cfvo type="max"/>
        <color rgb="FFFFEF9C"/>
        <color rgb="FF63BE7B"/>
      </colorScale>
    </cfRule>
  </conditionalFormatting>
  <conditionalFormatting sqref="W4:W10">
    <cfRule type="colorScale" priority="15">
      <colorScale>
        <cfvo type="min"/>
        <cfvo type="max"/>
        <color rgb="FFFFEF9C"/>
        <color rgb="FF63BE7B"/>
      </colorScale>
    </cfRule>
  </conditionalFormatting>
  <conditionalFormatting sqref="X4:X10">
    <cfRule type="colorScale" priority="16">
      <colorScale>
        <cfvo type="min"/>
        <cfvo type="max"/>
        <color rgb="FFFFEF9C"/>
        <color rgb="FF63BE7B"/>
      </colorScale>
    </cfRule>
  </conditionalFormatting>
  <conditionalFormatting sqref="AJ4:AJ6">
    <cfRule type="colorScale" priority="17">
      <colorScale>
        <cfvo type="min"/>
        <cfvo type="max"/>
        <color rgb="FFFFEF9C"/>
        <color rgb="FF63BE7B"/>
      </colorScale>
    </cfRule>
  </conditionalFormatting>
  <conditionalFormatting sqref="AI4:AI6">
    <cfRule type="colorScale" priority="18">
      <colorScale>
        <cfvo type="min"/>
        <cfvo type="max"/>
        <color rgb="FFFFEF9C"/>
        <color rgb="FF63BE7B"/>
      </colorScale>
    </cfRule>
  </conditionalFormatting>
  <conditionalFormatting sqref="AH4:AH6">
    <cfRule type="colorScale" priority="19">
      <colorScale>
        <cfvo type="min"/>
        <cfvo type="max"/>
        <color rgb="FFFFEF9C"/>
        <color rgb="FF63BE7B"/>
      </colorScale>
    </cfRule>
  </conditionalFormatting>
  <conditionalFormatting sqref="AG4:AG6">
    <cfRule type="colorScale" priority="20">
      <colorScale>
        <cfvo type="min"/>
        <cfvo type="max"/>
        <color rgb="FFFFEF9C"/>
        <color rgb="FF63BE7B"/>
      </colorScale>
    </cfRule>
  </conditionalFormatting>
  <conditionalFormatting sqref="AD4:AD6">
    <cfRule type="colorScale" priority="21">
      <colorScale>
        <cfvo type="min"/>
        <cfvo type="max"/>
        <color rgb="FFFFEF9C"/>
        <color rgb="FF63BE7B"/>
      </colorScale>
    </cfRule>
  </conditionalFormatting>
  <conditionalFormatting sqref="AC4:AC6">
    <cfRule type="colorScale" priority="22">
      <colorScale>
        <cfvo type="min"/>
        <cfvo type="max"/>
        <color rgb="FFFFEF9C"/>
        <color rgb="FF63BE7B"/>
      </colorScale>
    </cfRule>
  </conditionalFormatting>
  <conditionalFormatting sqref="AA4:AA6">
    <cfRule type="colorScale" priority="23">
      <colorScale>
        <cfvo type="min"/>
        <cfvo type="max"/>
        <color rgb="FFFFEF9C"/>
        <color rgb="FF63BE7B"/>
      </colorScale>
    </cfRule>
  </conditionalFormatting>
  <conditionalFormatting sqref="AB4:AB6">
    <cfRule type="colorScale" priority="24">
      <colorScale>
        <cfvo type="min"/>
        <cfvo type="max"/>
        <color rgb="FFFFEF9C"/>
        <color rgb="FF63BE7B"/>
      </colorScale>
    </cfRule>
  </conditionalFormatting>
  <pageMargins left="0.511811024" right="0.511811024" top="0.78740157499999996" bottom="0.78740157499999996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Y1000"/>
  <sheetViews>
    <sheetView showGridLines="0" tabSelected="1" zoomScale="55" zoomScaleNormal="55" workbookViewId="0">
      <pane ySplit="3" topLeftCell="A4" activePane="bottomLeft" state="frozen"/>
      <selection pane="bottomLeft"/>
    </sheetView>
  </sheetViews>
  <sheetFormatPr defaultColWidth="14.42578125" defaultRowHeight="15" customHeight="1"/>
  <cols>
    <col min="1" max="1" width="4.7109375" style="31" customWidth="1"/>
    <col min="2" max="2" width="15.28515625" style="31" bestFit="1" customWidth="1"/>
    <col min="3" max="3" width="31.42578125" style="31" customWidth="1"/>
    <col min="4" max="4" width="34.28515625" style="31" customWidth="1"/>
    <col min="5" max="5" width="15.42578125" style="31" customWidth="1"/>
    <col min="6" max="6" width="15.140625" style="31" customWidth="1"/>
    <col min="7" max="7" width="19" style="31" customWidth="1"/>
    <col min="8" max="8" width="20.140625" style="31" customWidth="1"/>
    <col min="9" max="9" width="18.42578125" style="31" customWidth="1"/>
    <col min="10" max="10" width="15.42578125" style="31" customWidth="1"/>
    <col min="11" max="11" width="8.7109375" style="31" customWidth="1"/>
    <col min="12" max="12" width="30.85546875" style="31" customWidth="1"/>
    <col min="13" max="13" width="15.5703125" style="31" customWidth="1"/>
    <col min="14" max="14" width="16.5703125" style="31" customWidth="1"/>
    <col min="15" max="15" width="15" style="31" customWidth="1"/>
    <col min="16" max="16" width="20.140625" style="31" customWidth="1"/>
    <col min="17" max="17" width="18.42578125" style="31" customWidth="1"/>
    <col min="18" max="18" width="15.42578125" style="31" customWidth="1"/>
    <col min="19" max="19" width="8.7109375" style="31" customWidth="1"/>
    <col min="20" max="20" width="16.85546875" style="31" customWidth="1"/>
    <col min="21" max="21" width="13.42578125" style="31" customWidth="1"/>
    <col min="22" max="22" width="15.85546875" style="31" customWidth="1"/>
    <col min="23" max="23" width="20.140625" style="31" customWidth="1"/>
    <col min="24" max="24" width="18.42578125" style="31" customWidth="1"/>
    <col min="25" max="25" width="15.42578125" style="31" customWidth="1"/>
    <col min="26" max="16384" width="14.42578125" style="31"/>
  </cols>
  <sheetData>
    <row r="1" spans="2:25">
      <c r="B1" s="75" t="s">
        <v>36</v>
      </c>
      <c r="C1" s="38"/>
      <c r="D1" s="38"/>
      <c r="E1" s="38"/>
      <c r="F1" s="38"/>
      <c r="G1" s="38"/>
      <c r="H1" s="38"/>
      <c r="I1" s="38"/>
      <c r="J1" s="39"/>
      <c r="L1" s="75" t="s">
        <v>38</v>
      </c>
      <c r="M1" s="38"/>
      <c r="N1" s="38"/>
      <c r="O1" s="38"/>
      <c r="P1" s="38"/>
      <c r="Q1" s="38"/>
      <c r="R1" s="39"/>
      <c r="T1" s="75" t="s">
        <v>94</v>
      </c>
      <c r="U1" s="38"/>
      <c r="V1" s="38"/>
      <c r="W1" s="38"/>
      <c r="X1" s="38"/>
      <c r="Y1" s="39"/>
    </row>
    <row r="2" spans="2:25">
      <c r="B2" s="47"/>
      <c r="C2" s="48"/>
      <c r="D2" s="48"/>
      <c r="E2" s="48"/>
      <c r="F2" s="48"/>
      <c r="G2" s="48"/>
      <c r="H2" s="48"/>
      <c r="I2" s="48"/>
      <c r="J2" s="49"/>
      <c r="L2" s="47"/>
      <c r="M2" s="48"/>
      <c r="N2" s="48"/>
      <c r="O2" s="48"/>
      <c r="P2" s="48"/>
      <c r="Q2" s="48"/>
      <c r="R2" s="49"/>
      <c r="T2" s="47"/>
      <c r="U2" s="48"/>
      <c r="V2" s="48"/>
      <c r="W2" s="48"/>
      <c r="X2" s="48"/>
      <c r="Y2" s="49"/>
    </row>
    <row r="3" spans="2:25">
      <c r="B3" s="1" t="s">
        <v>95</v>
      </c>
      <c r="C3" s="2" t="s">
        <v>96</v>
      </c>
      <c r="D3" s="2" t="s">
        <v>97</v>
      </c>
      <c r="E3" s="2" t="s">
        <v>98</v>
      </c>
      <c r="F3" s="2" t="s">
        <v>99</v>
      </c>
      <c r="G3" s="2" t="s">
        <v>100</v>
      </c>
      <c r="H3" s="2" t="s">
        <v>7</v>
      </c>
      <c r="I3" s="2" t="s">
        <v>8</v>
      </c>
      <c r="J3" s="3" t="s">
        <v>9</v>
      </c>
      <c r="L3" s="1" t="s">
        <v>96</v>
      </c>
      <c r="M3" s="2" t="s">
        <v>97</v>
      </c>
      <c r="N3" s="2" t="s">
        <v>101</v>
      </c>
      <c r="O3" s="2" t="s">
        <v>100</v>
      </c>
      <c r="P3" s="2" t="s">
        <v>7</v>
      </c>
      <c r="Q3" s="2" t="s">
        <v>8</v>
      </c>
      <c r="R3" s="3" t="s">
        <v>9</v>
      </c>
      <c r="T3" s="1" t="s">
        <v>97</v>
      </c>
      <c r="U3" s="2" t="s">
        <v>102</v>
      </c>
      <c r="V3" s="2" t="s">
        <v>103</v>
      </c>
      <c r="W3" s="2" t="s">
        <v>7</v>
      </c>
      <c r="X3" s="2" t="s">
        <v>8</v>
      </c>
      <c r="Y3" s="3" t="s">
        <v>9</v>
      </c>
    </row>
    <row r="4" spans="2:25">
      <c r="B4" s="18">
        <v>208</v>
      </c>
      <c r="C4" s="19" t="s">
        <v>104</v>
      </c>
      <c r="D4" s="19" t="s">
        <v>83</v>
      </c>
      <c r="E4" s="19" t="s">
        <v>105</v>
      </c>
      <c r="F4" s="19" t="s">
        <v>68</v>
      </c>
      <c r="G4" s="19" t="s">
        <v>81</v>
      </c>
      <c r="H4" s="20">
        <v>63.25</v>
      </c>
      <c r="I4" s="20">
        <v>120</v>
      </c>
      <c r="J4" s="21">
        <f>DADOS.GERAL!$I4-DADOS.GERAL!$H4</f>
        <v>56.75</v>
      </c>
      <c r="L4" s="18" t="s">
        <v>106</v>
      </c>
      <c r="M4" s="19" t="s">
        <v>57</v>
      </c>
      <c r="N4" s="19" t="s">
        <v>107</v>
      </c>
      <c r="O4" s="19" t="s">
        <v>56</v>
      </c>
      <c r="P4" s="20">
        <v>99.9</v>
      </c>
      <c r="Q4" s="20">
        <v>80</v>
      </c>
      <c r="R4" s="21">
        <f>DADOS.GERAL!$Q4-DADOS.GERAL!$P4</f>
        <v>-19.900000000000006</v>
      </c>
      <c r="T4" s="18" t="s">
        <v>64</v>
      </c>
      <c r="U4" s="19" t="s">
        <v>108</v>
      </c>
      <c r="V4" s="19" t="s">
        <v>65</v>
      </c>
      <c r="W4" s="20">
        <v>49.9</v>
      </c>
      <c r="X4" s="20">
        <v>49.9</v>
      </c>
      <c r="Y4" s="21">
        <f>DADOS.GERAL!$X4-DADOS.GERAL!$W4</f>
        <v>0</v>
      </c>
    </row>
    <row r="5" spans="2:25">
      <c r="B5" s="18">
        <v>209</v>
      </c>
      <c r="C5" s="19" t="s">
        <v>109</v>
      </c>
      <c r="D5" s="19" t="s">
        <v>88</v>
      </c>
      <c r="E5" s="19" t="s">
        <v>105</v>
      </c>
      <c r="F5" s="19" t="s">
        <v>110</v>
      </c>
      <c r="G5" s="19" t="s">
        <v>81</v>
      </c>
      <c r="H5" s="20">
        <v>84.9</v>
      </c>
      <c r="I5" s="20">
        <v>229.9</v>
      </c>
      <c r="J5" s="21">
        <f>DADOS.GERAL!$I5-DADOS.GERAL!$H5</f>
        <v>145</v>
      </c>
      <c r="L5" s="18" t="s">
        <v>111</v>
      </c>
      <c r="M5" s="19" t="s">
        <v>57</v>
      </c>
      <c r="N5" s="19" t="s">
        <v>107</v>
      </c>
      <c r="O5" s="19" t="s">
        <v>52</v>
      </c>
      <c r="P5" s="20">
        <v>99</v>
      </c>
      <c r="Q5" s="20">
        <v>80</v>
      </c>
      <c r="R5" s="21">
        <f>DADOS.GERAL!$Q5-DADOS.GERAL!$P5</f>
        <v>-19</v>
      </c>
      <c r="T5" s="18" t="s">
        <v>53</v>
      </c>
      <c r="U5" s="19" t="s">
        <v>108</v>
      </c>
      <c r="V5" s="19" t="s">
        <v>54</v>
      </c>
      <c r="W5" s="20">
        <v>21.73</v>
      </c>
      <c r="X5" s="20">
        <v>38.9</v>
      </c>
      <c r="Y5" s="21">
        <f>DADOS.GERAL!$X5-DADOS.GERAL!$W5</f>
        <v>17.169999999999998</v>
      </c>
    </row>
    <row r="6" spans="2:25">
      <c r="B6" s="18">
        <v>210</v>
      </c>
      <c r="C6" s="19" t="s">
        <v>112</v>
      </c>
      <c r="D6" s="19" t="s">
        <v>85</v>
      </c>
      <c r="E6" s="19" t="s">
        <v>113</v>
      </c>
      <c r="F6" s="19" t="s">
        <v>68</v>
      </c>
      <c r="G6" s="19" t="s">
        <v>56</v>
      </c>
      <c r="H6" s="20">
        <v>103.32</v>
      </c>
      <c r="I6" s="20">
        <v>159.9</v>
      </c>
      <c r="J6" s="21">
        <f>DADOS.GERAL!$I6-DADOS.GERAL!$H6</f>
        <v>56.580000000000013</v>
      </c>
      <c r="L6" s="18" t="s">
        <v>114</v>
      </c>
      <c r="M6" s="19" t="s">
        <v>63</v>
      </c>
      <c r="N6" s="19" t="s">
        <v>107</v>
      </c>
      <c r="O6" s="19" t="s">
        <v>52</v>
      </c>
      <c r="P6" s="20">
        <v>0</v>
      </c>
      <c r="Q6" s="20">
        <v>13</v>
      </c>
      <c r="R6" s="21">
        <f>DADOS.GERAL!$Q6-DADOS.GERAL!$P6</f>
        <v>13</v>
      </c>
      <c r="T6" s="18" t="s">
        <v>53</v>
      </c>
      <c r="U6" s="19" t="s">
        <v>115</v>
      </c>
      <c r="V6" s="19" t="s">
        <v>54</v>
      </c>
      <c r="W6" s="20">
        <v>21.73</v>
      </c>
      <c r="X6" s="20">
        <v>24.9</v>
      </c>
      <c r="Y6" s="21">
        <f>DADOS.GERAL!$X6-DADOS.GERAL!$W6</f>
        <v>3.1699999999999982</v>
      </c>
    </row>
    <row r="7" spans="2:25">
      <c r="B7" s="18">
        <v>211</v>
      </c>
      <c r="C7" s="19" t="s">
        <v>116</v>
      </c>
      <c r="D7" s="19" t="s">
        <v>75</v>
      </c>
      <c r="E7" s="19" t="s">
        <v>113</v>
      </c>
      <c r="F7" s="19" t="s">
        <v>117</v>
      </c>
      <c r="G7" s="19" t="s">
        <v>56</v>
      </c>
      <c r="H7" s="20">
        <v>52.75</v>
      </c>
      <c r="I7" s="20">
        <v>80</v>
      </c>
      <c r="J7" s="21">
        <f>DADOS.GERAL!$I7-DADOS.GERAL!$H7</f>
        <v>27.25</v>
      </c>
      <c r="L7" s="18" t="s">
        <v>118</v>
      </c>
      <c r="M7" s="19" t="s">
        <v>63</v>
      </c>
      <c r="N7" s="19" t="s">
        <v>107</v>
      </c>
      <c r="O7" s="19" t="s">
        <v>52</v>
      </c>
      <c r="P7" s="20">
        <v>0</v>
      </c>
      <c r="Q7" s="20">
        <v>13</v>
      </c>
      <c r="R7" s="21">
        <f>DADOS.GERAL!$Q7-DADOS.GERAL!$P7</f>
        <v>13</v>
      </c>
      <c r="T7" s="18" t="s">
        <v>53</v>
      </c>
      <c r="U7" s="19" t="s">
        <v>119</v>
      </c>
      <c r="V7" s="19" t="s">
        <v>54</v>
      </c>
      <c r="W7" s="20">
        <v>21.73</v>
      </c>
      <c r="X7" s="20">
        <v>44.9</v>
      </c>
      <c r="Y7" s="21">
        <f>DADOS.GERAL!$X7-DADOS.GERAL!$W7</f>
        <v>23.169999999999998</v>
      </c>
    </row>
    <row r="8" spans="2:25">
      <c r="B8" s="18">
        <v>212</v>
      </c>
      <c r="C8" s="19" t="s">
        <v>120</v>
      </c>
      <c r="D8" s="19" t="s">
        <v>75</v>
      </c>
      <c r="E8" s="19" t="s">
        <v>113</v>
      </c>
      <c r="F8" s="19" t="s">
        <v>117</v>
      </c>
      <c r="G8" s="19" t="s">
        <v>56</v>
      </c>
      <c r="H8" s="20">
        <v>55.59</v>
      </c>
      <c r="I8" s="20">
        <v>80</v>
      </c>
      <c r="J8" s="21">
        <f>DADOS.GERAL!$I8-DADOS.GERAL!$H8</f>
        <v>24.409999999999997</v>
      </c>
      <c r="L8" s="18" t="s">
        <v>121</v>
      </c>
      <c r="M8" s="19" t="s">
        <v>63</v>
      </c>
      <c r="N8" s="19" t="s">
        <v>107</v>
      </c>
      <c r="O8" s="19" t="s">
        <v>52</v>
      </c>
      <c r="P8" s="20">
        <v>0</v>
      </c>
      <c r="Q8" s="20">
        <v>13</v>
      </c>
      <c r="R8" s="21">
        <f>DADOS.GERAL!$Q8-DADOS.GERAL!$P8</f>
        <v>13</v>
      </c>
      <c r="T8" s="18" t="s">
        <v>53</v>
      </c>
      <c r="U8" s="19" t="s">
        <v>122</v>
      </c>
      <c r="V8" s="19" t="s">
        <v>54</v>
      </c>
      <c r="W8" s="20">
        <v>21.73</v>
      </c>
      <c r="X8" s="20">
        <v>24.9</v>
      </c>
      <c r="Y8" s="21">
        <f>DADOS.GERAL!$X8-DADOS.GERAL!$W8</f>
        <v>3.1699999999999982</v>
      </c>
    </row>
    <row r="9" spans="2:25">
      <c r="B9" s="18">
        <v>213</v>
      </c>
      <c r="C9" s="19" t="s">
        <v>123</v>
      </c>
      <c r="D9" s="19" t="s">
        <v>75</v>
      </c>
      <c r="E9" s="19" t="s">
        <v>113</v>
      </c>
      <c r="F9" s="19" t="s">
        <v>117</v>
      </c>
      <c r="G9" s="19" t="s">
        <v>56</v>
      </c>
      <c r="H9" s="20">
        <v>50.66</v>
      </c>
      <c r="I9" s="20">
        <v>80</v>
      </c>
      <c r="J9" s="21">
        <f>DADOS.GERAL!$I9-DADOS.GERAL!$H9</f>
        <v>29.340000000000003</v>
      </c>
      <c r="L9" s="18" t="s">
        <v>124</v>
      </c>
      <c r="M9" s="19" t="s">
        <v>63</v>
      </c>
      <c r="N9" s="19" t="s">
        <v>107</v>
      </c>
      <c r="O9" s="19" t="s">
        <v>52</v>
      </c>
      <c r="P9" s="20">
        <v>0</v>
      </c>
      <c r="Q9" s="20">
        <v>13</v>
      </c>
      <c r="R9" s="21">
        <f>DADOS.GERAL!$Q9-DADOS.GERAL!$P9</f>
        <v>13</v>
      </c>
      <c r="T9" s="18" t="s">
        <v>53</v>
      </c>
      <c r="U9" s="19" t="s">
        <v>125</v>
      </c>
      <c r="V9" s="19" t="s">
        <v>54</v>
      </c>
      <c r="W9" s="20">
        <v>21.73</v>
      </c>
      <c r="X9" s="20">
        <v>39.9</v>
      </c>
      <c r="Y9" s="21">
        <f>DADOS.GERAL!$X9-DADOS.GERAL!$W9</f>
        <v>18.169999999999998</v>
      </c>
    </row>
    <row r="10" spans="2:25">
      <c r="B10" s="18">
        <v>214</v>
      </c>
      <c r="C10" s="19" t="s">
        <v>126</v>
      </c>
      <c r="D10" s="19" t="s">
        <v>75</v>
      </c>
      <c r="E10" s="19" t="s">
        <v>113</v>
      </c>
      <c r="F10" s="19" t="s">
        <v>117</v>
      </c>
      <c r="G10" s="19" t="s">
        <v>56</v>
      </c>
      <c r="H10" s="20">
        <v>50.45</v>
      </c>
      <c r="I10" s="20">
        <v>80</v>
      </c>
      <c r="J10" s="21">
        <f>DADOS.GERAL!$I10-DADOS.GERAL!$H10</f>
        <v>29.549999999999997</v>
      </c>
      <c r="L10" s="18" t="s">
        <v>127</v>
      </c>
      <c r="M10" s="19" t="s">
        <v>63</v>
      </c>
      <c r="N10" s="19" t="s">
        <v>107</v>
      </c>
      <c r="O10" s="19" t="s">
        <v>52</v>
      </c>
      <c r="P10" s="20">
        <v>0</v>
      </c>
      <c r="Q10" s="20">
        <v>13</v>
      </c>
      <c r="R10" s="21">
        <f>DADOS.GERAL!$Q10-DADOS.GERAL!$P10</f>
        <v>13</v>
      </c>
      <c r="T10" s="18" t="s">
        <v>53</v>
      </c>
      <c r="U10" s="19" t="s">
        <v>128</v>
      </c>
      <c r="V10" s="19" t="s">
        <v>54</v>
      </c>
      <c r="W10" s="20">
        <v>21.73</v>
      </c>
      <c r="X10" s="20">
        <v>24.9</v>
      </c>
      <c r="Y10" s="21">
        <f>DADOS.GERAL!$X10-DADOS.GERAL!$W10</f>
        <v>3.1699999999999982</v>
      </c>
    </row>
    <row r="11" spans="2:25">
      <c r="B11" s="18">
        <v>215</v>
      </c>
      <c r="C11" s="19" t="s">
        <v>89</v>
      </c>
      <c r="D11" s="19" t="s">
        <v>89</v>
      </c>
      <c r="E11" s="19" t="s">
        <v>105</v>
      </c>
      <c r="F11" s="19" t="s">
        <v>129</v>
      </c>
      <c r="G11" s="19" t="s">
        <v>52</v>
      </c>
      <c r="H11" s="20">
        <v>170</v>
      </c>
      <c r="I11" s="20">
        <v>175</v>
      </c>
      <c r="J11" s="21">
        <f>DADOS.GERAL!$I11-DADOS.GERAL!$H11</f>
        <v>5</v>
      </c>
      <c r="L11" s="18" t="s">
        <v>127</v>
      </c>
      <c r="M11" s="19" t="s">
        <v>63</v>
      </c>
      <c r="N11" s="19" t="s">
        <v>107</v>
      </c>
      <c r="O11" s="19" t="s">
        <v>52</v>
      </c>
      <c r="P11" s="20">
        <v>0</v>
      </c>
      <c r="Q11" s="20">
        <v>13</v>
      </c>
      <c r="R11" s="21">
        <f>DADOS.GERAL!$Q11-DADOS.GERAL!$P11</f>
        <v>13</v>
      </c>
      <c r="T11" s="18" t="s">
        <v>53</v>
      </c>
      <c r="U11" s="19" t="s">
        <v>130</v>
      </c>
      <c r="V11" s="19" t="s">
        <v>54</v>
      </c>
      <c r="W11" s="20">
        <v>21.73</v>
      </c>
      <c r="X11" s="20">
        <v>53.62</v>
      </c>
      <c r="Y11" s="21">
        <f>DADOS.GERAL!$X11-DADOS.GERAL!$W11</f>
        <v>31.889999999999997</v>
      </c>
    </row>
    <row r="12" spans="2:25">
      <c r="B12" s="18">
        <v>216</v>
      </c>
      <c r="C12" s="19" t="s">
        <v>131</v>
      </c>
      <c r="D12" s="19" t="s">
        <v>55</v>
      </c>
      <c r="E12" s="19" t="s">
        <v>113</v>
      </c>
      <c r="F12" s="19" t="s">
        <v>68</v>
      </c>
      <c r="G12" s="19" t="s">
        <v>52</v>
      </c>
      <c r="H12" s="20">
        <v>120</v>
      </c>
      <c r="I12" s="20">
        <v>150</v>
      </c>
      <c r="J12" s="21">
        <f>DADOS.GERAL!$I12-DADOS.GERAL!$H12</f>
        <v>30</v>
      </c>
      <c r="L12" s="18" t="s">
        <v>132</v>
      </c>
      <c r="M12" s="19" t="s">
        <v>73</v>
      </c>
      <c r="N12" s="19" t="s">
        <v>133</v>
      </c>
      <c r="O12" s="19" t="s">
        <v>52</v>
      </c>
      <c r="P12" s="20">
        <v>0</v>
      </c>
      <c r="Q12" s="20">
        <v>13</v>
      </c>
      <c r="R12" s="21">
        <f>DADOS.GERAL!$Q12-DADOS.GERAL!$P12</f>
        <v>13</v>
      </c>
      <c r="T12" s="18" t="s">
        <v>53</v>
      </c>
      <c r="U12" s="19" t="s">
        <v>134</v>
      </c>
      <c r="V12" s="19" t="s">
        <v>54</v>
      </c>
      <c r="W12" s="20">
        <v>21.73</v>
      </c>
      <c r="X12" s="20">
        <v>27.9</v>
      </c>
      <c r="Y12" s="21">
        <f>DADOS.GERAL!$X12-DADOS.GERAL!$W12</f>
        <v>6.1699999999999982</v>
      </c>
    </row>
    <row r="13" spans="2:25">
      <c r="B13" s="18">
        <v>217</v>
      </c>
      <c r="C13" s="19" t="s">
        <v>135</v>
      </c>
      <c r="D13" s="19" t="s">
        <v>84</v>
      </c>
      <c r="E13" s="19" t="s">
        <v>113</v>
      </c>
      <c r="F13" s="19" t="s">
        <v>117</v>
      </c>
      <c r="G13" s="19" t="s">
        <v>52</v>
      </c>
      <c r="H13" s="20">
        <v>0</v>
      </c>
      <c r="I13" s="20">
        <v>159.9</v>
      </c>
      <c r="J13" s="21">
        <f>DADOS.GERAL!$I13-DADOS.GERAL!$H13</f>
        <v>159.9</v>
      </c>
      <c r="L13" s="18" t="s">
        <v>136</v>
      </c>
      <c r="M13" s="19" t="s">
        <v>73</v>
      </c>
      <c r="N13" s="19" t="s">
        <v>133</v>
      </c>
      <c r="O13" s="19" t="s">
        <v>52</v>
      </c>
      <c r="P13" s="20">
        <v>0</v>
      </c>
      <c r="Q13" s="20">
        <v>13</v>
      </c>
      <c r="R13" s="21">
        <f>DADOS.GERAL!$Q13-DADOS.GERAL!$P13</f>
        <v>13</v>
      </c>
      <c r="T13" s="18" t="s">
        <v>53</v>
      </c>
      <c r="U13" s="19" t="s">
        <v>137</v>
      </c>
      <c r="V13" s="19" t="s">
        <v>54</v>
      </c>
      <c r="W13" s="20">
        <v>21.73</v>
      </c>
      <c r="X13" s="20">
        <v>24.9</v>
      </c>
      <c r="Y13" s="21">
        <f>DADOS.GERAL!$X13-DADOS.GERAL!$W13</f>
        <v>3.1699999999999982</v>
      </c>
    </row>
    <row r="14" spans="2:25">
      <c r="B14" s="18">
        <v>218</v>
      </c>
      <c r="C14" s="19" t="s">
        <v>138</v>
      </c>
      <c r="D14" s="19" t="s">
        <v>84</v>
      </c>
      <c r="E14" s="19" t="s">
        <v>113</v>
      </c>
      <c r="F14" s="19" t="s">
        <v>117</v>
      </c>
      <c r="G14" s="19" t="s">
        <v>52</v>
      </c>
      <c r="H14" s="20">
        <v>0</v>
      </c>
      <c r="I14" s="20">
        <v>142.97</v>
      </c>
      <c r="J14" s="21">
        <f>DADOS.GERAL!$I14-DADOS.GERAL!$H14</f>
        <v>142.97</v>
      </c>
      <c r="L14" s="18" t="s">
        <v>139</v>
      </c>
      <c r="M14" s="19" t="s">
        <v>73</v>
      </c>
      <c r="N14" s="19" t="s">
        <v>133</v>
      </c>
      <c r="O14" s="19" t="s">
        <v>52</v>
      </c>
      <c r="P14" s="20">
        <v>0</v>
      </c>
      <c r="Q14" s="20">
        <v>13</v>
      </c>
      <c r="R14" s="21">
        <f>DADOS.GERAL!$Q14-DADOS.GERAL!$P14</f>
        <v>13</v>
      </c>
      <c r="T14" s="18" t="s">
        <v>53</v>
      </c>
      <c r="U14" s="19" t="s">
        <v>140</v>
      </c>
      <c r="V14" s="19" t="s">
        <v>54</v>
      </c>
      <c r="W14" s="20">
        <v>21.73</v>
      </c>
      <c r="X14" s="20">
        <v>24.9</v>
      </c>
      <c r="Y14" s="21">
        <f>DADOS.GERAL!$X14-DADOS.GERAL!$W14</f>
        <v>3.1699999999999982</v>
      </c>
    </row>
    <row r="15" spans="2:25">
      <c r="B15" s="18">
        <v>219</v>
      </c>
      <c r="C15" s="19" t="s">
        <v>141</v>
      </c>
      <c r="D15" s="19" t="s">
        <v>71</v>
      </c>
      <c r="E15" s="19" t="s">
        <v>105</v>
      </c>
      <c r="F15" s="19" t="s">
        <v>68</v>
      </c>
      <c r="G15" s="19" t="s">
        <v>58</v>
      </c>
      <c r="H15" s="20">
        <v>0</v>
      </c>
      <c r="I15" s="20">
        <v>213.52</v>
      </c>
      <c r="J15" s="21">
        <f>DADOS.GERAL!$I15-DADOS.GERAL!$H15</f>
        <v>213.52</v>
      </c>
      <c r="L15" s="18" t="s">
        <v>142</v>
      </c>
      <c r="M15" s="19" t="s">
        <v>73</v>
      </c>
      <c r="N15" s="19" t="s">
        <v>133</v>
      </c>
      <c r="O15" s="19" t="s">
        <v>52</v>
      </c>
      <c r="P15" s="20">
        <v>0</v>
      </c>
      <c r="Q15" s="20">
        <v>13</v>
      </c>
      <c r="R15" s="21">
        <f>DADOS.GERAL!$Q15-DADOS.GERAL!$P15</f>
        <v>13</v>
      </c>
      <c r="T15" s="18" t="s">
        <v>53</v>
      </c>
      <c r="U15" s="19" t="s">
        <v>143</v>
      </c>
      <c r="V15" s="19" t="s">
        <v>54</v>
      </c>
      <c r="W15" s="20">
        <v>21.73</v>
      </c>
      <c r="X15" s="20">
        <v>24.9</v>
      </c>
      <c r="Y15" s="21">
        <f>DADOS.GERAL!$X15-DADOS.GERAL!$W15</f>
        <v>3.1699999999999982</v>
      </c>
    </row>
    <row r="16" spans="2:25">
      <c r="B16" s="18">
        <v>220</v>
      </c>
      <c r="C16" s="19" t="s">
        <v>144</v>
      </c>
      <c r="D16" s="19" t="s">
        <v>68</v>
      </c>
      <c r="E16" s="19" t="s">
        <v>105</v>
      </c>
      <c r="F16" s="19" t="s">
        <v>68</v>
      </c>
      <c r="G16" s="19" t="s">
        <v>58</v>
      </c>
      <c r="H16" s="20">
        <v>0</v>
      </c>
      <c r="I16" s="20">
        <v>130</v>
      </c>
      <c r="J16" s="21">
        <f>DADOS.GERAL!$I16-DADOS.GERAL!$H16</f>
        <v>130</v>
      </c>
      <c r="L16" s="18" t="s">
        <v>145</v>
      </c>
      <c r="M16" s="19" t="s">
        <v>66</v>
      </c>
      <c r="N16" s="19" t="s">
        <v>133</v>
      </c>
      <c r="O16" s="19" t="s">
        <v>52</v>
      </c>
      <c r="P16" s="20">
        <v>0</v>
      </c>
      <c r="Q16" s="20">
        <v>13</v>
      </c>
      <c r="R16" s="21">
        <f>DADOS.GERAL!$Q16-DADOS.GERAL!$P16</f>
        <v>13</v>
      </c>
      <c r="T16" s="18" t="s">
        <v>53</v>
      </c>
      <c r="U16" s="19" t="s">
        <v>146</v>
      </c>
      <c r="V16" s="19" t="s">
        <v>54</v>
      </c>
      <c r="W16" s="20">
        <v>21.73</v>
      </c>
      <c r="X16" s="20">
        <v>24.9</v>
      </c>
      <c r="Y16" s="21">
        <f>DADOS.GERAL!$X16-DADOS.GERAL!$W16</f>
        <v>3.1699999999999982</v>
      </c>
    </row>
    <row r="17" spans="2:25">
      <c r="B17" s="18">
        <v>221</v>
      </c>
      <c r="C17" s="19" t="s">
        <v>147</v>
      </c>
      <c r="D17" s="19" t="s">
        <v>78</v>
      </c>
      <c r="E17" s="19" t="s">
        <v>105</v>
      </c>
      <c r="F17" s="19" t="s">
        <v>117</v>
      </c>
      <c r="G17" s="19" t="s">
        <v>72</v>
      </c>
      <c r="H17" s="20">
        <v>0</v>
      </c>
      <c r="I17" s="20">
        <v>319.99</v>
      </c>
      <c r="J17" s="21">
        <f>DADOS.GERAL!$I17-DADOS.GERAL!$H17</f>
        <v>319.99</v>
      </c>
      <c r="L17" s="18" t="s">
        <v>148</v>
      </c>
      <c r="M17" s="19" t="s">
        <v>66</v>
      </c>
      <c r="N17" s="19" t="s">
        <v>133</v>
      </c>
      <c r="O17" s="19" t="s">
        <v>52</v>
      </c>
      <c r="P17" s="20">
        <v>0</v>
      </c>
      <c r="Q17" s="20">
        <v>13</v>
      </c>
      <c r="R17" s="21">
        <f>DADOS.GERAL!$Q17-DADOS.GERAL!$P17</f>
        <v>13</v>
      </c>
      <c r="T17" s="18" t="s">
        <v>53</v>
      </c>
      <c r="U17" s="19" t="s">
        <v>149</v>
      </c>
      <c r="V17" s="19" t="s">
        <v>54</v>
      </c>
      <c r="W17" s="20">
        <v>21.73</v>
      </c>
      <c r="X17" s="20">
        <v>24.9</v>
      </c>
      <c r="Y17" s="21">
        <f>DADOS.GERAL!$X17-DADOS.GERAL!$W17</f>
        <v>3.1699999999999982</v>
      </c>
    </row>
    <row r="18" spans="2:25">
      <c r="B18" s="18">
        <v>222</v>
      </c>
      <c r="C18" s="19" t="s">
        <v>150</v>
      </c>
      <c r="D18" s="19" t="s">
        <v>68</v>
      </c>
      <c r="E18" s="19" t="s">
        <v>105</v>
      </c>
      <c r="F18" s="19" t="s">
        <v>68</v>
      </c>
      <c r="G18" s="19" t="s">
        <v>72</v>
      </c>
      <c r="H18" s="20">
        <v>170</v>
      </c>
      <c r="I18" s="20">
        <v>120</v>
      </c>
      <c r="J18" s="21">
        <f>DADOS.GERAL!$I18-DADOS.GERAL!$H18</f>
        <v>-50</v>
      </c>
      <c r="L18" s="18" t="s">
        <v>151</v>
      </c>
      <c r="M18" s="19" t="s">
        <v>66</v>
      </c>
      <c r="N18" s="19" t="s">
        <v>133</v>
      </c>
      <c r="O18" s="19" t="s">
        <v>52</v>
      </c>
      <c r="P18" s="20">
        <v>0</v>
      </c>
      <c r="Q18" s="20">
        <v>13</v>
      </c>
      <c r="R18" s="21">
        <f>DADOS.GERAL!$Q18-DADOS.GERAL!$P18</f>
        <v>13</v>
      </c>
      <c r="T18" s="18" t="s">
        <v>53</v>
      </c>
      <c r="U18" s="19" t="s">
        <v>152</v>
      </c>
      <c r="V18" s="19" t="s">
        <v>54</v>
      </c>
      <c r="W18" s="20">
        <v>21.73</v>
      </c>
      <c r="X18" s="20">
        <v>24.9</v>
      </c>
      <c r="Y18" s="21">
        <f>DADOS.GERAL!$X18-DADOS.GERAL!$W18</f>
        <v>3.1699999999999982</v>
      </c>
    </row>
    <row r="19" spans="2:25">
      <c r="B19" s="18">
        <v>223</v>
      </c>
      <c r="C19" s="19" t="s">
        <v>153</v>
      </c>
      <c r="D19" s="19" t="s">
        <v>71</v>
      </c>
      <c r="E19" s="19" t="s">
        <v>105</v>
      </c>
      <c r="F19" s="19" t="s">
        <v>68</v>
      </c>
      <c r="G19" s="19" t="s">
        <v>72</v>
      </c>
      <c r="H19" s="20">
        <v>170</v>
      </c>
      <c r="I19" s="20">
        <v>164.9</v>
      </c>
      <c r="J19" s="21">
        <f>DADOS.GERAL!$I19-DADOS.GERAL!$H19</f>
        <v>-5.0999999999999943</v>
      </c>
      <c r="L19" s="18" t="s">
        <v>154</v>
      </c>
      <c r="M19" s="19" t="s">
        <v>66</v>
      </c>
      <c r="N19" s="19" t="s">
        <v>133</v>
      </c>
      <c r="O19" s="19" t="s">
        <v>52</v>
      </c>
      <c r="P19" s="20">
        <v>0</v>
      </c>
      <c r="Q19" s="20">
        <v>13</v>
      </c>
      <c r="R19" s="21">
        <f>DADOS.GERAL!$Q19-DADOS.GERAL!$P19</f>
        <v>13</v>
      </c>
      <c r="T19" s="18" t="s">
        <v>53</v>
      </c>
      <c r="U19" s="19" t="s">
        <v>155</v>
      </c>
      <c r="V19" s="19" t="s">
        <v>54</v>
      </c>
      <c r="W19" s="20">
        <v>21.73</v>
      </c>
      <c r="X19" s="20">
        <v>24.9</v>
      </c>
      <c r="Y19" s="21">
        <f>DADOS.GERAL!$X19-DADOS.GERAL!$W19</f>
        <v>3.1699999999999982</v>
      </c>
    </row>
    <row r="20" spans="2:25">
      <c r="B20" s="18">
        <v>224</v>
      </c>
      <c r="C20" s="19" t="s">
        <v>156</v>
      </c>
      <c r="D20" s="19" t="s">
        <v>91</v>
      </c>
      <c r="E20" s="19" t="s">
        <v>105</v>
      </c>
      <c r="F20" s="19" t="s">
        <v>157</v>
      </c>
      <c r="G20" s="19" t="s">
        <v>72</v>
      </c>
      <c r="H20" s="20">
        <v>0</v>
      </c>
      <c r="I20" s="20">
        <v>147</v>
      </c>
      <c r="J20" s="21">
        <f>DADOS.GERAL!$I20-DADOS.GERAL!$H20</f>
        <v>147</v>
      </c>
      <c r="L20" s="18" t="s">
        <v>158</v>
      </c>
      <c r="M20" s="19" t="s">
        <v>66</v>
      </c>
      <c r="N20" s="19" t="s">
        <v>133</v>
      </c>
      <c r="O20" s="19" t="s">
        <v>52</v>
      </c>
      <c r="P20" s="20">
        <v>0</v>
      </c>
      <c r="Q20" s="20">
        <v>13</v>
      </c>
      <c r="R20" s="21">
        <f>DADOS.GERAL!$Q20-DADOS.GERAL!$P20</f>
        <v>13</v>
      </c>
      <c r="T20" s="18" t="s">
        <v>53</v>
      </c>
      <c r="U20" s="19" t="s">
        <v>159</v>
      </c>
      <c r="V20" s="19" t="s">
        <v>54</v>
      </c>
      <c r="W20" s="20">
        <v>21.73</v>
      </c>
      <c r="X20" s="20">
        <v>29.9</v>
      </c>
      <c r="Y20" s="21">
        <f>DADOS.GERAL!$X20-DADOS.GERAL!$W20</f>
        <v>8.1699999999999982</v>
      </c>
    </row>
    <row r="21" spans="2:25" ht="15.75" customHeight="1">
      <c r="B21" s="18">
        <v>225</v>
      </c>
      <c r="C21" s="19" t="s">
        <v>160</v>
      </c>
      <c r="D21" s="19" t="s">
        <v>85</v>
      </c>
      <c r="E21" s="19" t="s">
        <v>113</v>
      </c>
      <c r="F21" s="19" t="s">
        <v>68</v>
      </c>
      <c r="G21" s="19" t="s">
        <v>79</v>
      </c>
      <c r="H21" s="20">
        <v>80</v>
      </c>
      <c r="I21" s="20">
        <v>138.9</v>
      </c>
      <c r="J21" s="21">
        <f>DADOS.GERAL!$I21-DADOS.GERAL!$H21</f>
        <v>58.900000000000006</v>
      </c>
      <c r="L21" s="18" t="s">
        <v>161</v>
      </c>
      <c r="M21" s="19" t="s">
        <v>77</v>
      </c>
      <c r="N21" s="19" t="s">
        <v>107</v>
      </c>
      <c r="O21" s="19" t="s">
        <v>58</v>
      </c>
      <c r="P21" s="20">
        <v>2.5</v>
      </c>
      <c r="Q21" s="20">
        <v>3</v>
      </c>
      <c r="R21" s="21">
        <f>DADOS.GERAL!$Q21-DADOS.GERAL!$P21</f>
        <v>0.5</v>
      </c>
      <c r="T21" s="18" t="s">
        <v>53</v>
      </c>
      <c r="U21" s="19" t="s">
        <v>162</v>
      </c>
      <c r="V21" s="19" t="s">
        <v>54</v>
      </c>
      <c r="W21" s="20">
        <v>21.73</v>
      </c>
      <c r="X21" s="20">
        <v>24.9</v>
      </c>
      <c r="Y21" s="21">
        <f>DADOS.GERAL!$X21-DADOS.GERAL!$W21</f>
        <v>3.1699999999999982</v>
      </c>
    </row>
    <row r="22" spans="2:25" ht="15.75" customHeight="1">
      <c r="B22" s="18">
        <v>227</v>
      </c>
      <c r="C22" s="19" t="s">
        <v>163</v>
      </c>
      <c r="D22" s="19" t="s">
        <v>55</v>
      </c>
      <c r="E22" s="19" t="s">
        <v>113</v>
      </c>
      <c r="F22" s="19" t="s">
        <v>68</v>
      </c>
      <c r="G22" s="19" t="s">
        <v>79</v>
      </c>
      <c r="H22" s="20">
        <v>100</v>
      </c>
      <c r="I22" s="20">
        <v>218.5</v>
      </c>
      <c r="J22" s="21">
        <f>DADOS.GERAL!$I22-DADOS.GERAL!$H22</f>
        <v>118.5</v>
      </c>
      <c r="L22" s="18" t="s">
        <v>164</v>
      </c>
      <c r="M22" s="19" t="s">
        <v>77</v>
      </c>
      <c r="N22" s="19" t="s">
        <v>107</v>
      </c>
      <c r="O22" s="19" t="s">
        <v>58</v>
      </c>
      <c r="P22" s="20">
        <v>2.5</v>
      </c>
      <c r="Q22" s="20">
        <v>3</v>
      </c>
      <c r="R22" s="21">
        <f>DADOS.GERAL!$Q22-DADOS.GERAL!$P22</f>
        <v>0.5</v>
      </c>
      <c r="T22" s="18" t="s">
        <v>53</v>
      </c>
      <c r="U22" s="19" t="s">
        <v>165</v>
      </c>
      <c r="V22" s="19" t="s">
        <v>54</v>
      </c>
      <c r="W22" s="20">
        <v>21.73</v>
      </c>
      <c r="X22" s="20">
        <v>27.9</v>
      </c>
      <c r="Y22" s="21">
        <f>DADOS.GERAL!$X22-DADOS.GERAL!$W22</f>
        <v>6.1699999999999982</v>
      </c>
    </row>
    <row r="23" spans="2:25" ht="15.75" customHeight="1">
      <c r="B23" s="18">
        <v>226</v>
      </c>
      <c r="C23" s="19" t="s">
        <v>166</v>
      </c>
      <c r="D23" s="19" t="s">
        <v>55</v>
      </c>
      <c r="E23" s="19" t="s">
        <v>113</v>
      </c>
      <c r="F23" s="19" t="s">
        <v>68</v>
      </c>
      <c r="G23" s="19" t="s">
        <v>79</v>
      </c>
      <c r="H23" s="20">
        <v>100</v>
      </c>
      <c r="I23" s="20">
        <v>189</v>
      </c>
      <c r="J23" s="21">
        <f>DADOS.GERAL!$I23-DADOS.GERAL!$H23</f>
        <v>89</v>
      </c>
      <c r="L23" s="18" t="s">
        <v>167</v>
      </c>
      <c r="M23" s="19" t="s">
        <v>77</v>
      </c>
      <c r="N23" s="19" t="s">
        <v>107</v>
      </c>
      <c r="O23" s="19" t="s">
        <v>58</v>
      </c>
      <c r="P23" s="20">
        <v>2.5</v>
      </c>
      <c r="Q23" s="20">
        <v>3</v>
      </c>
      <c r="R23" s="21">
        <f>DADOS.GERAL!$Q23-DADOS.GERAL!$P23</f>
        <v>0.5</v>
      </c>
      <c r="T23" s="18" t="s">
        <v>53</v>
      </c>
      <c r="U23" s="19" t="s">
        <v>168</v>
      </c>
      <c r="V23" s="19" t="s">
        <v>54</v>
      </c>
      <c r="W23" s="20">
        <v>21.73</v>
      </c>
      <c r="X23" s="20">
        <v>24.9</v>
      </c>
      <c r="Y23" s="21">
        <f>DADOS.GERAL!$X23-DADOS.GERAL!$W23</f>
        <v>3.1699999999999982</v>
      </c>
    </row>
    <row r="24" spans="2:25" ht="15.75" customHeight="1">
      <c r="B24" s="18">
        <v>228</v>
      </c>
      <c r="C24" s="19" t="s">
        <v>169</v>
      </c>
      <c r="D24" s="19" t="s">
        <v>87</v>
      </c>
      <c r="E24" s="19" t="s">
        <v>113</v>
      </c>
      <c r="F24" s="19" t="s">
        <v>157</v>
      </c>
      <c r="G24" s="19" t="s">
        <v>76</v>
      </c>
      <c r="H24" s="20">
        <v>80</v>
      </c>
      <c r="I24" s="20">
        <v>127.9</v>
      </c>
      <c r="J24" s="21">
        <f>DADOS.GERAL!$I24-DADOS.GERAL!$H24</f>
        <v>47.900000000000006</v>
      </c>
      <c r="L24" s="18" t="s">
        <v>170</v>
      </c>
      <c r="M24" s="19" t="s">
        <v>77</v>
      </c>
      <c r="N24" s="19" t="s">
        <v>107</v>
      </c>
      <c r="O24" s="19" t="s">
        <v>58</v>
      </c>
      <c r="P24" s="20">
        <v>2.5</v>
      </c>
      <c r="Q24" s="20">
        <v>3</v>
      </c>
      <c r="R24" s="21">
        <f>DADOS.GERAL!$Q24-DADOS.GERAL!$P24</f>
        <v>0.5</v>
      </c>
      <c r="T24" s="18" t="s">
        <v>53</v>
      </c>
      <c r="U24" s="19" t="s">
        <v>171</v>
      </c>
      <c r="V24" s="19" t="s">
        <v>54</v>
      </c>
      <c r="W24" s="20">
        <v>21.73</v>
      </c>
      <c r="X24" s="20">
        <v>24.9</v>
      </c>
      <c r="Y24" s="21">
        <f>DADOS.GERAL!$X24-DADOS.GERAL!$W24</f>
        <v>3.1699999999999982</v>
      </c>
    </row>
    <row r="25" spans="2:25" ht="15.75" customHeight="1">
      <c r="B25" s="18">
        <v>229</v>
      </c>
      <c r="C25" s="19" t="s">
        <v>90</v>
      </c>
      <c r="D25" s="19" t="s">
        <v>90</v>
      </c>
      <c r="E25" s="19" t="s">
        <v>113</v>
      </c>
      <c r="F25" s="19" t="s">
        <v>157</v>
      </c>
      <c r="G25" s="19" t="s">
        <v>76</v>
      </c>
      <c r="H25" s="20">
        <v>80</v>
      </c>
      <c r="I25" s="20">
        <v>149.99</v>
      </c>
      <c r="J25" s="21">
        <f>DADOS.GERAL!$I25-DADOS.GERAL!$H25</f>
        <v>69.990000000000009</v>
      </c>
      <c r="L25" s="18" t="s">
        <v>172</v>
      </c>
      <c r="M25" s="19" t="s">
        <v>77</v>
      </c>
      <c r="N25" s="19" t="s">
        <v>107</v>
      </c>
      <c r="O25" s="19" t="s">
        <v>58</v>
      </c>
      <c r="P25" s="20">
        <v>2.5</v>
      </c>
      <c r="Q25" s="20">
        <v>3</v>
      </c>
      <c r="R25" s="21">
        <f>DADOS.GERAL!$Q25-DADOS.GERAL!$P25</f>
        <v>0.5</v>
      </c>
      <c r="T25" s="18" t="s">
        <v>53</v>
      </c>
      <c r="U25" s="19" t="s">
        <v>173</v>
      </c>
      <c r="V25" s="19" t="s">
        <v>54</v>
      </c>
      <c r="W25" s="20">
        <v>21.73</v>
      </c>
      <c r="X25" s="20">
        <v>24.9</v>
      </c>
      <c r="Y25" s="21">
        <f>DADOS.GERAL!$X25-DADOS.GERAL!$W25</f>
        <v>3.1699999999999982</v>
      </c>
    </row>
    <row r="26" spans="2:25" ht="15.75" customHeight="1">
      <c r="B26" s="18">
        <v>230</v>
      </c>
      <c r="C26" s="19" t="s">
        <v>174</v>
      </c>
      <c r="D26" s="19" t="s">
        <v>49</v>
      </c>
      <c r="E26" s="19" t="s">
        <v>113</v>
      </c>
      <c r="F26" s="19" t="s">
        <v>157</v>
      </c>
      <c r="G26" s="19" t="s">
        <v>76</v>
      </c>
      <c r="H26" s="20">
        <v>98.9</v>
      </c>
      <c r="I26" s="20">
        <v>150.9</v>
      </c>
      <c r="J26" s="21">
        <f>DADOS.GERAL!$I26-DADOS.GERAL!$H26</f>
        <v>52</v>
      </c>
      <c r="L26" s="18" t="s">
        <v>175</v>
      </c>
      <c r="M26" s="19" t="s">
        <v>57</v>
      </c>
      <c r="N26" s="19" t="s">
        <v>107</v>
      </c>
      <c r="O26" s="19" t="s">
        <v>58</v>
      </c>
      <c r="P26" s="20">
        <v>99</v>
      </c>
      <c r="Q26" s="20">
        <v>80</v>
      </c>
      <c r="R26" s="21">
        <f>DADOS.GERAL!$Q26-DADOS.GERAL!$P26</f>
        <v>-19</v>
      </c>
      <c r="T26" s="18" t="s">
        <v>53</v>
      </c>
      <c r="U26" s="19" t="s">
        <v>176</v>
      </c>
      <c r="V26" s="19" t="s">
        <v>54</v>
      </c>
      <c r="W26" s="20">
        <v>21.73</v>
      </c>
      <c r="X26" s="20">
        <v>24.9</v>
      </c>
      <c r="Y26" s="21">
        <f>DADOS.GERAL!$X26-DADOS.GERAL!$W26</f>
        <v>3.1699999999999982</v>
      </c>
    </row>
    <row r="27" spans="2:25" ht="15.75" customHeight="1">
      <c r="B27" s="18">
        <v>231</v>
      </c>
      <c r="C27" s="19" t="s">
        <v>177</v>
      </c>
      <c r="D27" s="19" t="s">
        <v>49</v>
      </c>
      <c r="E27" s="19" t="s">
        <v>113</v>
      </c>
      <c r="F27" s="19" t="s">
        <v>157</v>
      </c>
      <c r="G27" s="19" t="s">
        <v>76</v>
      </c>
      <c r="H27" s="20">
        <v>99.9</v>
      </c>
      <c r="I27" s="20">
        <v>150.9</v>
      </c>
      <c r="J27" s="21">
        <f>DADOS.GERAL!$I27-DADOS.GERAL!$H27</f>
        <v>51</v>
      </c>
      <c r="L27" s="18" t="s">
        <v>178</v>
      </c>
      <c r="M27" s="19" t="s">
        <v>70</v>
      </c>
      <c r="N27" s="19" t="s">
        <v>107</v>
      </c>
      <c r="O27" s="19" t="s">
        <v>58</v>
      </c>
      <c r="P27" s="20">
        <v>0</v>
      </c>
      <c r="Q27" s="20">
        <v>13</v>
      </c>
      <c r="R27" s="21">
        <f>DADOS.GERAL!$Q27-DADOS.GERAL!$P27</f>
        <v>13</v>
      </c>
      <c r="T27" s="18" t="s">
        <v>53</v>
      </c>
      <c r="U27" s="19" t="s">
        <v>179</v>
      </c>
      <c r="V27" s="19" t="s">
        <v>54</v>
      </c>
      <c r="W27" s="20">
        <v>21.73</v>
      </c>
      <c r="X27" s="20">
        <v>29.9</v>
      </c>
      <c r="Y27" s="21">
        <f>DADOS.GERAL!$X27-DADOS.GERAL!$W27</f>
        <v>8.1699999999999982</v>
      </c>
    </row>
    <row r="28" spans="2:25" ht="15.75" customHeight="1">
      <c r="B28" s="18">
        <v>232</v>
      </c>
      <c r="C28" s="19" t="s">
        <v>180</v>
      </c>
      <c r="D28" s="19" t="s">
        <v>68</v>
      </c>
      <c r="E28" s="19" t="s">
        <v>113</v>
      </c>
      <c r="F28" s="19" t="s">
        <v>68</v>
      </c>
      <c r="G28" s="19" t="s">
        <v>62</v>
      </c>
      <c r="H28" s="20">
        <v>150</v>
      </c>
      <c r="I28" s="20">
        <v>130.5</v>
      </c>
      <c r="J28" s="21">
        <f>DADOS.GERAL!$I28-DADOS.GERAL!$H28</f>
        <v>-19.5</v>
      </c>
      <c r="L28" s="18" t="s">
        <v>181</v>
      </c>
      <c r="M28" s="19" t="s">
        <v>70</v>
      </c>
      <c r="N28" s="19" t="s">
        <v>107</v>
      </c>
      <c r="O28" s="19" t="s">
        <v>58</v>
      </c>
      <c r="P28" s="20">
        <v>0</v>
      </c>
      <c r="Q28" s="20">
        <v>13</v>
      </c>
      <c r="R28" s="21">
        <f>DADOS.GERAL!$Q28-DADOS.GERAL!$P28</f>
        <v>13</v>
      </c>
      <c r="T28" s="18" t="s">
        <v>59</v>
      </c>
      <c r="U28" s="19" t="s">
        <v>182</v>
      </c>
      <c r="V28" s="19" t="s">
        <v>60</v>
      </c>
      <c r="W28" s="20">
        <v>39.9</v>
      </c>
      <c r="X28" s="20">
        <v>39.9</v>
      </c>
      <c r="Y28" s="21">
        <f>DADOS.GERAL!$X28-DADOS.GERAL!$W28</f>
        <v>0</v>
      </c>
    </row>
    <row r="29" spans="2:25" ht="15.75" customHeight="1">
      <c r="B29" s="18">
        <v>233</v>
      </c>
      <c r="C29" s="19" t="s">
        <v>183</v>
      </c>
      <c r="D29" s="19" t="s">
        <v>49</v>
      </c>
      <c r="E29" s="19" t="s">
        <v>113</v>
      </c>
      <c r="F29" s="19" t="s">
        <v>157</v>
      </c>
      <c r="G29" s="19" t="s">
        <v>62</v>
      </c>
      <c r="H29" s="20">
        <v>145</v>
      </c>
      <c r="I29" s="20">
        <v>150.9</v>
      </c>
      <c r="J29" s="21">
        <f>DADOS.GERAL!$I29-DADOS.GERAL!$H29</f>
        <v>5.9000000000000057</v>
      </c>
      <c r="L29" s="18" t="s">
        <v>184</v>
      </c>
      <c r="M29" s="19" t="s">
        <v>70</v>
      </c>
      <c r="N29" s="19" t="s">
        <v>107</v>
      </c>
      <c r="O29" s="19" t="s">
        <v>58</v>
      </c>
      <c r="P29" s="20">
        <v>0</v>
      </c>
      <c r="Q29" s="20">
        <v>13</v>
      </c>
      <c r="R29" s="21">
        <f>DADOS.GERAL!$Q29-DADOS.GERAL!$P29</f>
        <v>13</v>
      </c>
      <c r="T29" s="18" t="s">
        <v>59</v>
      </c>
      <c r="U29" s="19" t="s">
        <v>108</v>
      </c>
      <c r="V29" s="19" t="s">
        <v>60</v>
      </c>
      <c r="W29" s="20">
        <v>29.9</v>
      </c>
      <c r="X29" s="20">
        <v>39.9</v>
      </c>
      <c r="Y29" s="21">
        <f>DADOS.GERAL!$X29-DADOS.GERAL!$W29</f>
        <v>10</v>
      </c>
    </row>
    <row r="30" spans="2:25" ht="15.75" customHeight="1">
      <c r="B30" s="18">
        <v>234</v>
      </c>
      <c r="C30" s="19" t="s">
        <v>185</v>
      </c>
      <c r="D30" s="19" t="s">
        <v>86</v>
      </c>
      <c r="E30" s="19" t="s">
        <v>105</v>
      </c>
      <c r="F30" s="19" t="s">
        <v>117</v>
      </c>
      <c r="G30" s="19" t="s">
        <v>62</v>
      </c>
      <c r="H30" s="20">
        <v>0</v>
      </c>
      <c r="I30" s="20">
        <v>139.9</v>
      </c>
      <c r="J30" s="21">
        <f>DADOS.GERAL!$I30-DADOS.GERAL!$H30</f>
        <v>139.9</v>
      </c>
      <c r="L30" s="18" t="s">
        <v>186</v>
      </c>
      <c r="M30" s="19" t="s">
        <v>70</v>
      </c>
      <c r="N30" s="19" t="s">
        <v>107</v>
      </c>
      <c r="O30" s="19" t="s">
        <v>58</v>
      </c>
      <c r="P30" s="20">
        <v>0</v>
      </c>
      <c r="Q30" s="20">
        <v>13</v>
      </c>
      <c r="R30" s="21">
        <f>DADOS.GERAL!$Q30-DADOS.GERAL!$P30</f>
        <v>13</v>
      </c>
      <c r="T30" s="18" t="s">
        <v>59</v>
      </c>
      <c r="U30" s="19" t="s">
        <v>115</v>
      </c>
      <c r="V30" s="19" t="s">
        <v>60</v>
      </c>
      <c r="W30" s="20">
        <v>29.9</v>
      </c>
      <c r="X30" s="20">
        <v>39.9</v>
      </c>
      <c r="Y30" s="21">
        <f>DADOS.GERAL!$X30-DADOS.GERAL!$W30</f>
        <v>10</v>
      </c>
    </row>
    <row r="31" spans="2:25" ht="15.75" customHeight="1">
      <c r="B31" s="18">
        <v>235</v>
      </c>
      <c r="C31" s="19" t="s">
        <v>187</v>
      </c>
      <c r="D31" s="19" t="s">
        <v>86</v>
      </c>
      <c r="E31" s="19" t="s">
        <v>105</v>
      </c>
      <c r="F31" s="19" t="s">
        <v>117</v>
      </c>
      <c r="G31" s="19" t="s">
        <v>62</v>
      </c>
      <c r="H31" s="20">
        <v>145</v>
      </c>
      <c r="I31" s="20">
        <v>134.99</v>
      </c>
      <c r="J31" s="21">
        <f>DADOS.GERAL!$I31-DADOS.GERAL!$H31</f>
        <v>-10.009999999999991</v>
      </c>
      <c r="L31" s="18" t="s">
        <v>186</v>
      </c>
      <c r="M31" s="19" t="s">
        <v>70</v>
      </c>
      <c r="N31" s="19" t="s">
        <v>107</v>
      </c>
      <c r="O31" s="19" t="s">
        <v>58</v>
      </c>
      <c r="P31" s="20">
        <v>0</v>
      </c>
      <c r="Q31" s="20">
        <v>13</v>
      </c>
      <c r="R31" s="21">
        <f>DADOS.GERAL!$Q31-DADOS.GERAL!$P31</f>
        <v>13</v>
      </c>
      <c r="T31" s="18" t="s">
        <v>59</v>
      </c>
      <c r="U31" s="19" t="s">
        <v>119</v>
      </c>
      <c r="V31" s="19" t="s">
        <v>60</v>
      </c>
      <c r="W31" s="20">
        <v>29.9</v>
      </c>
      <c r="X31" s="20">
        <v>39.9</v>
      </c>
      <c r="Y31" s="21">
        <f>DADOS.GERAL!$X31-DADOS.GERAL!$W31</f>
        <v>10</v>
      </c>
    </row>
    <row r="32" spans="2:25" ht="15.75" customHeight="1">
      <c r="B32" s="18">
        <v>810</v>
      </c>
      <c r="C32" s="19" t="s">
        <v>188</v>
      </c>
      <c r="D32" s="19" t="s">
        <v>49</v>
      </c>
      <c r="E32" s="19" t="s">
        <v>113</v>
      </c>
      <c r="F32" s="19" t="s">
        <v>157</v>
      </c>
      <c r="G32" s="19" t="s">
        <v>69</v>
      </c>
      <c r="H32" s="20">
        <v>142.4</v>
      </c>
      <c r="I32" s="20">
        <v>150.9</v>
      </c>
      <c r="J32" s="21">
        <f>DADOS.GERAL!$I32-DADOS.GERAL!$H32</f>
        <v>8.5</v>
      </c>
      <c r="L32" s="18" t="s">
        <v>189</v>
      </c>
      <c r="M32" s="19" t="s">
        <v>51</v>
      </c>
      <c r="N32" s="19" t="s">
        <v>107</v>
      </c>
      <c r="O32" s="19" t="s">
        <v>74</v>
      </c>
      <c r="P32" s="20">
        <v>14</v>
      </c>
      <c r="Q32" s="20">
        <v>20</v>
      </c>
      <c r="R32" s="21">
        <f>DADOS.GERAL!$Q32-DADOS.GERAL!$P32</f>
        <v>6</v>
      </c>
      <c r="T32" s="19" t="s">
        <v>59</v>
      </c>
      <c r="U32" s="19" t="s">
        <v>122</v>
      </c>
      <c r="V32" s="19" t="s">
        <v>60</v>
      </c>
      <c r="W32" s="20">
        <v>29.9</v>
      </c>
      <c r="X32" s="20">
        <v>39.9</v>
      </c>
      <c r="Y32" s="20">
        <f>DADOS.GERAL!$X32-DADOS.GERAL!$W32</f>
        <v>10</v>
      </c>
    </row>
    <row r="33" spans="2:25" ht="15.75" customHeight="1">
      <c r="B33" s="18">
        <v>443</v>
      </c>
      <c r="C33" s="19" t="s">
        <v>190</v>
      </c>
      <c r="D33" s="19" t="s">
        <v>61</v>
      </c>
      <c r="E33" s="19" t="s">
        <v>113</v>
      </c>
      <c r="F33" s="19" t="s">
        <v>129</v>
      </c>
      <c r="G33" s="19" t="s">
        <v>69</v>
      </c>
      <c r="H33" s="20">
        <v>129.9</v>
      </c>
      <c r="I33" s="20">
        <v>271.89999999999998</v>
      </c>
      <c r="J33" s="21">
        <f>DADOS.GERAL!$I33-DADOS.GERAL!$H33</f>
        <v>141.99999999999997</v>
      </c>
      <c r="L33" s="18" t="s">
        <v>191</v>
      </c>
      <c r="M33" s="19" t="s">
        <v>51</v>
      </c>
      <c r="N33" s="19" t="s">
        <v>192</v>
      </c>
      <c r="O33" s="19" t="s">
        <v>65</v>
      </c>
      <c r="P33" s="20">
        <v>239.9</v>
      </c>
      <c r="Q33" s="20">
        <v>280</v>
      </c>
      <c r="R33" s="21">
        <f>DADOS.GERAL!$Q33-DADOS.GERAL!$P33</f>
        <v>40.099999999999994</v>
      </c>
      <c r="T33" s="19" t="s">
        <v>59</v>
      </c>
      <c r="U33" s="19" t="s">
        <v>125</v>
      </c>
      <c r="V33" s="19" t="s">
        <v>60</v>
      </c>
      <c r="W33" s="20">
        <v>29.9</v>
      </c>
      <c r="X33" s="20">
        <v>39.9</v>
      </c>
      <c r="Y33" s="20">
        <f>DADOS.GERAL!$X33-DADOS.GERAL!$W33</f>
        <v>10</v>
      </c>
    </row>
    <row r="34" spans="2:25" ht="15.75" customHeight="1">
      <c r="B34" s="18">
        <v>444</v>
      </c>
      <c r="C34" s="19" t="s">
        <v>193</v>
      </c>
      <c r="D34" s="19" t="s">
        <v>61</v>
      </c>
      <c r="E34" s="19" t="s">
        <v>113</v>
      </c>
      <c r="F34" s="19" t="s">
        <v>129</v>
      </c>
      <c r="G34" s="19" t="s">
        <v>69</v>
      </c>
      <c r="H34" s="20">
        <v>129.9</v>
      </c>
      <c r="I34" s="20">
        <v>154.6</v>
      </c>
      <c r="J34" s="21">
        <f>DADOS.GERAL!$I34-DADOS.GERAL!$H34</f>
        <v>24.699999999999989</v>
      </c>
      <c r="L34" s="18" t="s">
        <v>194</v>
      </c>
      <c r="M34" s="19" t="s">
        <v>51</v>
      </c>
      <c r="N34" s="19" t="s">
        <v>192</v>
      </c>
      <c r="O34" s="19" t="s">
        <v>54</v>
      </c>
      <c r="P34" s="20">
        <v>239.9</v>
      </c>
      <c r="Q34" s="20">
        <v>289.89999999999998</v>
      </c>
      <c r="R34" s="21">
        <f>DADOS.GERAL!$Q34-DADOS.GERAL!$P34</f>
        <v>49.999999999999972</v>
      </c>
      <c r="T34" s="19" t="s">
        <v>64</v>
      </c>
      <c r="U34" s="22" t="s">
        <v>115</v>
      </c>
      <c r="V34" s="22" t="s">
        <v>195</v>
      </c>
      <c r="W34" s="23">
        <v>82.35</v>
      </c>
      <c r="X34" s="23">
        <v>84.9</v>
      </c>
      <c r="Y34" s="20">
        <f>DADOS.GERAL!$X34-DADOS.GERAL!$W34</f>
        <v>2.5500000000000114</v>
      </c>
    </row>
    <row r="35" spans="2:25" ht="15.75" customHeight="1">
      <c r="B35" s="18">
        <v>10</v>
      </c>
      <c r="C35" s="19" t="s">
        <v>196</v>
      </c>
      <c r="D35" s="19" t="s">
        <v>82</v>
      </c>
      <c r="E35" s="19" t="s">
        <v>113</v>
      </c>
      <c r="F35" s="19" t="s">
        <v>117</v>
      </c>
      <c r="G35" s="19" t="s">
        <v>69</v>
      </c>
      <c r="H35" s="20">
        <v>129.9</v>
      </c>
      <c r="I35" s="20">
        <v>139.99</v>
      </c>
      <c r="J35" s="21">
        <f>DADOS.GERAL!$I35-DADOS.GERAL!$H35</f>
        <v>10.090000000000003</v>
      </c>
      <c r="L35" s="18" t="s">
        <v>197</v>
      </c>
      <c r="M35" s="19" t="s">
        <v>51</v>
      </c>
      <c r="N35" s="19" t="s">
        <v>192</v>
      </c>
      <c r="O35" s="19" t="s">
        <v>54</v>
      </c>
      <c r="P35" s="20">
        <v>239.9</v>
      </c>
      <c r="Q35" s="20">
        <v>280</v>
      </c>
      <c r="R35" s="21">
        <f>DADOS.GERAL!$Q35-DADOS.GERAL!$P35</f>
        <v>40.099999999999994</v>
      </c>
      <c r="T35" s="19" t="s">
        <v>64</v>
      </c>
      <c r="U35" s="22" t="s">
        <v>119</v>
      </c>
      <c r="V35" s="22" t="s">
        <v>195</v>
      </c>
      <c r="W35" s="23">
        <v>82.35</v>
      </c>
      <c r="X35" s="23">
        <v>84.9</v>
      </c>
      <c r="Y35" s="20">
        <f>DADOS.GERAL!$X35-DADOS.GERAL!$W35</f>
        <v>2.5500000000000114</v>
      </c>
    </row>
    <row r="36" spans="2:25" ht="15.75" customHeight="1">
      <c r="B36" s="18">
        <v>799</v>
      </c>
      <c r="C36" s="19" t="s">
        <v>198</v>
      </c>
      <c r="D36" s="19" t="s">
        <v>82</v>
      </c>
      <c r="E36" s="19" t="s">
        <v>113</v>
      </c>
      <c r="F36" s="19" t="s">
        <v>117</v>
      </c>
      <c r="G36" s="19" t="s">
        <v>50</v>
      </c>
      <c r="H36" s="20">
        <v>130</v>
      </c>
      <c r="I36" s="20">
        <v>169.99</v>
      </c>
      <c r="J36" s="21">
        <f>DADOS.GERAL!$I36-DADOS.GERAL!$H36</f>
        <v>39.990000000000009</v>
      </c>
      <c r="L36" s="18" t="s">
        <v>199</v>
      </c>
      <c r="M36" s="19" t="s">
        <v>51</v>
      </c>
      <c r="N36" s="19" t="s">
        <v>107</v>
      </c>
      <c r="O36" s="19" t="s">
        <v>54</v>
      </c>
      <c r="P36" s="20">
        <v>16</v>
      </c>
      <c r="Q36" s="20">
        <v>20</v>
      </c>
      <c r="R36" s="21">
        <f>DADOS.GERAL!$Q36-DADOS.GERAL!$P36</f>
        <v>4</v>
      </c>
      <c r="T36" s="22" t="s">
        <v>200</v>
      </c>
      <c r="U36" s="22" t="s">
        <v>108</v>
      </c>
      <c r="V36" s="22" t="s">
        <v>195</v>
      </c>
      <c r="W36" s="23">
        <v>0</v>
      </c>
      <c r="X36" s="23">
        <v>50.9</v>
      </c>
      <c r="Y36" s="20">
        <f>DADOS.GERAL!$X36-DADOS.GERAL!$W36</f>
        <v>50.9</v>
      </c>
    </row>
    <row r="37" spans="2:25" ht="15.75" customHeight="1">
      <c r="B37" s="18">
        <v>786</v>
      </c>
      <c r="C37" s="19" t="s">
        <v>201</v>
      </c>
      <c r="D37" s="19" t="s">
        <v>93</v>
      </c>
      <c r="E37" s="19" t="s">
        <v>113</v>
      </c>
      <c r="F37" s="19" t="s">
        <v>117</v>
      </c>
      <c r="G37" s="19" t="s">
        <v>50</v>
      </c>
      <c r="H37" s="20">
        <v>120</v>
      </c>
      <c r="I37" s="20">
        <v>125</v>
      </c>
      <c r="J37" s="21">
        <f>DADOS.GERAL!$I37-DADOS.GERAL!$H37</f>
        <v>5</v>
      </c>
      <c r="L37" s="18" t="s">
        <v>202</v>
      </c>
      <c r="M37" s="19" t="s">
        <v>51</v>
      </c>
      <c r="N37" s="19" t="s">
        <v>107</v>
      </c>
      <c r="O37" s="19" t="s">
        <v>54</v>
      </c>
      <c r="P37" s="20">
        <v>100</v>
      </c>
      <c r="Q37" s="20">
        <v>80</v>
      </c>
      <c r="R37" s="21">
        <f>DADOS.GERAL!$Q37-DADOS.GERAL!$P37</f>
        <v>-20</v>
      </c>
      <c r="T37" s="19" t="s">
        <v>53</v>
      </c>
      <c r="U37" s="22" t="s">
        <v>203</v>
      </c>
      <c r="V37" s="22" t="s">
        <v>204</v>
      </c>
      <c r="W37" s="23">
        <v>29.9</v>
      </c>
      <c r="X37" s="20">
        <v>29.9</v>
      </c>
      <c r="Y37" s="20">
        <f>DADOS.GERAL!$X37-DADOS.GERAL!$W37</f>
        <v>0</v>
      </c>
    </row>
    <row r="38" spans="2:25" ht="15.75" customHeight="1">
      <c r="B38" s="18">
        <v>948</v>
      </c>
      <c r="C38" s="19" t="s">
        <v>205</v>
      </c>
      <c r="D38" s="19" t="s">
        <v>87</v>
      </c>
      <c r="E38" s="19" t="s">
        <v>105</v>
      </c>
      <c r="F38" s="19" t="s">
        <v>157</v>
      </c>
      <c r="G38" s="19" t="s">
        <v>50</v>
      </c>
      <c r="H38" s="20">
        <v>125</v>
      </c>
      <c r="I38" s="20">
        <v>122.5</v>
      </c>
      <c r="J38" s="21">
        <f>DADOS.GERAL!$I38-DADOS.GERAL!$H38</f>
        <v>-2.5</v>
      </c>
      <c r="L38" s="18" t="s">
        <v>206</v>
      </c>
      <c r="M38" s="19" t="s">
        <v>51</v>
      </c>
      <c r="N38" s="19" t="s">
        <v>207</v>
      </c>
      <c r="O38" s="19" t="s">
        <v>54</v>
      </c>
      <c r="P38" s="20">
        <v>80</v>
      </c>
      <c r="Q38" s="20">
        <v>99</v>
      </c>
      <c r="R38" s="21">
        <f>DADOS.GERAL!$Q38-DADOS.GERAL!$P38</f>
        <v>19</v>
      </c>
      <c r="T38" s="19" t="s">
        <v>59</v>
      </c>
      <c r="U38" s="22" t="s">
        <v>128</v>
      </c>
      <c r="V38" s="22" t="s">
        <v>204</v>
      </c>
      <c r="W38" s="20">
        <v>39.9</v>
      </c>
      <c r="X38" s="20">
        <v>39.9</v>
      </c>
      <c r="Y38" s="20">
        <f>DADOS.GERAL!$X38-DADOS.GERAL!$W38</f>
        <v>0</v>
      </c>
    </row>
    <row r="39" spans="2:25" ht="15.75" customHeight="1">
      <c r="B39" s="18">
        <v>1126</v>
      </c>
      <c r="C39" s="19" t="s">
        <v>208</v>
      </c>
      <c r="D39" s="19" t="s">
        <v>92</v>
      </c>
      <c r="E39" s="19" t="s">
        <v>105</v>
      </c>
      <c r="F39" s="19" t="s">
        <v>129</v>
      </c>
      <c r="G39" s="19" t="s">
        <v>50</v>
      </c>
      <c r="H39" s="20">
        <v>125</v>
      </c>
      <c r="I39" s="20">
        <v>130</v>
      </c>
      <c r="J39" s="21">
        <f>DADOS.GERAL!$I39-DADOS.GERAL!$H39</f>
        <v>5</v>
      </c>
      <c r="L39" s="18" t="s">
        <v>202</v>
      </c>
      <c r="M39" s="19" t="s">
        <v>51</v>
      </c>
      <c r="N39" s="19" t="s">
        <v>209</v>
      </c>
      <c r="O39" s="19" t="s">
        <v>60</v>
      </c>
      <c r="P39" s="20">
        <v>284.89999999999998</v>
      </c>
      <c r="Q39" s="20">
        <v>299.89999999999998</v>
      </c>
      <c r="R39" s="21">
        <f>DADOS.GERAL!$Q39-DADOS.GERAL!$P39</f>
        <v>15</v>
      </c>
      <c r="T39" s="19" t="s">
        <v>59</v>
      </c>
      <c r="U39" s="22" t="s">
        <v>130</v>
      </c>
      <c r="V39" s="22" t="s">
        <v>204</v>
      </c>
      <c r="W39" s="20">
        <v>39.9</v>
      </c>
      <c r="X39" s="20">
        <v>39.9</v>
      </c>
      <c r="Y39" s="20">
        <f>DADOS.GERAL!$X39-DADOS.GERAL!$W39</f>
        <v>0</v>
      </c>
    </row>
    <row r="40" spans="2:25" ht="15.75" customHeight="1">
      <c r="B40" s="18">
        <v>926</v>
      </c>
      <c r="C40" s="19" t="s">
        <v>210</v>
      </c>
      <c r="D40" s="19" t="s">
        <v>51</v>
      </c>
      <c r="E40" s="19" t="s">
        <v>105</v>
      </c>
      <c r="F40" s="19" t="s">
        <v>157</v>
      </c>
      <c r="G40" s="19" t="s">
        <v>50</v>
      </c>
      <c r="H40" s="20">
        <v>150</v>
      </c>
      <c r="I40" s="20">
        <v>200</v>
      </c>
      <c r="J40" s="21">
        <f>DADOS.GERAL!$I40-DADOS.GERAL!$H40</f>
        <v>50</v>
      </c>
      <c r="L40" s="4" t="s">
        <v>211</v>
      </c>
      <c r="M40" s="24" t="s">
        <v>51</v>
      </c>
      <c r="N40" s="24" t="s">
        <v>192</v>
      </c>
      <c r="O40" s="24" t="s">
        <v>60</v>
      </c>
      <c r="P40" s="6">
        <v>249.9</v>
      </c>
      <c r="Q40" s="25">
        <v>239.9</v>
      </c>
      <c r="R40" s="26">
        <f>DADOS.GERAL!$Q40-DADOS.GERAL!$P40</f>
        <v>-10</v>
      </c>
    </row>
    <row r="41" spans="2:25" ht="15.75" customHeight="1">
      <c r="B41" s="18">
        <v>921</v>
      </c>
      <c r="C41" s="19" t="s">
        <v>212</v>
      </c>
      <c r="D41" s="19" t="s">
        <v>51</v>
      </c>
      <c r="E41" s="19" t="s">
        <v>105</v>
      </c>
      <c r="F41" s="19" t="s">
        <v>157</v>
      </c>
      <c r="G41" s="19" t="s">
        <v>50</v>
      </c>
      <c r="H41" s="20">
        <v>180</v>
      </c>
      <c r="I41" s="20">
        <v>200</v>
      </c>
      <c r="J41" s="21">
        <f>DADOS.GERAL!$I41-DADOS.GERAL!$H41</f>
        <v>20</v>
      </c>
      <c r="L41" s="22" t="s">
        <v>213</v>
      </c>
      <c r="M41" s="22" t="s">
        <v>51</v>
      </c>
      <c r="N41" s="22" t="s">
        <v>192</v>
      </c>
      <c r="O41" s="22" t="s">
        <v>214</v>
      </c>
      <c r="P41" s="25">
        <v>239.9</v>
      </c>
      <c r="Q41" s="25">
        <v>229.9</v>
      </c>
      <c r="R41" s="26">
        <f>DADOS.GERAL!$Q41-DADOS.GERAL!$P41</f>
        <v>-10</v>
      </c>
    </row>
    <row r="42" spans="2:25" ht="15.75" customHeight="1">
      <c r="B42" s="18">
        <v>806</v>
      </c>
      <c r="C42" s="19" t="s">
        <v>215</v>
      </c>
      <c r="D42" s="19" t="s">
        <v>49</v>
      </c>
      <c r="E42" s="19" t="s">
        <v>113</v>
      </c>
      <c r="F42" s="19" t="s">
        <v>157</v>
      </c>
      <c r="G42" s="19" t="s">
        <v>74</v>
      </c>
      <c r="H42" s="20">
        <v>129.9</v>
      </c>
      <c r="I42" s="20">
        <v>150.9</v>
      </c>
      <c r="J42" s="21">
        <f>DADOS.GERAL!$I42-DADOS.GERAL!$H42</f>
        <v>21</v>
      </c>
    </row>
    <row r="43" spans="2:25" ht="15.75" customHeight="1">
      <c r="B43" s="18">
        <v>519</v>
      </c>
      <c r="C43" s="19" t="s">
        <v>216</v>
      </c>
      <c r="D43" s="19" t="s">
        <v>83</v>
      </c>
      <c r="E43" s="19" t="s">
        <v>105</v>
      </c>
      <c r="F43" s="19" t="s">
        <v>68</v>
      </c>
      <c r="G43" s="19" t="s">
        <v>65</v>
      </c>
      <c r="H43" s="20">
        <v>150</v>
      </c>
      <c r="I43" s="20">
        <v>189.9</v>
      </c>
      <c r="J43" s="21">
        <f>DADOS.GERAL!$I43-DADOS.GERAL!$H43</f>
        <v>39.900000000000006</v>
      </c>
    </row>
    <row r="44" spans="2:25" ht="15.75" customHeight="1">
      <c r="B44" s="18">
        <v>93</v>
      </c>
      <c r="C44" s="19" t="s">
        <v>217</v>
      </c>
      <c r="D44" s="19" t="s">
        <v>80</v>
      </c>
      <c r="E44" s="19" t="s">
        <v>113</v>
      </c>
      <c r="F44" s="19" t="s">
        <v>117</v>
      </c>
      <c r="G44" s="19" t="s">
        <v>60</v>
      </c>
      <c r="H44" s="20">
        <v>159.9</v>
      </c>
      <c r="I44" s="20">
        <v>175.22</v>
      </c>
      <c r="J44" s="21">
        <f>DADOS.GERAL!$I44-DADOS.GERAL!$H44</f>
        <v>15.319999999999993</v>
      </c>
    </row>
    <row r="45" spans="2:25" ht="15.75" customHeight="1">
      <c r="B45" s="4">
        <v>94</v>
      </c>
      <c r="C45" s="24" t="s">
        <v>218</v>
      </c>
      <c r="D45" s="24" t="s">
        <v>80</v>
      </c>
      <c r="E45" s="24" t="s">
        <v>113</v>
      </c>
      <c r="F45" s="24" t="s">
        <v>117</v>
      </c>
      <c r="G45" s="24" t="s">
        <v>60</v>
      </c>
      <c r="H45" s="6">
        <v>129.9</v>
      </c>
      <c r="I45" s="6">
        <v>134.9</v>
      </c>
      <c r="J45" s="26">
        <f>DADOS.GERAL!$I45-DADOS.GERAL!$H45</f>
        <v>5</v>
      </c>
    </row>
    <row r="46" spans="2:25" ht="15.75" customHeight="1">
      <c r="I46" s="81"/>
    </row>
    <row r="47" spans="2:25" ht="15.75" customHeight="1">
      <c r="B47" s="27" t="s">
        <v>222</v>
      </c>
      <c r="I47" s="81"/>
    </row>
    <row r="48" spans="2:25" ht="15.75" customHeight="1">
      <c r="B48" s="27" t="s">
        <v>220</v>
      </c>
    </row>
    <row r="49" spans="2:2" ht="15.75" customHeight="1">
      <c r="B49" s="28">
        <v>44637</v>
      </c>
    </row>
    <row r="50" spans="2:2" ht="15.75" customHeight="1"/>
    <row r="51" spans="2:2" ht="15.75" customHeight="1"/>
    <row r="52" spans="2:2" ht="15.75" customHeight="1"/>
    <row r="53" spans="2:2" ht="15.75" customHeight="1"/>
    <row r="54" spans="2:2" ht="15.75" customHeight="1"/>
    <row r="55" spans="2:2" ht="15.75" customHeight="1"/>
    <row r="56" spans="2:2" ht="15.75" customHeight="1"/>
    <row r="57" spans="2:2" ht="15.75" customHeight="1"/>
    <row r="58" spans="2:2" ht="15.75" customHeight="1"/>
    <row r="59" spans="2:2" ht="15.75" customHeight="1"/>
    <row r="60" spans="2:2" ht="15.75" customHeight="1"/>
    <row r="61" spans="2:2" ht="15.75" customHeight="1"/>
    <row r="62" spans="2:2" ht="15.75" customHeight="1"/>
    <row r="63" spans="2:2" ht="15.75" customHeight="1"/>
    <row r="64" spans="2:2" ht="15.75" customHeight="1"/>
    <row r="65" s="31" customFormat="1" ht="15.75" customHeight="1"/>
    <row r="66" s="31" customFormat="1" ht="15.75" customHeight="1"/>
    <row r="67" s="31" customFormat="1" ht="15.75" customHeight="1"/>
    <row r="68" s="31" customFormat="1" ht="15.75" customHeight="1"/>
    <row r="69" s="31" customFormat="1" ht="15.75" customHeight="1"/>
    <row r="70" s="31" customFormat="1" ht="15.75" customHeight="1"/>
    <row r="71" s="31" customFormat="1" ht="15.75" customHeight="1"/>
    <row r="72" s="31" customFormat="1" ht="15.75" customHeight="1"/>
    <row r="73" s="31" customFormat="1" ht="15.75" customHeight="1"/>
    <row r="74" s="31" customFormat="1" ht="15.75" customHeight="1"/>
    <row r="75" s="31" customFormat="1" ht="15.75" customHeight="1"/>
    <row r="76" s="31" customFormat="1" ht="15.75" customHeight="1"/>
    <row r="77" s="31" customFormat="1" ht="15.75" customHeight="1"/>
    <row r="78" s="31" customFormat="1" ht="15.75" customHeight="1"/>
    <row r="79" s="31" customFormat="1" ht="15.75" customHeight="1"/>
    <row r="80" s="31" customFormat="1" ht="15.75" customHeight="1"/>
    <row r="81" s="31" customFormat="1" ht="15.75" customHeight="1"/>
    <row r="82" s="31" customFormat="1" ht="15.75" customHeight="1"/>
    <row r="83" s="31" customFormat="1" ht="15.75" customHeight="1"/>
    <row r="84" s="31" customFormat="1" ht="15.75" customHeight="1"/>
    <row r="85" s="31" customFormat="1" ht="15.75" customHeight="1"/>
    <row r="86" s="31" customFormat="1" ht="15.75" customHeight="1"/>
    <row r="87" s="31" customFormat="1" ht="15.75" customHeight="1"/>
    <row r="88" s="31" customFormat="1" ht="15.75" customHeight="1"/>
    <row r="89" s="31" customFormat="1" ht="15.75" customHeight="1"/>
    <row r="90" s="31" customFormat="1" ht="15.75" customHeight="1"/>
    <row r="91" s="31" customFormat="1" ht="15.75" customHeight="1"/>
    <row r="92" s="31" customFormat="1" ht="15.75" customHeight="1"/>
    <row r="93" s="31" customFormat="1" ht="15.75" customHeight="1"/>
    <row r="94" s="31" customFormat="1" ht="15.75" customHeight="1"/>
    <row r="95" s="31" customFormat="1" ht="15.75" customHeight="1"/>
    <row r="96" s="31" customFormat="1" ht="15.75" customHeight="1"/>
    <row r="97" s="31" customFormat="1" ht="15.75" customHeight="1"/>
    <row r="98" s="31" customFormat="1" ht="15.75" customHeight="1"/>
    <row r="99" s="31" customFormat="1" ht="15.75" customHeight="1"/>
    <row r="100" s="31" customFormat="1" ht="15.75" customHeight="1"/>
    <row r="101" s="31" customFormat="1" ht="15.75" customHeight="1"/>
    <row r="102" s="31" customFormat="1" ht="15.75" customHeight="1"/>
    <row r="103" s="31" customFormat="1" ht="15.75" customHeight="1"/>
    <row r="104" s="31" customFormat="1" ht="15.75" customHeight="1"/>
    <row r="105" s="31" customFormat="1" ht="15.75" customHeight="1"/>
    <row r="106" s="31" customFormat="1" ht="15.75" customHeight="1"/>
    <row r="107" s="31" customFormat="1" ht="15.75" customHeight="1"/>
    <row r="108" s="31" customFormat="1" ht="15.75" customHeight="1"/>
    <row r="109" s="31" customFormat="1" ht="15.75" customHeight="1"/>
    <row r="110" s="31" customFormat="1" ht="15.75" customHeight="1"/>
    <row r="111" s="31" customFormat="1" ht="15.75" customHeight="1"/>
    <row r="112" s="31" customFormat="1" ht="15.75" customHeight="1"/>
    <row r="113" s="31" customFormat="1" ht="15.75" customHeight="1"/>
    <row r="114" s="31" customFormat="1" ht="15.75" customHeight="1"/>
    <row r="115" s="31" customFormat="1" ht="15.75" customHeight="1"/>
    <row r="116" s="31" customFormat="1" ht="15.75" customHeight="1"/>
    <row r="117" s="31" customFormat="1" ht="15.75" customHeight="1"/>
    <row r="118" s="31" customFormat="1" ht="15.75" customHeight="1"/>
    <row r="119" s="31" customFormat="1" ht="15.75" customHeight="1"/>
    <row r="120" s="31" customFormat="1" ht="15.75" customHeight="1"/>
    <row r="121" s="31" customFormat="1" ht="15.75" customHeight="1"/>
    <row r="122" s="31" customFormat="1" ht="15.75" customHeight="1"/>
    <row r="123" s="31" customFormat="1" ht="15.75" customHeight="1"/>
    <row r="124" s="31" customFormat="1" ht="15.75" customHeight="1"/>
    <row r="125" s="31" customFormat="1" ht="15.75" customHeight="1"/>
    <row r="126" s="31" customFormat="1" ht="15.75" customHeight="1"/>
    <row r="127" s="31" customFormat="1" ht="15.75" customHeight="1"/>
    <row r="128" s="31" customFormat="1" ht="15.75" customHeight="1"/>
    <row r="129" s="31" customFormat="1" ht="15.75" customHeight="1"/>
    <row r="130" s="31" customFormat="1" ht="15.75" customHeight="1"/>
    <row r="131" s="31" customFormat="1" ht="15.75" customHeight="1"/>
    <row r="132" s="31" customFormat="1" ht="15.75" customHeight="1"/>
    <row r="133" s="31" customFormat="1" ht="15.75" customHeight="1"/>
    <row r="134" s="31" customFormat="1" ht="15.75" customHeight="1"/>
    <row r="135" s="31" customFormat="1" ht="15.75" customHeight="1"/>
    <row r="136" s="31" customFormat="1" ht="15.75" customHeight="1"/>
    <row r="137" s="31" customFormat="1" ht="15.75" customHeight="1"/>
    <row r="138" s="31" customFormat="1" ht="15.75" customHeight="1"/>
    <row r="139" s="31" customFormat="1" ht="15.75" customHeight="1"/>
    <row r="140" s="31" customFormat="1" ht="15.75" customHeight="1"/>
    <row r="141" s="31" customFormat="1" ht="15.75" customHeight="1"/>
    <row r="142" s="31" customFormat="1" ht="15.75" customHeight="1"/>
    <row r="143" s="31" customFormat="1" ht="15.75" customHeight="1"/>
    <row r="144" s="31" customFormat="1" ht="15.75" customHeight="1"/>
    <row r="145" s="31" customFormat="1" ht="15.75" customHeight="1"/>
    <row r="146" s="31" customFormat="1" ht="15.75" customHeight="1"/>
    <row r="147" s="31" customFormat="1" ht="15.75" customHeight="1"/>
    <row r="148" s="31" customFormat="1" ht="15.75" customHeight="1"/>
    <row r="149" s="31" customFormat="1" ht="15.75" customHeight="1"/>
    <row r="150" s="31" customFormat="1" ht="15.75" customHeight="1"/>
    <row r="151" s="31" customFormat="1" ht="15.75" customHeight="1"/>
    <row r="152" s="31" customFormat="1" ht="15.75" customHeight="1"/>
    <row r="153" s="31" customFormat="1" ht="15.75" customHeight="1"/>
    <row r="154" s="31" customFormat="1" ht="15.75" customHeight="1"/>
    <row r="155" s="31" customFormat="1" ht="15.75" customHeight="1"/>
    <row r="156" s="31" customFormat="1" ht="15.75" customHeight="1"/>
    <row r="157" s="31" customFormat="1" ht="15.75" customHeight="1"/>
    <row r="158" s="31" customFormat="1" ht="15.75" customHeight="1"/>
    <row r="159" s="31" customFormat="1" ht="15.75" customHeight="1"/>
    <row r="160" s="31" customFormat="1" ht="15.75" customHeight="1"/>
    <row r="161" s="31" customFormat="1" ht="15.75" customHeight="1"/>
    <row r="162" s="31" customFormat="1" ht="15.75" customHeight="1"/>
    <row r="163" s="31" customFormat="1" ht="15.75" customHeight="1"/>
    <row r="164" s="31" customFormat="1" ht="15.75" customHeight="1"/>
    <row r="165" s="31" customFormat="1" ht="15.75" customHeight="1"/>
    <row r="166" s="31" customFormat="1" ht="15.75" customHeight="1"/>
    <row r="167" s="31" customFormat="1" ht="15.75" customHeight="1"/>
    <row r="168" s="31" customFormat="1" ht="15.75" customHeight="1"/>
    <row r="169" s="31" customFormat="1" ht="15.75" customHeight="1"/>
    <row r="170" s="31" customFormat="1" ht="15.75" customHeight="1"/>
    <row r="171" s="31" customFormat="1" ht="15.75" customHeight="1"/>
    <row r="172" s="31" customFormat="1" ht="15.75" customHeight="1"/>
    <row r="173" s="31" customFormat="1" ht="15.75" customHeight="1"/>
    <row r="174" s="31" customFormat="1" ht="15.75" customHeight="1"/>
    <row r="175" s="31" customFormat="1" ht="15.75" customHeight="1"/>
    <row r="176" s="31" customFormat="1" ht="15.75" customHeight="1"/>
    <row r="177" s="31" customFormat="1" ht="15.75" customHeight="1"/>
    <row r="178" s="31" customFormat="1" ht="15.75" customHeight="1"/>
    <row r="179" s="31" customFormat="1" ht="15.75" customHeight="1"/>
    <row r="180" s="31" customFormat="1" ht="15.75" customHeight="1"/>
    <row r="181" s="31" customFormat="1" ht="15.75" customHeight="1"/>
    <row r="182" s="31" customFormat="1" ht="15.75" customHeight="1"/>
    <row r="183" s="31" customFormat="1" ht="15.75" customHeight="1"/>
    <row r="184" s="31" customFormat="1" ht="15.75" customHeight="1"/>
    <row r="185" s="31" customFormat="1" ht="15.75" customHeight="1"/>
    <row r="186" s="31" customFormat="1" ht="15.75" customHeight="1"/>
    <row r="187" s="31" customFormat="1" ht="15.75" customHeight="1"/>
    <row r="188" s="31" customFormat="1" ht="15.75" customHeight="1"/>
    <row r="189" s="31" customFormat="1" ht="15.75" customHeight="1"/>
    <row r="190" s="31" customFormat="1" ht="15.75" customHeight="1"/>
    <row r="191" s="31" customFormat="1" ht="15.75" customHeight="1"/>
    <row r="192" s="31" customFormat="1" ht="15.75" customHeight="1"/>
    <row r="193" s="31" customFormat="1" ht="15.75" customHeight="1"/>
    <row r="194" s="31" customFormat="1" ht="15.75" customHeight="1"/>
    <row r="195" s="31" customFormat="1" ht="15.75" customHeight="1"/>
    <row r="196" s="31" customFormat="1" ht="15.75" customHeight="1"/>
    <row r="197" s="31" customFormat="1" ht="15.75" customHeight="1"/>
    <row r="198" s="31" customFormat="1" ht="15.75" customHeight="1"/>
    <row r="199" s="31" customFormat="1" ht="15.75" customHeight="1"/>
    <row r="200" s="31" customFormat="1" ht="15.75" customHeight="1"/>
    <row r="201" s="31" customFormat="1" ht="15.75" customHeight="1"/>
    <row r="202" s="31" customFormat="1" ht="15.75" customHeight="1"/>
    <row r="203" s="31" customFormat="1" ht="15.75" customHeight="1"/>
    <row r="204" s="31" customFormat="1" ht="15.75" customHeight="1"/>
    <row r="205" s="31" customFormat="1" ht="15.75" customHeight="1"/>
    <row r="206" s="31" customFormat="1" ht="15.75" customHeight="1"/>
    <row r="207" s="31" customFormat="1" ht="15.75" customHeight="1"/>
    <row r="208" s="31" customFormat="1" ht="15.75" customHeight="1"/>
    <row r="209" s="31" customFormat="1" ht="15.75" customHeight="1"/>
    <row r="210" s="31" customFormat="1" ht="15.75" customHeight="1"/>
    <row r="211" s="31" customFormat="1" ht="15.75" customHeight="1"/>
    <row r="212" s="31" customFormat="1" ht="15.75" customHeight="1"/>
    <row r="213" s="31" customFormat="1" ht="15.75" customHeight="1"/>
    <row r="214" s="31" customFormat="1" ht="15.75" customHeight="1"/>
    <row r="215" s="31" customFormat="1" ht="15.75" customHeight="1"/>
    <row r="216" s="31" customFormat="1" ht="15.75" customHeight="1"/>
    <row r="217" s="31" customFormat="1" ht="15.75" customHeight="1"/>
    <row r="218" s="31" customFormat="1" ht="15.75" customHeight="1"/>
    <row r="219" s="31" customFormat="1" ht="15.75" customHeight="1"/>
    <row r="220" s="31" customFormat="1" ht="15.75" customHeight="1"/>
    <row r="221" s="31" customFormat="1" ht="15.75" customHeight="1"/>
    <row r="222" s="31" customFormat="1" ht="15.75" customHeight="1"/>
    <row r="223" s="31" customFormat="1" ht="15.75" customHeight="1"/>
    <row r="224" s="31" customFormat="1" ht="15.75" customHeight="1"/>
    <row r="225" s="31" customFormat="1" ht="15.75" customHeight="1"/>
    <row r="226" s="31" customFormat="1" ht="15.75" customHeight="1"/>
    <row r="227" s="31" customFormat="1" ht="15.75" customHeight="1"/>
    <row r="228" s="31" customFormat="1" ht="15.75" customHeight="1"/>
    <row r="229" s="31" customFormat="1" ht="15.75" customHeight="1"/>
    <row r="230" s="31" customFormat="1" ht="15.75" customHeight="1"/>
    <row r="231" s="31" customFormat="1" ht="15.75" customHeight="1"/>
    <row r="232" s="31" customFormat="1" ht="15.75" customHeight="1"/>
    <row r="233" s="31" customFormat="1" ht="15.75" customHeight="1"/>
    <row r="234" s="31" customFormat="1" ht="15.75" customHeight="1"/>
    <row r="235" s="31" customFormat="1" ht="15.75" customHeight="1"/>
    <row r="236" s="31" customFormat="1" ht="15.75" customHeight="1"/>
    <row r="237" s="31" customFormat="1" ht="15.75" customHeight="1"/>
    <row r="238" s="31" customFormat="1" ht="15.75" customHeight="1"/>
    <row r="239" s="31" customFormat="1" ht="15.75" customHeight="1"/>
    <row r="240" s="31" customFormat="1" ht="15.75" customHeight="1"/>
    <row r="241" s="31" customFormat="1" ht="15.75" customHeight="1"/>
    <row r="242" s="31" customFormat="1" ht="15.75" customHeight="1"/>
    <row r="243" s="31" customFormat="1" ht="15.75" customHeight="1"/>
    <row r="244" s="31" customFormat="1" ht="15.75" customHeight="1"/>
    <row r="245" s="31" customFormat="1" ht="15.75" customHeight="1"/>
    <row r="246" s="31" customFormat="1" ht="15.75" customHeight="1"/>
    <row r="247" s="31" customFormat="1" ht="15.75" customHeight="1"/>
    <row r="248" s="31" customFormat="1" ht="15.75" customHeight="1"/>
    <row r="249" s="31" customFormat="1" ht="15.75" customHeight="1"/>
    <row r="250" s="31" customFormat="1" ht="15.75" customHeight="1"/>
    <row r="251" s="31" customFormat="1" ht="15.75" customHeight="1"/>
    <row r="252" s="31" customFormat="1" ht="15.75" customHeight="1"/>
    <row r="253" s="31" customFormat="1" ht="15.75" customHeight="1"/>
    <row r="254" s="31" customFormat="1" ht="15.75" customHeight="1"/>
    <row r="255" s="31" customFormat="1" ht="15.75" customHeight="1"/>
    <row r="256" s="31" customFormat="1" ht="15.75" customHeight="1"/>
    <row r="257" s="31" customFormat="1" ht="15.75" customHeight="1"/>
    <row r="258" s="31" customFormat="1" ht="15.75" customHeight="1"/>
    <row r="259" s="31" customFormat="1" ht="15.75" customHeight="1"/>
    <row r="260" s="31" customFormat="1" ht="15.75" customHeight="1"/>
    <row r="261" s="31" customFormat="1" ht="15.75" customHeight="1"/>
    <row r="262" s="31" customFormat="1" ht="15.75" customHeight="1"/>
    <row r="263" s="31" customFormat="1" ht="15.75" customHeight="1"/>
    <row r="264" s="31" customFormat="1" ht="15.75" customHeight="1"/>
    <row r="265" s="31" customFormat="1" ht="15.75" customHeight="1"/>
    <row r="266" s="31" customFormat="1" ht="15.75" customHeight="1"/>
    <row r="267" s="31" customFormat="1" ht="15.75" customHeight="1"/>
    <row r="268" s="31" customFormat="1" ht="15.75" customHeight="1"/>
    <row r="269" s="31" customFormat="1" ht="15.75" customHeight="1"/>
    <row r="270" s="31" customFormat="1" ht="15.75" customHeight="1"/>
    <row r="271" s="31" customFormat="1" ht="15.75" customHeight="1"/>
    <row r="272" s="31" customFormat="1" ht="15.75" customHeight="1"/>
    <row r="273" s="31" customFormat="1" ht="15.75" customHeight="1"/>
    <row r="274" s="31" customFormat="1" ht="15.75" customHeight="1"/>
    <row r="275" s="31" customFormat="1" ht="15.75" customHeight="1"/>
    <row r="276" s="31" customFormat="1" ht="15.75" customHeight="1"/>
    <row r="277" s="31" customFormat="1" ht="15.75" customHeight="1"/>
    <row r="278" s="31" customFormat="1" ht="15.75" customHeight="1"/>
    <row r="279" s="31" customFormat="1" ht="15.75" customHeight="1"/>
    <row r="280" s="31" customFormat="1" ht="15.75" customHeight="1"/>
    <row r="281" s="31" customFormat="1" ht="15.75" customHeight="1"/>
    <row r="282" s="31" customFormat="1" ht="15.75" customHeight="1"/>
    <row r="283" s="31" customFormat="1" ht="15.75" customHeight="1"/>
    <row r="284" s="31" customFormat="1" ht="15.75" customHeight="1"/>
    <row r="285" s="31" customFormat="1" ht="15.75" customHeight="1"/>
    <row r="286" s="31" customFormat="1" ht="15.75" customHeight="1"/>
    <row r="287" s="31" customFormat="1" ht="15.75" customHeight="1"/>
    <row r="288" s="31" customFormat="1" ht="15.75" customHeight="1"/>
    <row r="289" s="31" customFormat="1" ht="15.75" customHeight="1"/>
    <row r="290" s="31" customFormat="1" ht="15.75" customHeight="1"/>
    <row r="291" s="31" customFormat="1" ht="15.75" customHeight="1"/>
    <row r="292" s="31" customFormat="1" ht="15.75" customHeight="1"/>
    <row r="293" s="31" customFormat="1" ht="15.75" customHeight="1"/>
    <row r="294" s="31" customFormat="1" ht="15.75" customHeight="1"/>
    <row r="295" s="31" customFormat="1" ht="15.75" customHeight="1"/>
    <row r="296" s="31" customFormat="1" ht="15.75" customHeight="1"/>
    <row r="297" s="31" customFormat="1" ht="15.75" customHeight="1"/>
    <row r="298" s="31" customFormat="1" ht="15.75" customHeight="1"/>
    <row r="299" s="31" customFormat="1" ht="15.75" customHeight="1"/>
    <row r="300" s="31" customFormat="1" ht="15.75" customHeight="1"/>
    <row r="301" s="31" customFormat="1" ht="15.75" customHeight="1"/>
    <row r="302" s="31" customFormat="1" ht="15.75" customHeight="1"/>
    <row r="303" s="31" customFormat="1" ht="15.75" customHeight="1"/>
    <row r="304" s="31" customFormat="1" ht="15.75" customHeight="1"/>
    <row r="305" s="31" customFormat="1" ht="15.75" customHeight="1"/>
    <row r="306" s="31" customFormat="1" ht="15.75" customHeight="1"/>
    <row r="307" s="31" customFormat="1" ht="15.75" customHeight="1"/>
    <row r="308" s="31" customFormat="1" ht="15.75" customHeight="1"/>
    <row r="309" s="31" customFormat="1" ht="15.75" customHeight="1"/>
    <row r="310" s="31" customFormat="1" ht="15.75" customHeight="1"/>
    <row r="311" s="31" customFormat="1" ht="15.75" customHeight="1"/>
    <row r="312" s="31" customFormat="1" ht="15.75" customHeight="1"/>
    <row r="313" s="31" customFormat="1" ht="15.75" customHeight="1"/>
    <row r="314" s="31" customFormat="1" ht="15.75" customHeight="1"/>
    <row r="315" s="31" customFormat="1" ht="15.75" customHeight="1"/>
    <row r="316" s="31" customFormat="1" ht="15.75" customHeight="1"/>
    <row r="317" s="31" customFormat="1" ht="15.75" customHeight="1"/>
    <row r="318" s="31" customFormat="1" ht="15.75" customHeight="1"/>
    <row r="319" s="31" customFormat="1" ht="15.75" customHeight="1"/>
    <row r="320" s="31" customFormat="1" ht="15.75" customHeight="1"/>
    <row r="321" s="31" customFormat="1" ht="15.75" customHeight="1"/>
    <row r="322" s="31" customFormat="1" ht="15.75" customHeight="1"/>
    <row r="323" s="31" customFormat="1" ht="15.75" customHeight="1"/>
    <row r="324" s="31" customFormat="1" ht="15.75" customHeight="1"/>
    <row r="325" s="31" customFormat="1" ht="15.75" customHeight="1"/>
    <row r="326" s="31" customFormat="1" ht="15.75" customHeight="1"/>
    <row r="327" s="31" customFormat="1" ht="15.75" customHeight="1"/>
    <row r="328" s="31" customFormat="1" ht="15.75" customHeight="1"/>
    <row r="329" s="31" customFormat="1" ht="15.75" customHeight="1"/>
    <row r="330" s="31" customFormat="1" ht="15.75" customHeight="1"/>
    <row r="331" s="31" customFormat="1" ht="15.75" customHeight="1"/>
    <row r="332" s="31" customFormat="1" ht="15.75" customHeight="1"/>
    <row r="333" s="31" customFormat="1" ht="15.75" customHeight="1"/>
    <row r="334" s="31" customFormat="1" ht="15.75" customHeight="1"/>
    <row r="335" s="31" customFormat="1" ht="15.75" customHeight="1"/>
    <row r="336" s="31" customFormat="1" ht="15.75" customHeight="1"/>
    <row r="337" s="31" customFormat="1" ht="15.75" customHeight="1"/>
    <row r="338" s="31" customFormat="1" ht="15.75" customHeight="1"/>
    <row r="339" s="31" customFormat="1" ht="15.75" customHeight="1"/>
    <row r="340" s="31" customFormat="1" ht="15.75" customHeight="1"/>
    <row r="341" s="31" customFormat="1" ht="15.75" customHeight="1"/>
    <row r="342" s="31" customFormat="1" ht="15.75" customHeight="1"/>
    <row r="343" s="31" customFormat="1" ht="15.75" customHeight="1"/>
    <row r="344" s="31" customFormat="1" ht="15.75" customHeight="1"/>
    <row r="345" s="31" customFormat="1" ht="15.75" customHeight="1"/>
    <row r="346" s="31" customFormat="1" ht="15.75" customHeight="1"/>
    <row r="347" s="31" customFormat="1" ht="15.75" customHeight="1"/>
    <row r="348" s="31" customFormat="1" ht="15.75" customHeight="1"/>
    <row r="349" s="31" customFormat="1" ht="15.75" customHeight="1"/>
    <row r="350" s="31" customFormat="1" ht="15.75" customHeight="1"/>
    <row r="351" s="31" customFormat="1" ht="15.75" customHeight="1"/>
    <row r="352" s="31" customFormat="1" ht="15.75" customHeight="1"/>
    <row r="353" s="31" customFormat="1" ht="15.75" customHeight="1"/>
    <row r="354" s="31" customFormat="1" ht="15.75" customHeight="1"/>
    <row r="355" s="31" customFormat="1" ht="15.75" customHeight="1"/>
    <row r="356" s="31" customFormat="1" ht="15.75" customHeight="1"/>
    <row r="357" s="31" customFormat="1" ht="15.75" customHeight="1"/>
    <row r="358" s="31" customFormat="1" ht="15.75" customHeight="1"/>
    <row r="359" s="31" customFormat="1" ht="15.75" customHeight="1"/>
    <row r="360" s="31" customFormat="1" ht="15.75" customHeight="1"/>
    <row r="361" s="31" customFormat="1" ht="15.75" customHeight="1"/>
    <row r="362" s="31" customFormat="1" ht="15.75" customHeight="1"/>
    <row r="363" s="31" customFormat="1" ht="15.75" customHeight="1"/>
    <row r="364" s="31" customFormat="1" ht="15.75" customHeight="1"/>
    <row r="365" s="31" customFormat="1" ht="15.75" customHeight="1"/>
    <row r="366" s="31" customFormat="1" ht="15.75" customHeight="1"/>
    <row r="367" s="31" customFormat="1" ht="15.75" customHeight="1"/>
    <row r="368" s="31" customFormat="1" ht="15.75" customHeight="1"/>
    <row r="369" s="31" customFormat="1" ht="15.75" customHeight="1"/>
    <row r="370" s="31" customFormat="1" ht="15.75" customHeight="1"/>
    <row r="371" s="31" customFormat="1" ht="15.75" customHeight="1"/>
    <row r="372" s="31" customFormat="1" ht="15.75" customHeight="1"/>
    <row r="373" s="31" customFormat="1" ht="15.75" customHeight="1"/>
    <row r="374" s="31" customFormat="1" ht="15.75" customHeight="1"/>
    <row r="375" s="31" customFormat="1" ht="15.75" customHeight="1"/>
    <row r="376" s="31" customFormat="1" ht="15.75" customHeight="1"/>
    <row r="377" s="31" customFormat="1" ht="15.75" customHeight="1"/>
    <row r="378" s="31" customFormat="1" ht="15.75" customHeight="1"/>
    <row r="379" s="31" customFormat="1" ht="15.75" customHeight="1"/>
    <row r="380" s="31" customFormat="1" ht="15.75" customHeight="1"/>
    <row r="381" s="31" customFormat="1" ht="15.75" customHeight="1"/>
    <row r="382" s="31" customFormat="1" ht="15.75" customHeight="1"/>
    <row r="383" s="31" customFormat="1" ht="15.75" customHeight="1"/>
    <row r="384" s="31" customFormat="1" ht="15.75" customHeight="1"/>
    <row r="385" s="31" customFormat="1" ht="15.75" customHeight="1"/>
    <row r="386" s="31" customFormat="1" ht="15.75" customHeight="1"/>
    <row r="387" s="31" customFormat="1" ht="15.75" customHeight="1"/>
    <row r="388" s="31" customFormat="1" ht="15.75" customHeight="1"/>
    <row r="389" s="31" customFormat="1" ht="15.75" customHeight="1"/>
    <row r="390" s="31" customFormat="1" ht="15.75" customHeight="1"/>
    <row r="391" s="31" customFormat="1" ht="15.75" customHeight="1"/>
    <row r="392" s="31" customFormat="1" ht="15.75" customHeight="1"/>
    <row r="393" s="31" customFormat="1" ht="15.75" customHeight="1"/>
    <row r="394" s="31" customFormat="1" ht="15.75" customHeight="1"/>
    <row r="395" s="31" customFormat="1" ht="15.75" customHeight="1"/>
    <row r="396" s="31" customFormat="1" ht="15.75" customHeight="1"/>
    <row r="397" s="31" customFormat="1" ht="15.75" customHeight="1"/>
    <row r="398" s="31" customFormat="1" ht="15.75" customHeight="1"/>
    <row r="399" s="31" customFormat="1" ht="15.75" customHeight="1"/>
    <row r="400" s="31" customFormat="1" ht="15.75" customHeight="1"/>
    <row r="401" s="31" customFormat="1" ht="15.75" customHeight="1"/>
    <row r="402" s="31" customFormat="1" ht="15.75" customHeight="1"/>
    <row r="403" s="31" customFormat="1" ht="15.75" customHeight="1"/>
    <row r="404" s="31" customFormat="1" ht="15.75" customHeight="1"/>
    <row r="405" s="31" customFormat="1" ht="15.75" customHeight="1"/>
    <row r="406" s="31" customFormat="1" ht="15.75" customHeight="1"/>
    <row r="407" s="31" customFormat="1" ht="15.75" customHeight="1"/>
    <row r="408" s="31" customFormat="1" ht="15.75" customHeight="1"/>
    <row r="409" s="31" customFormat="1" ht="15.75" customHeight="1"/>
    <row r="410" s="31" customFormat="1" ht="15.75" customHeight="1"/>
    <row r="411" s="31" customFormat="1" ht="15.75" customHeight="1"/>
    <row r="412" s="31" customFormat="1" ht="15.75" customHeight="1"/>
    <row r="413" s="31" customFormat="1" ht="15.75" customHeight="1"/>
    <row r="414" s="31" customFormat="1" ht="15.75" customHeight="1"/>
    <row r="415" s="31" customFormat="1" ht="15.75" customHeight="1"/>
    <row r="416" s="31" customFormat="1" ht="15.75" customHeight="1"/>
    <row r="417" s="31" customFormat="1" ht="15.75" customHeight="1"/>
    <row r="418" s="31" customFormat="1" ht="15.75" customHeight="1"/>
    <row r="419" s="31" customFormat="1" ht="15.75" customHeight="1"/>
    <row r="420" s="31" customFormat="1" ht="15.75" customHeight="1"/>
    <row r="421" s="31" customFormat="1" ht="15.75" customHeight="1"/>
    <row r="422" s="31" customFormat="1" ht="15.75" customHeight="1"/>
    <row r="423" s="31" customFormat="1" ht="15.75" customHeight="1"/>
    <row r="424" s="31" customFormat="1" ht="15.75" customHeight="1"/>
    <row r="425" s="31" customFormat="1" ht="15.75" customHeight="1"/>
    <row r="426" s="31" customFormat="1" ht="15.75" customHeight="1"/>
    <row r="427" s="31" customFormat="1" ht="15.75" customHeight="1"/>
    <row r="428" s="31" customFormat="1" ht="15.75" customHeight="1"/>
    <row r="429" s="31" customFormat="1" ht="15.75" customHeight="1"/>
    <row r="430" s="31" customFormat="1" ht="15.75" customHeight="1"/>
    <row r="431" s="31" customFormat="1" ht="15.75" customHeight="1"/>
    <row r="432" s="31" customFormat="1" ht="15.75" customHeight="1"/>
    <row r="433" s="31" customFormat="1" ht="15.75" customHeight="1"/>
    <row r="434" s="31" customFormat="1" ht="15.75" customHeight="1"/>
    <row r="435" s="31" customFormat="1" ht="15.75" customHeight="1"/>
    <row r="436" s="31" customFormat="1" ht="15.75" customHeight="1"/>
    <row r="437" s="31" customFormat="1" ht="15.75" customHeight="1"/>
    <row r="438" s="31" customFormat="1" ht="15.75" customHeight="1"/>
    <row r="439" s="31" customFormat="1" ht="15.75" customHeight="1"/>
    <row r="440" s="31" customFormat="1" ht="15.75" customHeight="1"/>
    <row r="441" s="31" customFormat="1" ht="15.75" customHeight="1"/>
    <row r="442" s="31" customFormat="1" ht="15.75" customHeight="1"/>
    <row r="443" s="31" customFormat="1" ht="15.75" customHeight="1"/>
    <row r="444" s="31" customFormat="1" ht="15.75" customHeight="1"/>
    <row r="445" s="31" customFormat="1" ht="15.75" customHeight="1"/>
    <row r="446" s="31" customFormat="1" ht="15.75" customHeight="1"/>
    <row r="447" s="31" customFormat="1" ht="15.75" customHeight="1"/>
    <row r="448" s="31" customFormat="1" ht="15.75" customHeight="1"/>
    <row r="449" s="31" customFormat="1" ht="15.75" customHeight="1"/>
    <row r="450" s="31" customFormat="1" ht="15.75" customHeight="1"/>
    <row r="451" s="31" customFormat="1" ht="15.75" customHeight="1"/>
    <row r="452" s="31" customFormat="1" ht="15.75" customHeight="1"/>
    <row r="453" s="31" customFormat="1" ht="15.75" customHeight="1"/>
    <row r="454" s="31" customFormat="1" ht="15.75" customHeight="1"/>
    <row r="455" s="31" customFormat="1" ht="15.75" customHeight="1"/>
    <row r="456" s="31" customFormat="1" ht="15.75" customHeight="1"/>
    <row r="457" s="31" customFormat="1" ht="15.75" customHeight="1"/>
    <row r="458" s="31" customFormat="1" ht="15.75" customHeight="1"/>
    <row r="459" s="31" customFormat="1" ht="15.75" customHeight="1"/>
    <row r="460" s="31" customFormat="1" ht="15.75" customHeight="1"/>
    <row r="461" s="31" customFormat="1" ht="15.75" customHeight="1"/>
    <row r="462" s="31" customFormat="1" ht="15.75" customHeight="1"/>
    <row r="463" s="31" customFormat="1" ht="15.75" customHeight="1"/>
    <row r="464" s="31" customFormat="1" ht="15.75" customHeight="1"/>
    <row r="465" s="31" customFormat="1" ht="15.75" customHeight="1"/>
    <row r="466" s="31" customFormat="1" ht="15.75" customHeight="1"/>
    <row r="467" s="31" customFormat="1" ht="15.75" customHeight="1"/>
    <row r="468" s="31" customFormat="1" ht="15.75" customHeight="1"/>
    <row r="469" s="31" customFormat="1" ht="15.75" customHeight="1"/>
    <row r="470" s="31" customFormat="1" ht="15.75" customHeight="1"/>
    <row r="471" s="31" customFormat="1" ht="15.75" customHeight="1"/>
    <row r="472" s="31" customFormat="1" ht="15.75" customHeight="1"/>
    <row r="473" s="31" customFormat="1" ht="15.75" customHeight="1"/>
    <row r="474" s="31" customFormat="1" ht="15.75" customHeight="1"/>
    <row r="475" s="31" customFormat="1" ht="15.75" customHeight="1"/>
    <row r="476" s="31" customFormat="1" ht="15.75" customHeight="1"/>
    <row r="477" s="31" customFormat="1" ht="15.75" customHeight="1"/>
    <row r="478" s="31" customFormat="1" ht="15.75" customHeight="1"/>
    <row r="479" s="31" customFormat="1" ht="15.75" customHeight="1"/>
    <row r="480" s="31" customFormat="1" ht="15.75" customHeight="1"/>
    <row r="481" s="31" customFormat="1" ht="15.75" customHeight="1"/>
    <row r="482" s="31" customFormat="1" ht="15.75" customHeight="1"/>
    <row r="483" s="31" customFormat="1" ht="15.75" customHeight="1"/>
    <row r="484" s="31" customFormat="1" ht="15.75" customHeight="1"/>
    <row r="485" s="31" customFormat="1" ht="15.75" customHeight="1"/>
    <row r="486" s="31" customFormat="1" ht="15.75" customHeight="1"/>
    <row r="487" s="31" customFormat="1" ht="15.75" customHeight="1"/>
    <row r="488" s="31" customFormat="1" ht="15.75" customHeight="1"/>
    <row r="489" s="31" customFormat="1" ht="15.75" customHeight="1"/>
    <row r="490" s="31" customFormat="1" ht="15.75" customHeight="1"/>
    <row r="491" s="31" customFormat="1" ht="15.75" customHeight="1"/>
    <row r="492" s="31" customFormat="1" ht="15.75" customHeight="1"/>
    <row r="493" s="31" customFormat="1" ht="15.75" customHeight="1"/>
    <row r="494" s="31" customFormat="1" ht="15.75" customHeight="1"/>
    <row r="495" s="31" customFormat="1" ht="15.75" customHeight="1"/>
    <row r="496" s="31" customFormat="1" ht="15.75" customHeight="1"/>
    <row r="497" s="31" customFormat="1" ht="15.75" customHeight="1"/>
    <row r="498" s="31" customFormat="1" ht="15.75" customHeight="1"/>
    <row r="499" s="31" customFormat="1" ht="15.75" customHeight="1"/>
    <row r="500" s="31" customFormat="1" ht="15.75" customHeight="1"/>
    <row r="501" s="31" customFormat="1" ht="15.75" customHeight="1"/>
    <row r="502" s="31" customFormat="1" ht="15.75" customHeight="1"/>
    <row r="503" s="31" customFormat="1" ht="15.75" customHeight="1"/>
    <row r="504" s="31" customFormat="1" ht="15.75" customHeight="1"/>
    <row r="505" s="31" customFormat="1" ht="15.75" customHeight="1"/>
    <row r="506" s="31" customFormat="1" ht="15.75" customHeight="1"/>
    <row r="507" s="31" customFormat="1" ht="15.75" customHeight="1"/>
    <row r="508" s="31" customFormat="1" ht="15.75" customHeight="1"/>
    <row r="509" s="31" customFormat="1" ht="15.75" customHeight="1"/>
    <row r="510" s="31" customFormat="1" ht="15.75" customHeight="1"/>
    <row r="511" s="31" customFormat="1" ht="15.75" customHeight="1"/>
    <row r="512" s="31" customFormat="1" ht="15.75" customHeight="1"/>
    <row r="513" s="31" customFormat="1" ht="15.75" customHeight="1"/>
    <row r="514" s="31" customFormat="1" ht="15.75" customHeight="1"/>
    <row r="515" s="31" customFormat="1" ht="15.75" customHeight="1"/>
    <row r="516" s="31" customFormat="1" ht="15.75" customHeight="1"/>
    <row r="517" s="31" customFormat="1" ht="15.75" customHeight="1"/>
    <row r="518" s="31" customFormat="1" ht="15.75" customHeight="1"/>
    <row r="519" s="31" customFormat="1" ht="15.75" customHeight="1"/>
    <row r="520" s="31" customFormat="1" ht="15.75" customHeight="1"/>
    <row r="521" s="31" customFormat="1" ht="15.75" customHeight="1"/>
    <row r="522" s="31" customFormat="1" ht="15.75" customHeight="1"/>
    <row r="523" s="31" customFormat="1" ht="15.75" customHeight="1"/>
    <row r="524" s="31" customFormat="1" ht="15.75" customHeight="1"/>
    <row r="525" s="31" customFormat="1" ht="15.75" customHeight="1"/>
    <row r="526" s="31" customFormat="1" ht="15.75" customHeight="1"/>
    <row r="527" s="31" customFormat="1" ht="15.75" customHeight="1"/>
    <row r="528" s="31" customFormat="1" ht="15.75" customHeight="1"/>
    <row r="529" s="31" customFormat="1" ht="15.75" customHeight="1"/>
    <row r="530" s="31" customFormat="1" ht="15.75" customHeight="1"/>
    <row r="531" s="31" customFormat="1" ht="15.75" customHeight="1"/>
    <row r="532" s="31" customFormat="1" ht="15.75" customHeight="1"/>
    <row r="533" s="31" customFormat="1" ht="15.75" customHeight="1"/>
    <row r="534" s="31" customFormat="1" ht="15.75" customHeight="1"/>
    <row r="535" s="31" customFormat="1" ht="15.75" customHeight="1"/>
    <row r="536" s="31" customFormat="1" ht="15.75" customHeight="1"/>
    <row r="537" s="31" customFormat="1" ht="15.75" customHeight="1"/>
    <row r="538" s="31" customFormat="1" ht="15.75" customHeight="1"/>
    <row r="539" s="31" customFormat="1" ht="15.75" customHeight="1"/>
    <row r="540" s="31" customFormat="1" ht="15.75" customHeight="1"/>
    <row r="541" s="31" customFormat="1" ht="15.75" customHeight="1"/>
    <row r="542" s="31" customFormat="1" ht="15.75" customHeight="1"/>
    <row r="543" s="31" customFormat="1" ht="15.75" customHeight="1"/>
    <row r="544" s="31" customFormat="1" ht="15.75" customHeight="1"/>
    <row r="545" s="31" customFormat="1" ht="15.75" customHeight="1"/>
    <row r="546" s="31" customFormat="1" ht="15.75" customHeight="1"/>
    <row r="547" s="31" customFormat="1" ht="15.75" customHeight="1"/>
    <row r="548" s="31" customFormat="1" ht="15.75" customHeight="1"/>
    <row r="549" s="31" customFormat="1" ht="15.75" customHeight="1"/>
    <row r="550" s="31" customFormat="1" ht="15.75" customHeight="1"/>
    <row r="551" s="31" customFormat="1" ht="15.75" customHeight="1"/>
    <row r="552" s="31" customFormat="1" ht="15.75" customHeight="1"/>
    <row r="553" s="31" customFormat="1" ht="15.75" customHeight="1"/>
    <row r="554" s="31" customFormat="1" ht="15.75" customHeight="1"/>
    <row r="555" s="31" customFormat="1" ht="15.75" customHeight="1"/>
    <row r="556" s="31" customFormat="1" ht="15.75" customHeight="1"/>
    <row r="557" s="31" customFormat="1" ht="15.75" customHeight="1"/>
    <row r="558" s="31" customFormat="1" ht="15.75" customHeight="1"/>
    <row r="559" s="31" customFormat="1" ht="15.75" customHeight="1"/>
    <row r="560" s="31" customFormat="1" ht="15.75" customHeight="1"/>
    <row r="561" s="31" customFormat="1" ht="15.75" customHeight="1"/>
    <row r="562" s="31" customFormat="1" ht="15.75" customHeight="1"/>
    <row r="563" s="31" customFormat="1" ht="15.75" customHeight="1"/>
    <row r="564" s="31" customFormat="1" ht="15.75" customHeight="1"/>
    <row r="565" s="31" customFormat="1" ht="15.75" customHeight="1"/>
    <row r="566" s="31" customFormat="1" ht="15.75" customHeight="1"/>
    <row r="567" s="31" customFormat="1" ht="15.75" customHeight="1"/>
    <row r="568" s="31" customFormat="1" ht="15.75" customHeight="1"/>
    <row r="569" s="31" customFormat="1" ht="15.75" customHeight="1"/>
    <row r="570" s="31" customFormat="1" ht="15.75" customHeight="1"/>
    <row r="571" s="31" customFormat="1" ht="15.75" customHeight="1"/>
    <row r="572" s="31" customFormat="1" ht="15.75" customHeight="1"/>
    <row r="573" s="31" customFormat="1" ht="15.75" customHeight="1"/>
    <row r="574" s="31" customFormat="1" ht="15.75" customHeight="1"/>
    <row r="575" s="31" customFormat="1" ht="15.75" customHeight="1"/>
    <row r="576" s="31" customFormat="1" ht="15.75" customHeight="1"/>
    <row r="577" s="31" customFormat="1" ht="15.75" customHeight="1"/>
    <row r="578" s="31" customFormat="1" ht="15.75" customHeight="1"/>
    <row r="579" s="31" customFormat="1" ht="15.75" customHeight="1"/>
    <row r="580" s="31" customFormat="1" ht="15.75" customHeight="1"/>
    <row r="581" s="31" customFormat="1" ht="15.75" customHeight="1"/>
    <row r="582" s="31" customFormat="1" ht="15.75" customHeight="1"/>
    <row r="583" s="31" customFormat="1" ht="15.75" customHeight="1"/>
    <row r="584" s="31" customFormat="1" ht="15.75" customHeight="1"/>
    <row r="585" s="31" customFormat="1" ht="15.75" customHeight="1"/>
    <row r="586" s="31" customFormat="1" ht="15.75" customHeight="1"/>
    <row r="587" s="31" customFormat="1" ht="15.75" customHeight="1"/>
    <row r="588" s="31" customFormat="1" ht="15.75" customHeight="1"/>
    <row r="589" s="31" customFormat="1" ht="15.75" customHeight="1"/>
    <row r="590" s="31" customFormat="1" ht="15.75" customHeight="1"/>
    <row r="591" s="31" customFormat="1" ht="15.75" customHeight="1"/>
    <row r="592" s="31" customFormat="1" ht="15.75" customHeight="1"/>
    <row r="593" s="31" customFormat="1" ht="15.75" customHeight="1"/>
    <row r="594" s="31" customFormat="1" ht="15.75" customHeight="1"/>
    <row r="595" s="31" customFormat="1" ht="15.75" customHeight="1"/>
    <row r="596" s="31" customFormat="1" ht="15.75" customHeight="1"/>
    <row r="597" s="31" customFormat="1" ht="15.75" customHeight="1"/>
    <row r="598" s="31" customFormat="1" ht="15.75" customHeight="1"/>
    <row r="599" s="31" customFormat="1" ht="15.75" customHeight="1"/>
    <row r="600" s="31" customFormat="1" ht="15.75" customHeight="1"/>
    <row r="601" s="31" customFormat="1" ht="15.75" customHeight="1"/>
    <row r="602" s="31" customFormat="1" ht="15.75" customHeight="1"/>
    <row r="603" s="31" customFormat="1" ht="15.75" customHeight="1"/>
    <row r="604" s="31" customFormat="1" ht="15.75" customHeight="1"/>
    <row r="605" s="31" customFormat="1" ht="15.75" customHeight="1"/>
    <row r="606" s="31" customFormat="1" ht="15.75" customHeight="1"/>
    <row r="607" s="31" customFormat="1" ht="15.75" customHeight="1"/>
    <row r="608" s="31" customFormat="1" ht="15.75" customHeight="1"/>
    <row r="609" s="31" customFormat="1" ht="15.75" customHeight="1"/>
    <row r="610" s="31" customFormat="1" ht="15.75" customHeight="1"/>
    <row r="611" s="31" customFormat="1" ht="15.75" customHeight="1"/>
    <row r="612" s="31" customFormat="1" ht="15.75" customHeight="1"/>
    <row r="613" s="31" customFormat="1" ht="15.75" customHeight="1"/>
    <row r="614" s="31" customFormat="1" ht="15.75" customHeight="1"/>
    <row r="615" s="31" customFormat="1" ht="15.75" customHeight="1"/>
    <row r="616" s="31" customFormat="1" ht="15.75" customHeight="1"/>
    <row r="617" s="31" customFormat="1" ht="15.75" customHeight="1"/>
    <row r="618" s="31" customFormat="1" ht="15.75" customHeight="1"/>
    <row r="619" s="31" customFormat="1" ht="15.75" customHeight="1"/>
    <row r="620" s="31" customFormat="1" ht="15.75" customHeight="1"/>
    <row r="621" s="31" customFormat="1" ht="15.75" customHeight="1"/>
    <row r="622" s="31" customFormat="1" ht="15.75" customHeight="1"/>
    <row r="623" s="31" customFormat="1" ht="15.75" customHeight="1"/>
    <row r="624" s="31" customFormat="1" ht="15.75" customHeight="1"/>
    <row r="625" s="31" customFormat="1" ht="15.75" customHeight="1"/>
    <row r="626" s="31" customFormat="1" ht="15.75" customHeight="1"/>
    <row r="627" s="31" customFormat="1" ht="15.75" customHeight="1"/>
    <row r="628" s="31" customFormat="1" ht="15.75" customHeight="1"/>
    <row r="629" s="31" customFormat="1" ht="15.75" customHeight="1"/>
    <row r="630" s="31" customFormat="1" ht="15.75" customHeight="1"/>
    <row r="631" s="31" customFormat="1" ht="15.75" customHeight="1"/>
    <row r="632" s="31" customFormat="1" ht="15.75" customHeight="1"/>
    <row r="633" s="31" customFormat="1" ht="15.75" customHeight="1"/>
    <row r="634" s="31" customFormat="1" ht="15.75" customHeight="1"/>
    <row r="635" s="31" customFormat="1" ht="15.75" customHeight="1"/>
    <row r="636" s="31" customFormat="1" ht="15.75" customHeight="1"/>
    <row r="637" s="31" customFormat="1" ht="15.75" customHeight="1"/>
    <row r="638" s="31" customFormat="1" ht="15.75" customHeight="1"/>
    <row r="639" s="31" customFormat="1" ht="15.75" customHeight="1"/>
    <row r="640" s="31" customFormat="1" ht="15.75" customHeight="1"/>
    <row r="641" s="31" customFormat="1" ht="15.75" customHeight="1"/>
    <row r="642" s="31" customFormat="1" ht="15.75" customHeight="1"/>
    <row r="643" s="31" customFormat="1" ht="15.75" customHeight="1"/>
    <row r="644" s="31" customFormat="1" ht="15.75" customHeight="1"/>
    <row r="645" s="31" customFormat="1" ht="15.75" customHeight="1"/>
    <row r="646" s="31" customFormat="1" ht="15.75" customHeight="1"/>
    <row r="647" s="31" customFormat="1" ht="15.75" customHeight="1"/>
    <row r="648" s="31" customFormat="1" ht="15.75" customHeight="1"/>
    <row r="649" s="31" customFormat="1" ht="15.75" customHeight="1"/>
    <row r="650" s="31" customFormat="1" ht="15.75" customHeight="1"/>
    <row r="651" s="31" customFormat="1" ht="15.75" customHeight="1"/>
    <row r="652" s="31" customFormat="1" ht="15.75" customHeight="1"/>
    <row r="653" s="31" customFormat="1" ht="15.75" customHeight="1"/>
    <row r="654" s="31" customFormat="1" ht="15.75" customHeight="1"/>
    <row r="655" s="31" customFormat="1" ht="15.75" customHeight="1"/>
    <row r="656" s="31" customFormat="1" ht="15.75" customHeight="1"/>
    <row r="657" s="31" customFormat="1" ht="15.75" customHeight="1"/>
    <row r="658" s="31" customFormat="1" ht="15.75" customHeight="1"/>
    <row r="659" s="31" customFormat="1" ht="15.75" customHeight="1"/>
    <row r="660" s="31" customFormat="1" ht="15.75" customHeight="1"/>
    <row r="661" s="31" customFormat="1" ht="15.75" customHeight="1"/>
    <row r="662" s="31" customFormat="1" ht="15.75" customHeight="1"/>
    <row r="663" s="31" customFormat="1" ht="15.75" customHeight="1"/>
    <row r="664" s="31" customFormat="1" ht="15.75" customHeight="1"/>
    <row r="665" s="31" customFormat="1" ht="15.75" customHeight="1"/>
    <row r="666" s="31" customFormat="1" ht="15.75" customHeight="1"/>
    <row r="667" s="31" customFormat="1" ht="15.75" customHeight="1"/>
    <row r="668" s="31" customFormat="1" ht="15.75" customHeight="1"/>
    <row r="669" s="31" customFormat="1" ht="15.75" customHeight="1"/>
    <row r="670" s="31" customFormat="1" ht="15.75" customHeight="1"/>
    <row r="671" s="31" customFormat="1" ht="15.75" customHeight="1"/>
    <row r="672" s="31" customFormat="1" ht="15.75" customHeight="1"/>
    <row r="673" s="31" customFormat="1" ht="15.75" customHeight="1"/>
    <row r="674" s="31" customFormat="1" ht="15.75" customHeight="1"/>
    <row r="675" s="31" customFormat="1" ht="15.75" customHeight="1"/>
    <row r="676" s="31" customFormat="1" ht="15.75" customHeight="1"/>
    <row r="677" s="31" customFormat="1" ht="15.75" customHeight="1"/>
    <row r="678" s="31" customFormat="1" ht="15.75" customHeight="1"/>
    <row r="679" s="31" customFormat="1" ht="15.75" customHeight="1"/>
    <row r="680" s="31" customFormat="1" ht="15.75" customHeight="1"/>
    <row r="681" s="31" customFormat="1" ht="15.75" customHeight="1"/>
    <row r="682" s="31" customFormat="1" ht="15.75" customHeight="1"/>
    <row r="683" s="31" customFormat="1" ht="15.75" customHeight="1"/>
    <row r="684" s="31" customFormat="1" ht="15.75" customHeight="1"/>
    <row r="685" s="31" customFormat="1" ht="15.75" customHeight="1"/>
    <row r="686" s="31" customFormat="1" ht="15.75" customHeight="1"/>
    <row r="687" s="31" customFormat="1" ht="15.75" customHeight="1"/>
    <row r="688" s="31" customFormat="1" ht="15.75" customHeight="1"/>
    <row r="689" s="31" customFormat="1" ht="15.75" customHeight="1"/>
    <row r="690" s="31" customFormat="1" ht="15.75" customHeight="1"/>
    <row r="691" s="31" customFormat="1" ht="15.75" customHeight="1"/>
    <row r="692" s="31" customFormat="1" ht="15.75" customHeight="1"/>
    <row r="693" s="31" customFormat="1" ht="15.75" customHeight="1"/>
    <row r="694" s="31" customFormat="1" ht="15.75" customHeight="1"/>
    <row r="695" s="31" customFormat="1" ht="15.75" customHeight="1"/>
    <row r="696" s="31" customFormat="1" ht="15.75" customHeight="1"/>
    <row r="697" s="31" customFormat="1" ht="15.75" customHeight="1"/>
    <row r="698" s="31" customFormat="1" ht="15.75" customHeight="1"/>
    <row r="699" s="31" customFormat="1" ht="15.75" customHeight="1"/>
    <row r="700" s="31" customFormat="1" ht="15.75" customHeight="1"/>
    <row r="701" s="31" customFormat="1" ht="15.75" customHeight="1"/>
    <row r="702" s="31" customFormat="1" ht="15.75" customHeight="1"/>
    <row r="703" s="31" customFormat="1" ht="15.75" customHeight="1"/>
    <row r="704" s="31" customFormat="1" ht="15.75" customHeight="1"/>
    <row r="705" s="31" customFormat="1" ht="15.75" customHeight="1"/>
    <row r="706" s="31" customFormat="1" ht="15.75" customHeight="1"/>
    <row r="707" s="31" customFormat="1" ht="15.75" customHeight="1"/>
    <row r="708" s="31" customFormat="1" ht="15.75" customHeight="1"/>
    <row r="709" s="31" customFormat="1" ht="15.75" customHeight="1"/>
    <row r="710" s="31" customFormat="1" ht="15.75" customHeight="1"/>
    <row r="711" s="31" customFormat="1" ht="15.75" customHeight="1"/>
    <row r="712" s="31" customFormat="1" ht="15.75" customHeight="1"/>
    <row r="713" s="31" customFormat="1" ht="15.75" customHeight="1"/>
    <row r="714" s="31" customFormat="1" ht="15.75" customHeight="1"/>
    <row r="715" s="31" customFormat="1" ht="15.75" customHeight="1"/>
    <row r="716" s="31" customFormat="1" ht="15.75" customHeight="1"/>
    <row r="717" s="31" customFormat="1" ht="15.75" customHeight="1"/>
    <row r="718" s="31" customFormat="1" ht="15.75" customHeight="1"/>
    <row r="719" s="31" customFormat="1" ht="15.75" customHeight="1"/>
    <row r="720" s="31" customFormat="1" ht="15.75" customHeight="1"/>
    <row r="721" s="31" customFormat="1" ht="15.75" customHeight="1"/>
    <row r="722" s="31" customFormat="1" ht="15.75" customHeight="1"/>
    <row r="723" s="31" customFormat="1" ht="15.75" customHeight="1"/>
    <row r="724" s="31" customFormat="1" ht="15.75" customHeight="1"/>
    <row r="725" s="31" customFormat="1" ht="15.75" customHeight="1"/>
    <row r="726" s="31" customFormat="1" ht="15.75" customHeight="1"/>
    <row r="727" s="31" customFormat="1" ht="15.75" customHeight="1"/>
    <row r="728" s="31" customFormat="1" ht="15.75" customHeight="1"/>
    <row r="729" s="31" customFormat="1" ht="15.75" customHeight="1"/>
    <row r="730" s="31" customFormat="1" ht="15.75" customHeight="1"/>
    <row r="731" s="31" customFormat="1" ht="15.75" customHeight="1"/>
    <row r="732" s="31" customFormat="1" ht="15.75" customHeight="1"/>
    <row r="733" s="31" customFormat="1" ht="15.75" customHeight="1"/>
    <row r="734" s="31" customFormat="1" ht="15.75" customHeight="1"/>
    <row r="735" s="31" customFormat="1" ht="15.75" customHeight="1"/>
    <row r="736" s="31" customFormat="1" ht="15.75" customHeight="1"/>
    <row r="737" s="31" customFormat="1" ht="15.75" customHeight="1"/>
    <row r="738" s="31" customFormat="1" ht="15.75" customHeight="1"/>
    <row r="739" s="31" customFormat="1" ht="15.75" customHeight="1"/>
    <row r="740" s="31" customFormat="1" ht="15.75" customHeight="1"/>
    <row r="741" s="31" customFormat="1" ht="15.75" customHeight="1"/>
    <row r="742" s="31" customFormat="1" ht="15.75" customHeight="1"/>
    <row r="743" s="31" customFormat="1" ht="15.75" customHeight="1"/>
    <row r="744" s="31" customFormat="1" ht="15.75" customHeight="1"/>
    <row r="745" s="31" customFormat="1" ht="15.75" customHeight="1"/>
    <row r="746" s="31" customFormat="1" ht="15.75" customHeight="1"/>
    <row r="747" s="31" customFormat="1" ht="15.75" customHeight="1"/>
    <row r="748" s="31" customFormat="1" ht="15.75" customHeight="1"/>
    <row r="749" s="31" customFormat="1" ht="15.75" customHeight="1"/>
    <row r="750" s="31" customFormat="1" ht="15.75" customHeight="1"/>
    <row r="751" s="31" customFormat="1" ht="15.75" customHeight="1"/>
    <row r="752" s="31" customFormat="1" ht="15.75" customHeight="1"/>
    <row r="753" s="31" customFormat="1" ht="15.75" customHeight="1"/>
    <row r="754" s="31" customFormat="1" ht="15.75" customHeight="1"/>
    <row r="755" s="31" customFormat="1" ht="15.75" customHeight="1"/>
    <row r="756" s="31" customFormat="1" ht="15.75" customHeight="1"/>
    <row r="757" s="31" customFormat="1" ht="15.75" customHeight="1"/>
    <row r="758" s="31" customFormat="1" ht="15.75" customHeight="1"/>
    <row r="759" s="31" customFormat="1" ht="15.75" customHeight="1"/>
    <row r="760" s="31" customFormat="1" ht="15.75" customHeight="1"/>
    <row r="761" s="31" customFormat="1" ht="15.75" customHeight="1"/>
    <row r="762" s="31" customFormat="1" ht="15.75" customHeight="1"/>
    <row r="763" s="31" customFormat="1" ht="15.75" customHeight="1"/>
    <row r="764" s="31" customFormat="1" ht="15.75" customHeight="1"/>
    <row r="765" s="31" customFormat="1" ht="15.75" customHeight="1"/>
    <row r="766" s="31" customFormat="1" ht="15.75" customHeight="1"/>
    <row r="767" s="31" customFormat="1" ht="15.75" customHeight="1"/>
    <row r="768" s="31" customFormat="1" ht="15.75" customHeight="1"/>
    <row r="769" s="31" customFormat="1" ht="15.75" customHeight="1"/>
    <row r="770" s="31" customFormat="1" ht="15.75" customHeight="1"/>
    <row r="771" s="31" customFormat="1" ht="15.75" customHeight="1"/>
    <row r="772" s="31" customFormat="1" ht="15.75" customHeight="1"/>
    <row r="773" s="31" customFormat="1" ht="15.75" customHeight="1"/>
    <row r="774" s="31" customFormat="1" ht="15.75" customHeight="1"/>
    <row r="775" s="31" customFormat="1" ht="15.75" customHeight="1"/>
    <row r="776" s="31" customFormat="1" ht="15.75" customHeight="1"/>
    <row r="777" s="31" customFormat="1" ht="15.75" customHeight="1"/>
    <row r="778" s="31" customFormat="1" ht="15.75" customHeight="1"/>
    <row r="779" s="31" customFormat="1" ht="15.75" customHeight="1"/>
    <row r="780" s="31" customFormat="1" ht="15.75" customHeight="1"/>
    <row r="781" s="31" customFormat="1" ht="15.75" customHeight="1"/>
    <row r="782" s="31" customFormat="1" ht="15.75" customHeight="1"/>
    <row r="783" s="31" customFormat="1" ht="15.75" customHeight="1"/>
    <row r="784" s="31" customFormat="1" ht="15.75" customHeight="1"/>
    <row r="785" s="31" customFormat="1" ht="15.75" customHeight="1"/>
    <row r="786" s="31" customFormat="1" ht="15.75" customHeight="1"/>
    <row r="787" s="31" customFormat="1" ht="15.75" customHeight="1"/>
    <row r="788" s="31" customFormat="1" ht="15.75" customHeight="1"/>
    <row r="789" s="31" customFormat="1" ht="15.75" customHeight="1"/>
    <row r="790" s="31" customFormat="1" ht="15.75" customHeight="1"/>
    <row r="791" s="31" customFormat="1" ht="15.75" customHeight="1"/>
    <row r="792" s="31" customFormat="1" ht="15.75" customHeight="1"/>
    <row r="793" s="31" customFormat="1" ht="15.75" customHeight="1"/>
    <row r="794" s="31" customFormat="1" ht="15.75" customHeight="1"/>
    <row r="795" s="31" customFormat="1" ht="15.75" customHeight="1"/>
    <row r="796" s="31" customFormat="1" ht="15.75" customHeight="1"/>
    <row r="797" s="31" customFormat="1" ht="15.75" customHeight="1"/>
    <row r="798" s="31" customFormat="1" ht="15.75" customHeight="1"/>
    <row r="799" s="31" customFormat="1" ht="15.75" customHeight="1"/>
    <row r="800" s="31" customFormat="1" ht="15.75" customHeight="1"/>
    <row r="801" s="31" customFormat="1" ht="15.75" customHeight="1"/>
    <row r="802" s="31" customFormat="1" ht="15.75" customHeight="1"/>
    <row r="803" s="31" customFormat="1" ht="15.75" customHeight="1"/>
    <row r="804" s="31" customFormat="1" ht="15.75" customHeight="1"/>
    <row r="805" s="31" customFormat="1" ht="15.75" customHeight="1"/>
    <row r="806" s="31" customFormat="1" ht="15.75" customHeight="1"/>
    <row r="807" s="31" customFormat="1" ht="15.75" customHeight="1"/>
    <row r="808" s="31" customFormat="1" ht="15.75" customHeight="1"/>
    <row r="809" s="31" customFormat="1" ht="15.75" customHeight="1"/>
    <row r="810" s="31" customFormat="1" ht="15.75" customHeight="1"/>
    <row r="811" s="31" customFormat="1" ht="15.75" customHeight="1"/>
    <row r="812" s="31" customFormat="1" ht="15.75" customHeight="1"/>
    <row r="813" s="31" customFormat="1" ht="15.75" customHeight="1"/>
    <row r="814" s="31" customFormat="1" ht="15.75" customHeight="1"/>
    <row r="815" s="31" customFormat="1" ht="15.75" customHeight="1"/>
    <row r="816" s="31" customFormat="1" ht="15.75" customHeight="1"/>
    <row r="817" s="31" customFormat="1" ht="15.75" customHeight="1"/>
    <row r="818" s="31" customFormat="1" ht="15.75" customHeight="1"/>
    <row r="819" s="31" customFormat="1" ht="15.75" customHeight="1"/>
    <row r="820" s="31" customFormat="1" ht="15.75" customHeight="1"/>
    <row r="821" s="31" customFormat="1" ht="15.75" customHeight="1"/>
    <row r="822" s="31" customFormat="1" ht="15.75" customHeight="1"/>
    <row r="823" s="31" customFormat="1" ht="15.75" customHeight="1"/>
    <row r="824" s="31" customFormat="1" ht="15.75" customHeight="1"/>
    <row r="825" s="31" customFormat="1" ht="15.75" customHeight="1"/>
    <row r="826" s="31" customFormat="1" ht="15.75" customHeight="1"/>
    <row r="827" s="31" customFormat="1" ht="15.75" customHeight="1"/>
    <row r="828" s="31" customFormat="1" ht="15.75" customHeight="1"/>
    <row r="829" s="31" customFormat="1" ht="15.75" customHeight="1"/>
    <row r="830" s="31" customFormat="1" ht="15.75" customHeight="1"/>
    <row r="831" s="31" customFormat="1" ht="15.75" customHeight="1"/>
    <row r="832" s="31" customFormat="1" ht="15.75" customHeight="1"/>
    <row r="833" s="31" customFormat="1" ht="15.75" customHeight="1"/>
    <row r="834" s="31" customFormat="1" ht="15.75" customHeight="1"/>
    <row r="835" s="31" customFormat="1" ht="15.75" customHeight="1"/>
    <row r="836" s="31" customFormat="1" ht="15.75" customHeight="1"/>
    <row r="837" s="31" customFormat="1" ht="15.75" customHeight="1"/>
    <row r="838" s="31" customFormat="1" ht="15.75" customHeight="1"/>
    <row r="839" s="31" customFormat="1" ht="15.75" customHeight="1"/>
    <row r="840" s="31" customFormat="1" ht="15.75" customHeight="1"/>
    <row r="841" s="31" customFormat="1" ht="15.75" customHeight="1"/>
    <row r="842" s="31" customFormat="1" ht="15.75" customHeight="1"/>
    <row r="843" s="31" customFormat="1" ht="15.75" customHeight="1"/>
    <row r="844" s="31" customFormat="1" ht="15.75" customHeight="1"/>
    <row r="845" s="31" customFormat="1" ht="15.75" customHeight="1"/>
    <row r="846" s="31" customFormat="1" ht="15.75" customHeight="1"/>
    <row r="847" s="31" customFormat="1" ht="15.75" customHeight="1"/>
    <row r="848" s="31" customFormat="1" ht="15.75" customHeight="1"/>
    <row r="849" s="31" customFormat="1" ht="15.75" customHeight="1"/>
    <row r="850" s="31" customFormat="1" ht="15.75" customHeight="1"/>
    <row r="851" s="31" customFormat="1" ht="15.75" customHeight="1"/>
    <row r="852" s="31" customFormat="1" ht="15.75" customHeight="1"/>
    <row r="853" s="31" customFormat="1" ht="15.75" customHeight="1"/>
    <row r="854" s="31" customFormat="1" ht="15.75" customHeight="1"/>
    <row r="855" s="31" customFormat="1" ht="15.75" customHeight="1"/>
    <row r="856" s="31" customFormat="1" ht="15.75" customHeight="1"/>
    <row r="857" s="31" customFormat="1" ht="15.75" customHeight="1"/>
    <row r="858" s="31" customFormat="1" ht="15.75" customHeight="1"/>
    <row r="859" s="31" customFormat="1" ht="15.75" customHeight="1"/>
    <row r="860" s="31" customFormat="1" ht="15.75" customHeight="1"/>
    <row r="861" s="31" customFormat="1" ht="15.75" customHeight="1"/>
    <row r="862" s="31" customFormat="1" ht="15.75" customHeight="1"/>
    <row r="863" s="31" customFormat="1" ht="15.75" customHeight="1"/>
    <row r="864" s="31" customFormat="1" ht="15.75" customHeight="1"/>
    <row r="865" s="31" customFormat="1" ht="15.75" customHeight="1"/>
    <row r="866" s="31" customFormat="1" ht="15.75" customHeight="1"/>
    <row r="867" s="31" customFormat="1" ht="15.75" customHeight="1"/>
    <row r="868" s="31" customFormat="1" ht="15.75" customHeight="1"/>
    <row r="869" s="31" customFormat="1" ht="15.75" customHeight="1"/>
    <row r="870" s="31" customFormat="1" ht="15.75" customHeight="1"/>
    <row r="871" s="31" customFormat="1" ht="15.75" customHeight="1"/>
    <row r="872" s="31" customFormat="1" ht="15.75" customHeight="1"/>
    <row r="873" s="31" customFormat="1" ht="15.75" customHeight="1"/>
    <row r="874" s="31" customFormat="1" ht="15.75" customHeight="1"/>
    <row r="875" s="31" customFormat="1" ht="15.75" customHeight="1"/>
    <row r="876" s="31" customFormat="1" ht="15.75" customHeight="1"/>
    <row r="877" s="31" customFormat="1" ht="15.75" customHeight="1"/>
    <row r="878" s="31" customFormat="1" ht="15.75" customHeight="1"/>
    <row r="879" s="31" customFormat="1" ht="15.75" customHeight="1"/>
    <row r="880" s="31" customFormat="1" ht="15.75" customHeight="1"/>
    <row r="881" s="31" customFormat="1" ht="15.75" customHeight="1"/>
    <row r="882" s="31" customFormat="1" ht="15.75" customHeight="1"/>
    <row r="883" s="31" customFormat="1" ht="15.75" customHeight="1"/>
    <row r="884" s="31" customFormat="1" ht="15.75" customHeight="1"/>
    <row r="885" s="31" customFormat="1" ht="15.75" customHeight="1"/>
    <row r="886" s="31" customFormat="1" ht="15.75" customHeight="1"/>
    <row r="887" s="31" customFormat="1" ht="15.75" customHeight="1"/>
    <row r="888" s="31" customFormat="1" ht="15.75" customHeight="1"/>
    <row r="889" s="31" customFormat="1" ht="15.75" customHeight="1"/>
    <row r="890" s="31" customFormat="1" ht="15.75" customHeight="1"/>
    <row r="891" s="31" customFormat="1" ht="15.75" customHeight="1"/>
    <row r="892" s="31" customFormat="1" ht="15.75" customHeight="1"/>
    <row r="893" s="31" customFormat="1" ht="15.75" customHeight="1"/>
    <row r="894" s="31" customFormat="1" ht="15.75" customHeight="1"/>
    <row r="895" s="31" customFormat="1" ht="15.75" customHeight="1"/>
    <row r="896" s="31" customFormat="1" ht="15.75" customHeight="1"/>
    <row r="897" s="31" customFormat="1" ht="15.75" customHeight="1"/>
    <row r="898" s="31" customFormat="1" ht="15.75" customHeight="1"/>
    <row r="899" s="31" customFormat="1" ht="15.75" customHeight="1"/>
    <row r="900" s="31" customFormat="1" ht="15.75" customHeight="1"/>
    <row r="901" s="31" customFormat="1" ht="15.75" customHeight="1"/>
    <row r="902" s="31" customFormat="1" ht="15.75" customHeight="1"/>
    <row r="903" s="31" customFormat="1" ht="15.75" customHeight="1"/>
    <row r="904" s="31" customFormat="1" ht="15.75" customHeight="1"/>
    <row r="905" s="31" customFormat="1" ht="15.75" customHeight="1"/>
    <row r="906" s="31" customFormat="1" ht="15.75" customHeight="1"/>
    <row r="907" s="31" customFormat="1" ht="15.75" customHeight="1"/>
    <row r="908" s="31" customFormat="1" ht="15.75" customHeight="1"/>
    <row r="909" s="31" customFormat="1" ht="15.75" customHeight="1"/>
    <row r="910" s="31" customFormat="1" ht="15.75" customHeight="1"/>
    <row r="911" s="31" customFormat="1" ht="15.75" customHeight="1"/>
    <row r="912" s="31" customFormat="1" ht="15.75" customHeight="1"/>
    <row r="913" s="31" customFormat="1" ht="15.75" customHeight="1"/>
    <row r="914" s="31" customFormat="1" ht="15.75" customHeight="1"/>
    <row r="915" s="31" customFormat="1" ht="15.75" customHeight="1"/>
    <row r="916" s="31" customFormat="1" ht="15.75" customHeight="1"/>
    <row r="917" s="31" customFormat="1" ht="15.75" customHeight="1"/>
    <row r="918" s="31" customFormat="1" ht="15.75" customHeight="1"/>
    <row r="919" s="31" customFormat="1" ht="15.75" customHeight="1"/>
    <row r="920" s="31" customFormat="1" ht="15.75" customHeight="1"/>
    <row r="921" s="31" customFormat="1" ht="15.75" customHeight="1"/>
    <row r="922" s="31" customFormat="1" ht="15.75" customHeight="1"/>
    <row r="923" s="31" customFormat="1" ht="15.75" customHeight="1"/>
    <row r="924" s="31" customFormat="1" ht="15.75" customHeight="1"/>
    <row r="925" s="31" customFormat="1" ht="15.75" customHeight="1"/>
    <row r="926" s="31" customFormat="1" ht="15.75" customHeight="1"/>
    <row r="927" s="31" customFormat="1" ht="15.75" customHeight="1"/>
    <row r="928" s="31" customFormat="1" ht="15.75" customHeight="1"/>
    <row r="929" s="31" customFormat="1" ht="15.75" customHeight="1"/>
    <row r="930" s="31" customFormat="1" ht="15.75" customHeight="1"/>
    <row r="931" s="31" customFormat="1" ht="15.75" customHeight="1"/>
    <row r="932" s="31" customFormat="1" ht="15.75" customHeight="1"/>
    <row r="933" s="31" customFormat="1" ht="15.75" customHeight="1"/>
    <row r="934" s="31" customFormat="1" ht="15.75" customHeight="1"/>
    <row r="935" s="31" customFormat="1" ht="15.75" customHeight="1"/>
    <row r="936" s="31" customFormat="1" ht="15.75" customHeight="1"/>
    <row r="937" s="31" customFormat="1" ht="15.75" customHeight="1"/>
    <row r="938" s="31" customFormat="1" ht="15.75" customHeight="1"/>
    <row r="939" s="31" customFormat="1" ht="15.75" customHeight="1"/>
    <row r="940" s="31" customFormat="1" ht="15.75" customHeight="1"/>
    <row r="941" s="31" customFormat="1" ht="15.75" customHeight="1"/>
    <row r="942" s="31" customFormat="1" ht="15.75" customHeight="1"/>
    <row r="943" s="31" customFormat="1" ht="15.75" customHeight="1"/>
    <row r="944" s="31" customFormat="1" ht="15.75" customHeight="1"/>
    <row r="945" s="31" customFormat="1" ht="15.75" customHeight="1"/>
    <row r="946" s="31" customFormat="1" ht="15.75" customHeight="1"/>
    <row r="947" s="31" customFormat="1" ht="15.75" customHeight="1"/>
    <row r="948" s="31" customFormat="1" ht="15.75" customHeight="1"/>
    <row r="949" s="31" customFormat="1" ht="15.75" customHeight="1"/>
    <row r="950" s="31" customFormat="1" ht="15.75" customHeight="1"/>
    <row r="951" s="31" customFormat="1" ht="15.75" customHeight="1"/>
    <row r="952" s="31" customFormat="1" ht="15.75" customHeight="1"/>
    <row r="953" s="31" customFormat="1" ht="15.75" customHeight="1"/>
    <row r="954" s="31" customFormat="1" ht="15.75" customHeight="1"/>
    <row r="955" s="31" customFormat="1" ht="15.75" customHeight="1"/>
    <row r="956" s="31" customFormat="1" ht="15.75" customHeight="1"/>
    <row r="957" s="31" customFormat="1" ht="15.75" customHeight="1"/>
    <row r="958" s="31" customFormat="1" ht="15.75" customHeight="1"/>
    <row r="959" s="31" customFormat="1" ht="15.75" customHeight="1"/>
    <row r="960" s="31" customFormat="1" ht="15.75" customHeight="1"/>
    <row r="961" s="31" customFormat="1" ht="15.75" customHeight="1"/>
    <row r="962" s="31" customFormat="1" ht="15.75" customHeight="1"/>
    <row r="963" s="31" customFormat="1" ht="15.75" customHeight="1"/>
    <row r="964" s="31" customFormat="1" ht="15.75" customHeight="1"/>
    <row r="965" s="31" customFormat="1" ht="15.75" customHeight="1"/>
    <row r="966" s="31" customFormat="1" ht="15.75" customHeight="1"/>
    <row r="967" s="31" customFormat="1" ht="15.75" customHeight="1"/>
    <row r="968" s="31" customFormat="1" ht="15.75" customHeight="1"/>
    <row r="969" s="31" customFormat="1" ht="15.75" customHeight="1"/>
    <row r="970" s="31" customFormat="1" ht="15.75" customHeight="1"/>
    <row r="971" s="31" customFormat="1" ht="15.75" customHeight="1"/>
    <row r="972" s="31" customFormat="1" ht="15.75" customHeight="1"/>
    <row r="973" s="31" customFormat="1" ht="15.75" customHeight="1"/>
    <row r="974" s="31" customFormat="1" ht="15.75" customHeight="1"/>
    <row r="975" s="31" customFormat="1" ht="15.75" customHeight="1"/>
    <row r="976" s="31" customFormat="1" ht="15.75" customHeight="1"/>
    <row r="977" s="31" customFormat="1" ht="15.75" customHeight="1"/>
    <row r="978" s="31" customFormat="1" ht="15.75" customHeight="1"/>
    <row r="979" s="31" customFormat="1" ht="15.75" customHeight="1"/>
    <row r="980" s="31" customFormat="1" ht="15.75" customHeight="1"/>
    <row r="981" s="31" customFormat="1" ht="15.75" customHeight="1"/>
    <row r="982" s="31" customFormat="1" ht="15.75" customHeight="1"/>
    <row r="983" s="31" customFormat="1" ht="15.75" customHeight="1"/>
    <row r="984" s="31" customFormat="1" ht="15.75" customHeight="1"/>
    <row r="985" s="31" customFormat="1" ht="15.75" customHeight="1"/>
    <row r="986" s="31" customFormat="1" ht="15.75" customHeight="1"/>
    <row r="987" s="31" customFormat="1" ht="15.75" customHeight="1"/>
    <row r="988" s="31" customFormat="1" ht="15.75" customHeight="1"/>
    <row r="989" s="31" customFormat="1" ht="15.75" customHeight="1"/>
    <row r="990" s="31" customFormat="1" ht="15.75" customHeight="1"/>
    <row r="991" s="31" customFormat="1" ht="15.75" customHeight="1"/>
    <row r="992" s="31" customFormat="1" ht="15.75" customHeight="1"/>
    <row r="993" s="31" customFormat="1" ht="15.75" customHeight="1"/>
    <row r="994" s="31" customFormat="1" ht="15.75" customHeight="1"/>
    <row r="995" s="31" customFormat="1" ht="15.75" customHeight="1"/>
    <row r="996" s="31" customFormat="1" ht="15.75" customHeight="1"/>
    <row r="997" s="31" customFormat="1" ht="15.75" customHeight="1"/>
    <row r="998" s="31" customFormat="1" ht="15.75" customHeight="1"/>
    <row r="999" s="31" customFormat="1" ht="15.75" customHeight="1"/>
    <row r="1000" s="31" customFormat="1" ht="15.75" customHeight="1"/>
  </sheetData>
  <sheetProtection algorithmName="SHA-512" hashValue="V/yZkmMZGm7axCH228+bnybyi8jKhg2vcx6B8Ck455bz0dE35UH18pdxLnGxdRz+JbL5MTrU3lt/UyZP4x3t2A==" saltValue="Y8+o0MeYrEl+G+XyNx5TIw==" spinCount="100000" sheet="1" objects="1" scenarios="1" selectLockedCells="1"/>
  <mergeCells count="3">
    <mergeCell ref="B1:J2"/>
    <mergeCell ref="L1:R2"/>
    <mergeCell ref="T1:Y2"/>
  </mergeCells>
  <pageMargins left="0.511811024" right="0.511811024" top="0.78740157499999996" bottom="0.78740157499999996" header="0" footer="0"/>
  <pageSetup paperSize="9" orientation="portrait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GRAF.TOTAL</vt:lpstr>
      <vt:lpstr>GRAFI.MES</vt:lpstr>
      <vt:lpstr>TOTAL.GERAL</vt:lpstr>
      <vt:lpstr>TAB.GERAL</vt:lpstr>
      <vt:lpstr>DADOS.GERAL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Vitor Fernandes</dc:creator>
  <cp:lastModifiedBy>Vitor Fernandes</cp:lastModifiedBy>
  <dcterms:created xsi:type="dcterms:W3CDTF">2022-06-07T20:07:14Z</dcterms:created>
  <dcterms:modified xsi:type="dcterms:W3CDTF">2022-11-23T01:10:45Z</dcterms:modified>
</cp:coreProperties>
</file>