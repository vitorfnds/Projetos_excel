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10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1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6.xml"/>
  <Override ContentType="application/vnd.openxmlformats-officedocument.drawingml.chart+xml" PartName="/xl/charts/chart11.xml"/>
  <Override ContentType="application/vnd.openxmlformats-officedocument.drawingml.chart+xml" PartName="/xl/charts/chart7.xml"/>
  <Override ContentType="application/vnd.openxmlformats-officedocument.drawingml.chart+xml" PartName="/xl/charts/chart14.xml"/>
  <Override ContentType="application/vnd.openxmlformats-officedocument.drawingml.chart+xml" PartName="/xl/charts/chart18.xml"/>
  <Override ContentType="application/vnd.openxmlformats-officedocument.drawingml.chart+xml" PartName="/xl/charts/chart13.xml"/>
  <Override ContentType="application/vnd.openxmlformats-officedocument.drawingml.chart+xml" PartName="/xl/charts/chart4.xml"/>
  <Override ContentType="application/vnd.openxmlformats-officedocument.drawingml.chart+xml" PartName="/xl/charts/chart20.xml"/>
  <Override ContentType="application/vnd.openxmlformats-officedocument.drawingml.chart+xml" PartName="/xl/charts/chart2.xml"/>
  <Override ContentType="application/vnd.openxmlformats-officedocument.drawingml.chart+xml" PartName="/xl/charts/chart22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6.xml"/>
  <Override ContentType="application/vnd.openxmlformats-officedocument.drawingml.chart+xml" PartName="/xl/charts/chart8.xml"/>
  <Override ContentType="application/vnd.openxmlformats-officedocument.drawingml.chart+xml" PartName="/xl/charts/chart15.xml"/>
  <Override ContentType="application/vnd.openxmlformats-officedocument.drawingml.chart+xml" PartName="/xl/charts/chart17.xml"/>
  <Override ContentType="application/vnd.openxmlformats-officedocument.drawingml.chart+xml" PartName="/xl/charts/chart9.xml"/>
  <Override ContentType="application/vnd.openxmlformats-officedocument.drawingml.chart+xml" PartName="/xl/charts/chart19.xml"/>
  <Override ContentType="application/vnd.openxmlformats-officedocument.drawingml.chart+xml" PartName="/xl/charts/chart12.xml"/>
  <Override ContentType="application/vnd.openxmlformats-officedocument.drawingml.chart+xml" PartName="/xl/charts/chart5.xml"/>
  <Override ContentType="application/vnd.openxmlformats-officedocument.drawingml.chart+xml" PartName="/xl/charts/chart21.xml"/>
  <Override ContentType="application/vnd.openxmlformats-officedocument.drawingml.chart+xml" PartName="/xl/charts/chart3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INRCIPAL" sheetId="1" r:id="rId4"/>
    <sheet state="visible" name="GRAF.TOTAL" sheetId="2" r:id="rId5"/>
    <sheet state="visible" name="GRAFI.MES" sheetId="3" r:id="rId6"/>
    <sheet state="visible" name="TOTAL.GERAL" sheetId="4" r:id="rId7"/>
    <sheet state="visible" name="TAB.GERAL" sheetId="5" r:id="rId8"/>
    <sheet state="visible" name="DADOS.GERAL" sheetId="6" r:id="rId9"/>
  </sheets>
  <definedNames/>
  <calcPr/>
  <extLst>
    <ext uri="GoogleSheetsCustomDataVersion1">
      <go:sheetsCustomData xmlns:go="http://customooxmlschemas.google.com/" r:id="rId10" roundtripDataSignature="AMtx7mhvNIf+M/8csec/ahlW6eCCgp+xzA=="/>
    </ext>
  </extLst>
</workbook>
</file>

<file path=xl/sharedStrings.xml><?xml version="1.0" encoding="utf-8"?>
<sst xmlns="http://schemas.openxmlformats.org/spreadsheetml/2006/main" count="771" uniqueCount="219">
  <si>
    <t>TOTAL POPs</t>
  </si>
  <si>
    <t>TOTAL ESTATUAs</t>
  </si>
  <si>
    <t>TOTAL MAMGÁs</t>
  </si>
  <si>
    <t>TOTAL GERAL</t>
  </si>
  <si>
    <t>TOTAL PEÇAS</t>
  </si>
  <si>
    <t>TOTAL COMPRA</t>
  </si>
  <si>
    <t>PEÇAS</t>
  </si>
  <si>
    <t>VALOR COMPRA</t>
  </si>
  <si>
    <t>VALOR VENDA</t>
  </si>
  <si>
    <t>MEDIA P/N</t>
  </si>
  <si>
    <t>TOTAL MANGÁs</t>
  </si>
  <si>
    <t>TOTAL POPs POR ANO</t>
  </si>
  <si>
    <t>TOTAL ESTATUAs POR ANO</t>
  </si>
  <si>
    <t>TOTAL MANGÁs POR ANO</t>
  </si>
  <si>
    <t>TOTAL VENDA</t>
  </si>
  <si>
    <t>TOTAL P/N</t>
  </si>
  <si>
    <t>ANO</t>
  </si>
  <si>
    <t>TOTAL POPs POR MÊS 2021</t>
  </si>
  <si>
    <t>TOTAL ESTATUAs POR MÊS 2021</t>
  </si>
  <si>
    <t>TOTAL GERAL NO ANO DE 2021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</si>
  <si>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</si>
  <si>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</si>
  <si>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</si>
  <si>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</si>
  <si>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</si>
  <si>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</si>
  <si>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</si>
  <si>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</si>
  <si>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</si>
  <si>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</si>
  <si>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POPs POR MÊS 2022</t>
  </si>
  <si>
    <t>TOTAL ESTATUAs POR MÊS 2022</t>
  </si>
  <si>
    <t>TOTAL MANGÁs POR MÊS 2022</t>
  </si>
  <si>
    <t>TOTAL GERAL NO ANO DE 2022</t>
  </si>
  <si>
    <t>JANEIRO</t>
  </si>
  <si>
    <t>FEVEREIRO</t>
  </si>
  <si>
    <t>COLEÇÃO FUNKO POP</t>
  </si>
  <si>
    <t>COLEÇÃO FUNKO POP POR MÊS</t>
  </si>
  <si>
    <t>COLEÇÃO ESTATUAS</t>
  </si>
  <si>
    <t>COLEÇÃO ESTATUAS POR MÊS</t>
  </si>
  <si>
    <t>COLEÇÃO MANGÁ</t>
  </si>
  <si>
    <t>COLEÇÃO FUNKO MANGÁ POR MÊS</t>
  </si>
  <si>
    <t>Rótulos de Linha</t>
  </si>
  <si>
    <t>Contagem de COLEÇÃO</t>
  </si>
  <si>
    <t>Soma de VALOR COMPRA</t>
  </si>
  <si>
    <t>Soma de VALOR VENDA</t>
  </si>
  <si>
    <t>Soma de MEDIA P/N</t>
  </si>
  <si>
    <t>Contagem de MÊS</t>
  </si>
  <si>
    <t>Contagem de MES</t>
  </si>
  <si>
    <t>SANT SEIYA</t>
  </si>
  <si>
    <t>DEZEMBRO DE 2021</t>
  </si>
  <si>
    <t>ONE PIECE</t>
  </si>
  <si>
    <t>MAIO DE 2021</t>
  </si>
  <si>
    <t>ONE-PUNCH MAN</t>
  </si>
  <si>
    <t>MAIO DE 2022</t>
  </si>
  <si>
    <t>AVENGERS</t>
  </si>
  <si>
    <t>ABRIL DE 2021</t>
  </si>
  <si>
    <t>VINGADORES</t>
  </si>
  <si>
    <t>JUNHO DE 2021</t>
  </si>
  <si>
    <t>JUJUTSU KAISEN</t>
  </si>
  <si>
    <t>JUNHO DE 2022</t>
  </si>
  <si>
    <t>LORD OF THE RINGS</t>
  </si>
  <si>
    <t>OUTUBRO DE 2021</t>
  </si>
  <si>
    <t>LIGA DA JUSTIÇA</t>
  </si>
  <si>
    <t>ONE PIECE 3em1</t>
  </si>
  <si>
    <t>ABRIL DE 2022</t>
  </si>
  <si>
    <t>MINIONS</t>
  </si>
  <si>
    <t>Total Geral</t>
  </si>
  <si>
    <t>MARVEL</t>
  </si>
  <si>
    <t>NOVEMBRO DE 2021</t>
  </si>
  <si>
    <t>HE-MEN</t>
  </si>
  <si>
    <t>VENUM</t>
  </si>
  <si>
    <t>JULHO DE 2021</t>
  </si>
  <si>
    <t>TOY STORY</t>
  </si>
  <si>
    <t>MARÇO DE 2022</t>
  </si>
  <si>
    <t>GAME OF TRONES</t>
  </si>
  <si>
    <t>SETEMBRO DE 2021</t>
  </si>
  <si>
    <t>SIMPSON</t>
  </si>
  <si>
    <t>BIG BANG THEORY</t>
  </si>
  <si>
    <t>AGOSTO DE 2021</t>
  </si>
  <si>
    <t>SOBRENATURAL</t>
  </si>
  <si>
    <t>MARÇO DE 2021</t>
  </si>
  <si>
    <t>DISNEP</t>
  </si>
  <si>
    <t>GUARDIANS OF THE GALAXY VOL.2</t>
  </si>
  <si>
    <t>LA CASA DE PALEL</t>
  </si>
  <si>
    <t>X-MAN</t>
  </si>
  <si>
    <t>CHAVO</t>
  </si>
  <si>
    <t>DRAGONBALL Z</t>
  </si>
  <si>
    <t>BATMAN THE DARK KNIGHT RETURNS</t>
  </si>
  <si>
    <t>PREDATOR</t>
  </si>
  <si>
    <t>WOODY WOODPECKER</t>
  </si>
  <si>
    <t>DC LOONEY TUNES</t>
  </si>
  <si>
    <t>DC COMICS</t>
  </si>
  <si>
    <t>MR BEAN</t>
  </si>
  <si>
    <t>COLAÇÃO MANGÁ</t>
  </si>
  <si>
    <t>N° FUNKO</t>
  </si>
  <si>
    <t>PERSONAGUEM</t>
  </si>
  <si>
    <t>COLEÇÃO</t>
  </si>
  <si>
    <t>EXCLUSIVO</t>
  </si>
  <si>
    <t>FRANQUIA</t>
  </si>
  <si>
    <t>MÊS</t>
  </si>
  <si>
    <t>FABRICANTE</t>
  </si>
  <si>
    <t>VOLUME</t>
  </si>
  <si>
    <t>MES</t>
  </si>
  <si>
    <t>GROOT GOLD</t>
  </si>
  <si>
    <t>SIM</t>
  </si>
  <si>
    <t>CAPITÃO AMERICA</t>
  </si>
  <si>
    <t>DESCONHECIDA</t>
  </si>
  <si>
    <t>V1</t>
  </si>
  <si>
    <t>ARMORED BATMAN (UNMASKED)</t>
  </si>
  <si>
    <t>DC</t>
  </si>
  <si>
    <t>HOMEM DE FERRO</t>
  </si>
  <si>
    <t>CABLE</t>
  </si>
  <si>
    <t>NÃO</t>
  </si>
  <si>
    <t>MINIATURA SUPERMEM</t>
  </si>
  <si>
    <t>V2</t>
  </si>
  <si>
    <t>JON SNOW</t>
  </si>
  <si>
    <t>TELEVISION</t>
  </si>
  <si>
    <t>MINIATURA MULHER MARAVILHA</t>
  </si>
  <si>
    <t>V3</t>
  </si>
  <si>
    <t>DROGON</t>
  </si>
  <si>
    <t>MINIATURA CORINGA</t>
  </si>
  <si>
    <t>V4</t>
  </si>
  <si>
    <t>NIGNT KING</t>
  </si>
  <si>
    <t>MINIATURA FLASH</t>
  </si>
  <si>
    <t>V5</t>
  </si>
  <si>
    <t>DAENERYS TARGARYEN</t>
  </si>
  <si>
    <t>MINIATURA BATMAN</t>
  </si>
  <si>
    <t>V6</t>
  </si>
  <si>
    <t>MOVIES</t>
  </si>
  <si>
    <t>V7</t>
  </si>
  <si>
    <t>NEBULA</t>
  </si>
  <si>
    <t>MINIATURA  WOODY</t>
  </si>
  <si>
    <t>PIX</t>
  </si>
  <si>
    <t>V8</t>
  </si>
  <si>
    <t>THE PROFESSOR</t>
  </si>
  <si>
    <t>MINIATURA BUZZ</t>
  </si>
  <si>
    <t>V9</t>
  </si>
  <si>
    <t>DENVER</t>
  </si>
  <si>
    <t>MINIATURA  REX</t>
  </si>
  <si>
    <t>V10</t>
  </si>
  <si>
    <t>CORRUPTER VENUM</t>
  </si>
  <si>
    <t>MINIATURA FORK</t>
  </si>
  <si>
    <t>V11</t>
  </si>
  <si>
    <t>DEADPOOL / VENOM</t>
  </si>
  <si>
    <t>MINIATURA MINION BOB</t>
  </si>
  <si>
    <t>V12</t>
  </si>
  <si>
    <t>HOWARD WOLOWITZ AS BATMAN</t>
  </si>
  <si>
    <t>MINIATURA MINION KEVIN</t>
  </si>
  <si>
    <t>V13</t>
  </si>
  <si>
    <t>INFARMOUS IRON MEN</t>
  </si>
  <si>
    <t>MINIATURA KID GRU</t>
  </si>
  <si>
    <t>V14</t>
  </si>
  <si>
    <t>CARNAGE (CARLA UNGER)</t>
  </si>
  <si>
    <t>MINIATURA MINION DAVE</t>
  </si>
  <si>
    <t>V15</t>
  </si>
  <si>
    <t>WILE E. COYOTE AS CYBORG</t>
  </si>
  <si>
    <t>ANIMATION</t>
  </si>
  <si>
    <t>MINIATURA MINION STUART</t>
  </si>
  <si>
    <t>V16</t>
  </si>
  <si>
    <t>SABRETOOTH</t>
  </si>
  <si>
    <t>MINIATURA HOMER</t>
  </si>
  <si>
    <t>V17</t>
  </si>
  <si>
    <t>WAR MACHINE</t>
  </si>
  <si>
    <t>MINIATURA BART</t>
  </si>
  <si>
    <t>V18</t>
  </si>
  <si>
    <t>ANT-MAN</t>
  </si>
  <si>
    <t>MINIATURA VELMA</t>
  </si>
  <si>
    <t>V19</t>
  </si>
  <si>
    <t>GOKU (WORLD TOURNAMENT)</t>
  </si>
  <si>
    <t>MINIATURA LISA</t>
  </si>
  <si>
    <t>V20</t>
  </si>
  <si>
    <t>MINIATURA MEGUE</t>
  </si>
  <si>
    <t>V21</t>
  </si>
  <si>
    <t>DRAGON SHIRYU</t>
  </si>
  <si>
    <t>PANTERA NEGRA</t>
  </si>
  <si>
    <t>V22</t>
  </si>
  <si>
    <t>CYGNUS HYOGA</t>
  </si>
  <si>
    <t>MINIATURA HE-MAN</t>
  </si>
  <si>
    <t>V23</t>
  </si>
  <si>
    <t>COLOSSUS</t>
  </si>
  <si>
    <t>MINIATURA ESQUELETO</t>
  </si>
  <si>
    <t>V0</t>
  </si>
  <si>
    <t>ANDROMEDA SHUN</t>
  </si>
  <si>
    <t>MINIATURA GORPO</t>
  </si>
  <si>
    <t>EL CHAPULIN COLORADO</t>
  </si>
  <si>
    <t>MINIATURA</t>
  </si>
  <si>
    <t>EL CHAVO</t>
  </si>
  <si>
    <t>PHOENIX IKKI</t>
  </si>
  <si>
    <t>MINIATURA SUNNY</t>
  </si>
  <si>
    <t>GANDALF</t>
  </si>
  <si>
    <t>MONKEY. D. LUFFY</t>
  </si>
  <si>
    <t>BAMPRESTO</t>
  </si>
  <si>
    <t>FRODO BAGGINS</t>
  </si>
  <si>
    <t>RORONOA ZORO</t>
  </si>
  <si>
    <t>JULHO DE 2022</t>
  </si>
  <si>
    <t>TINKER BELL</t>
  </si>
  <si>
    <t>FRANKY</t>
  </si>
  <si>
    <t>SORCERES MICKEY</t>
  </si>
  <si>
    <t>MINIATURA MERRY</t>
  </si>
  <si>
    <t>BLEACH</t>
  </si>
  <si>
    <t>MR BEAN PAJAMAS</t>
  </si>
  <si>
    <t>TONY TONY CHOPPER</t>
  </si>
  <si>
    <t>V24</t>
  </si>
  <si>
    <t>AGOSTO DE 2022</t>
  </si>
  <si>
    <t>SUPER SAIYAN GOKU</t>
  </si>
  <si>
    <t>MINIATURA SHANKS</t>
  </si>
  <si>
    <t>MEGAHOUSE</t>
  </si>
  <si>
    <t>DARKSEID</t>
  </si>
  <si>
    <t>ANIME HERDES</t>
  </si>
  <si>
    <t>LOFFY GEAR FOUR</t>
  </si>
  <si>
    <t>EUSTASS KID</t>
  </si>
  <si>
    <t>LOFFYTARO</t>
  </si>
  <si>
    <t>TRAFALGAR.D.LAN</t>
  </si>
  <si>
    <t>AGOSTO DE2022</t>
  </si>
  <si>
    <t>PEGASUS SEIYA</t>
  </si>
  <si>
    <t>STAN LEE</t>
  </si>
  <si>
    <t>SAM WINCHESTER</t>
  </si>
  <si>
    <t>DEN WINCHESTER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</si>
</sst>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_-[$R$-416]\ * #,##0.00_-;\-[$R$-416]\ * #,##0.00_-;_-[$R$-416]\ * &quot;-&quot;??_-;_-@"/>
    <numFmt numFmtId="165" formatCode="_-&quot;R$&quot;* #,##0.00_-;\-&quot;R$&quot;* #,##0.00_-;_-&quot;R$&quot;* &quot;-&quot;??_-;_-@"/>
  </numFmts>
  <fonts count="5">
    <font>
      <sz val="11.0"/>
      <color theme="1"/>
      <name val="Calibri"/>
      <scheme val="minor"/>
    </font>
    <font>
      <sz val="11.0"/>
      <color theme="1"/>
      <name val="Calibri"/>
    </font>
    <font/>
    <font>
      <b/>
      <sz val="20.0"/>
      <color rgb="FF00B0F0"/>
      <name val="Calibri"/>
    </font>
    <font>
      <b/>
      <sz val="25.0"/>
      <color rgb="FF00B0F0"/>
      <name val="Calibri"/>
    </font>
  </fonts>
  <fills count="5">
    <fill>
      <patternFill patternType="none"/>
    </fill>
    <fill>
      <patternFill patternType="lightGray"/>
    </fill>
    <fill>
      <patternFill patternType="solid">
        <fgColor theme="1"/>
        <bgColor theme="1"/>
      </patternFill>
    </fill>
    <fill>
      <patternFill patternType="solid">
        <fgColor rgb="FFBFBFBF"/>
        <bgColor rgb="FFBFBFBF"/>
      </patternFill>
    </fill>
    <fill>
      <patternFill patternType="solid">
        <fgColor rgb="FF002060"/>
        <bgColor rgb="FF002060"/>
      </patternFill>
    </fill>
  </fills>
  <borders count="39">
    <border/>
    <border>
      <left/>
      <right/>
      <top/>
      <bottom/>
    </border>
    <border>
      <left/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bottom/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/>
      <top style="thin">
        <color rgb="FF000000"/>
      </top>
      <bottom/>
    </border>
    <border>
      <top style="thin">
        <color rgb="FF000000"/>
      </top>
      <bottom/>
    </border>
    <border>
      <right/>
      <top style="thin">
        <color rgb="FF000000"/>
      </top>
      <bottom/>
    </border>
    <border>
      <left style="thin">
        <color rgb="FF000000"/>
      </left>
      <right/>
      <top/>
    </border>
    <border>
      <left style="thin">
        <color rgb="FF000000"/>
      </left>
      <right/>
    </border>
    <border>
      <left style="thin">
        <color rgb="FF000000"/>
      </left>
      <right/>
      <bottom/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left/>
      <right style="thin">
        <color rgb="FF000000"/>
      </right>
      <top/>
    </border>
    <border>
      <left/>
      <right style="thin">
        <color rgb="FF000000"/>
      </right>
    </border>
    <border>
      <left/>
      <right style="thin">
        <color rgb="FF000000"/>
      </right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/>
    </border>
    <border>
      <top/>
    </border>
    <border>
      <right/>
      <top/>
    </border>
    <border>
      <left style="thin">
        <color rgb="FF000000"/>
      </left>
      <bottom/>
    </border>
    <border>
      <bottom/>
    </border>
    <border>
      <right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71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3" fontId="1" numFmtId="0" xfId="0" applyAlignment="1" applyBorder="1" applyFill="1" applyFont="1">
      <alignment horizontal="center"/>
    </xf>
    <xf borderId="3" fillId="0" fontId="2" numFmtId="0" xfId="0" applyBorder="1" applyFont="1"/>
    <xf borderId="4" fillId="0" fontId="2" numFmtId="0" xfId="0" applyBorder="1" applyFont="1"/>
    <xf borderId="5" fillId="3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7" fillId="0" fontId="2" numFmtId="0" xfId="0" applyBorder="1" applyFont="1"/>
    <xf borderId="8" fillId="0" fontId="2" numFmtId="0" xfId="0" applyBorder="1" applyFont="1"/>
    <xf borderId="9" fillId="0" fontId="2" numFmtId="0" xfId="0" applyBorder="1" applyFont="1"/>
    <xf borderId="10" fillId="0" fontId="2" numFmtId="0" xfId="0" applyBorder="1" applyFont="1"/>
    <xf borderId="11" fillId="0" fontId="2" numFmtId="0" xfId="0" applyBorder="1" applyFont="1"/>
    <xf borderId="12" fillId="0" fontId="2" numFmtId="0" xfId="0" applyBorder="1" applyFont="1"/>
    <xf borderId="13" fillId="0" fontId="2" numFmtId="0" xfId="0" applyBorder="1" applyFont="1"/>
    <xf borderId="14" fillId="0" fontId="2" numFmtId="0" xfId="0" applyBorder="1" applyFont="1"/>
    <xf borderId="15" fillId="0" fontId="2" numFmtId="0" xfId="0" applyBorder="1" applyFont="1"/>
    <xf borderId="16" fillId="3" fontId="1" numFmtId="0" xfId="0" applyAlignment="1" applyBorder="1" applyFont="1">
      <alignment horizontal="center"/>
    </xf>
    <xf borderId="17" fillId="0" fontId="2" numFmtId="0" xfId="0" applyBorder="1" applyFont="1"/>
    <xf borderId="18" fillId="0" fontId="2" numFmtId="0" xfId="0" applyBorder="1" applyFont="1"/>
    <xf borderId="19" fillId="3" fontId="1" numFmtId="0" xfId="0" applyAlignment="1" applyBorder="1" applyFont="1">
      <alignment horizontal="center"/>
    </xf>
    <xf borderId="20" fillId="0" fontId="2" numFmtId="0" xfId="0" applyBorder="1" applyFont="1"/>
    <xf borderId="21" fillId="0" fontId="2" numFmtId="0" xfId="0" applyBorder="1" applyFont="1"/>
    <xf borderId="22" fillId="3" fontId="1" numFmtId="0" xfId="0" applyAlignment="1" applyBorder="1" applyFont="1">
      <alignment horizontal="center"/>
    </xf>
    <xf borderId="23" fillId="0" fontId="2" numFmtId="0" xfId="0" applyBorder="1" applyFont="1"/>
    <xf borderId="24" fillId="0" fontId="2" numFmtId="0" xfId="0" applyBorder="1" applyFont="1"/>
    <xf borderId="25" fillId="3" fontId="1" numFmtId="0" xfId="0" applyAlignment="1" applyBorder="1" applyFont="1">
      <alignment horizontal="center"/>
    </xf>
    <xf borderId="26" fillId="0" fontId="2" numFmtId="0" xfId="0" applyBorder="1" applyFont="1"/>
    <xf borderId="27" fillId="0" fontId="2" numFmtId="0" xfId="0" applyBorder="1" applyFont="1"/>
    <xf borderId="6" fillId="4" fontId="3" numFmtId="0" xfId="0" applyAlignment="1" applyBorder="1" applyFill="1" applyFont="1">
      <alignment horizontal="center" vertical="center"/>
    </xf>
    <xf borderId="15" fillId="0" fontId="1" numFmtId="0" xfId="0" applyAlignment="1" applyBorder="1" applyFont="1">
      <alignment horizontal="center" vertical="center"/>
    </xf>
    <xf borderId="28" fillId="0" fontId="1" numFmtId="0" xfId="0" applyAlignment="1" applyBorder="1" applyFont="1">
      <alignment horizontal="center" vertical="center"/>
    </xf>
    <xf borderId="13" fillId="0" fontId="1" numFmtId="0" xfId="0" applyAlignment="1" applyBorder="1" applyFont="1">
      <alignment horizontal="center" vertical="center"/>
    </xf>
    <xf borderId="8" fillId="0" fontId="1" numFmtId="0" xfId="0" applyAlignment="1" applyBorder="1" applyFont="1">
      <alignment horizontal="center" vertical="center"/>
    </xf>
    <xf borderId="29" fillId="0" fontId="1" numFmtId="164" xfId="0" applyAlignment="1" applyBorder="1" applyFont="1" applyNumberFormat="1">
      <alignment horizontal="center" vertical="center"/>
    </xf>
    <xf borderId="29" fillId="0" fontId="1" numFmtId="165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/>
    </xf>
    <xf borderId="29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/>
    </xf>
    <xf borderId="8" fillId="0" fontId="1" numFmtId="165" xfId="0" applyAlignment="1" applyBorder="1" applyFont="1" applyNumberFormat="1">
      <alignment horizontal="center"/>
    </xf>
    <xf borderId="29" fillId="0" fontId="1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14" fillId="0" fontId="1" numFmtId="0" xfId="0" applyAlignment="1" applyBorder="1" applyFont="1">
      <alignment horizontal="center"/>
    </xf>
    <xf borderId="30" fillId="4" fontId="3" numFmtId="0" xfId="0" applyAlignment="1" applyBorder="1" applyFont="1">
      <alignment horizontal="center" vertical="center"/>
    </xf>
    <xf borderId="31" fillId="0" fontId="2" numFmtId="0" xfId="0" applyBorder="1" applyFont="1"/>
    <xf borderId="32" fillId="0" fontId="2" numFmtId="0" xfId="0" applyBorder="1" applyFont="1"/>
    <xf borderId="33" fillId="0" fontId="2" numFmtId="0" xfId="0" applyBorder="1" applyFont="1"/>
    <xf borderId="34" fillId="0" fontId="2" numFmtId="0" xfId="0" applyBorder="1" applyFont="1"/>
    <xf borderId="35" fillId="0" fontId="2" numFmtId="0" xfId="0" applyBorder="1" applyFont="1"/>
    <xf borderId="36" fillId="0" fontId="1" numFmtId="0" xfId="0" applyAlignment="1" applyBorder="1" applyFont="1">
      <alignment horizontal="center" vertical="center"/>
    </xf>
    <xf borderId="36" fillId="0" fontId="1" numFmtId="165" xfId="0" applyAlignment="1" applyBorder="1" applyFont="1" applyNumberFormat="1">
      <alignment horizontal="center" vertical="center"/>
    </xf>
    <xf borderId="36" fillId="0" fontId="1" numFmtId="1" xfId="0" applyAlignment="1" applyBorder="1" applyFont="1" applyNumberFormat="1">
      <alignment horizontal="center" vertical="center"/>
    </xf>
    <xf borderId="36" fillId="0" fontId="1" numFmtId="0" xfId="0" applyAlignment="1" applyBorder="1" applyFont="1">
      <alignment horizontal="center"/>
    </xf>
    <xf borderId="36" fillId="0" fontId="1" numFmtId="165" xfId="0" applyAlignment="1" applyBorder="1" applyFont="1" applyNumberFormat="1">
      <alignment horizontal="center"/>
    </xf>
    <xf borderId="0" fillId="0" fontId="1" numFmtId="0" xfId="0" applyFont="1"/>
    <xf borderId="7" fillId="0" fontId="1" numFmtId="0" xfId="0" applyAlignment="1" applyBorder="1" applyFont="1">
      <alignment horizontal="center"/>
    </xf>
    <xf borderId="6" fillId="4" fontId="4" numFmtId="0" xfId="0" applyAlignment="1" applyBorder="1" applyFont="1">
      <alignment horizontal="center"/>
    </xf>
    <xf borderId="0" fillId="0" fontId="4" numFmtId="0" xfId="0" applyFont="1"/>
    <xf borderId="36" fillId="0" fontId="1" numFmtId="0" xfId="0" applyBorder="1" applyFont="1"/>
    <xf borderId="36" fillId="0" fontId="1" numFmtId="0" xfId="0" applyAlignment="1" applyBorder="1" applyFont="1">
      <alignment horizontal="left"/>
    </xf>
    <xf borderId="36" fillId="0" fontId="1" numFmtId="164" xfId="0" applyBorder="1" applyFont="1" applyNumberFormat="1"/>
    <xf borderId="36" fillId="0" fontId="1" numFmtId="165" xfId="0" applyBorder="1" applyFont="1" applyNumberFormat="1"/>
    <xf borderId="37" fillId="0" fontId="1" numFmtId="0" xfId="0" applyAlignment="1" applyBorder="1" applyFont="1">
      <alignment horizontal="center" vertical="center"/>
    </xf>
    <xf borderId="36" fillId="0" fontId="1" numFmtId="0" xfId="0" applyAlignment="1" applyBorder="1" applyFont="1">
      <alignment horizontal="center" vertical="center"/>
    </xf>
    <xf borderId="36" fillId="0" fontId="1" numFmtId="165" xfId="0" applyAlignment="1" applyBorder="1" applyFont="1" applyNumberFormat="1">
      <alignment horizontal="center" vertical="center"/>
    </xf>
    <xf borderId="38" fillId="0" fontId="1" numFmtId="165" xfId="0" applyAlignment="1" applyBorder="1" applyFont="1" applyNumberFormat="1">
      <alignment horizontal="center" vertical="center"/>
    </xf>
    <xf borderId="36" fillId="0" fontId="1" numFmtId="0" xfId="0" applyAlignment="1" applyBorder="1" applyFont="1">
      <alignment horizontal="center" readingOrder="0" vertical="center"/>
    </xf>
    <xf borderId="36" fillId="0" fontId="1" numFmtId="165" xfId="0" applyAlignment="1" applyBorder="1" applyFont="1" applyNumberFormat="1">
      <alignment horizontal="center" readingOrder="0" vertical="center"/>
    </xf>
    <xf borderId="29" fillId="0" fontId="1" numFmtId="0" xfId="0" applyAlignment="1" applyBorder="1" applyFont="1">
      <alignment horizontal="center" vertical="center"/>
    </xf>
    <xf borderId="29" fillId="0" fontId="1" numFmtId="165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rgb="FFDEEAF6"/>
          <bgColor rgb="FFDEEAF6"/>
        </patternFill>
      </fill>
      <border/>
    </dxf>
  </dxfs>
  <tableStyles count="11">
    <tableStyle count="3" pivot="0" name="TOTAL.GERAL-style">
      <tableStyleElement dxfId="1" type="headerRow"/>
      <tableStyleElement dxfId="2" type="firstRowStripe"/>
      <tableStyleElement dxfId="3" type="secondRowStripe"/>
    </tableStyle>
    <tableStyle count="3" pivot="0" name="TOTAL.GERAL-style 2">
      <tableStyleElement dxfId="1" type="headerRow"/>
      <tableStyleElement dxfId="2" type="firstRowStripe"/>
      <tableStyleElement dxfId="3" type="secondRowStripe"/>
    </tableStyle>
    <tableStyle count="3" pivot="0" name="TOTAL.GERAL-style 3">
      <tableStyleElement dxfId="1" type="headerRow"/>
      <tableStyleElement dxfId="2" type="firstRowStripe"/>
      <tableStyleElement dxfId="3" type="secondRowStripe"/>
    </tableStyle>
    <tableStyle count="3" pivot="0" name="TOTAL.GERAL-style 4">
      <tableStyleElement dxfId="1" type="headerRow"/>
      <tableStyleElement dxfId="2" type="firstRowStripe"/>
      <tableStyleElement dxfId="3" type="secondRowStripe"/>
    </tableStyle>
    <tableStyle count="3" pivot="0" name="TOTAL.GERAL-style 5">
      <tableStyleElement dxfId="1" type="headerRow"/>
      <tableStyleElement dxfId="2" type="firstRowStripe"/>
      <tableStyleElement dxfId="3" type="secondRowStripe"/>
    </tableStyle>
    <tableStyle count="3" pivot="0" name="TOTAL.GERAL-style 6">
      <tableStyleElement dxfId="1" type="headerRow"/>
      <tableStyleElement dxfId="2" type="firstRowStripe"/>
      <tableStyleElement dxfId="3" type="secondRowStripe"/>
    </tableStyle>
    <tableStyle count="3" pivot="0" name="TOTAL.GERAL-style 7">
      <tableStyleElement dxfId="1" type="headerRow"/>
      <tableStyleElement dxfId="2" type="firstRowStripe"/>
      <tableStyleElement dxfId="3" type="secondRowStripe"/>
    </tableStyle>
    <tableStyle count="3" pivot="0" name="TOTAL.GERAL-style 8">
      <tableStyleElement dxfId="1" type="headerRow"/>
      <tableStyleElement dxfId="2" type="firstRowStripe"/>
      <tableStyleElement dxfId="3" type="secondRowStripe"/>
    </tableStyle>
    <tableStyle count="3" pivot="0" name="DADOS.GERAL-style">
      <tableStyleElement dxfId="1" type="headerRow"/>
      <tableStyleElement dxfId="2" type="firstRowStripe"/>
      <tableStyleElement dxfId="3" type="secondRowStripe"/>
    </tableStyle>
    <tableStyle count="3" pivot="0" name="DADOS.GERAL-style 2">
      <tableStyleElement dxfId="1" type="headerRow"/>
      <tableStyleElement dxfId="2" type="firstRowStripe"/>
      <tableStyleElement dxfId="3" type="secondRowStripe"/>
    </tableStyle>
    <tableStyle count="3" pivot="0" name="DADOS.GERAL-style 3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POPs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TOTAL.GERAL!$D$3:$F$3</c:f>
            </c:strRef>
          </c:cat>
          <c:val>
            <c:numRef>
              <c:f>TOTAL.GERAL!$D$4:$F$4</c:f>
              <c:numCache/>
            </c:numRef>
          </c:val>
        </c:ser>
        <c:axId val="1256013911"/>
        <c:axId val="244175881"/>
      </c:barChart>
      <c:catAx>
        <c:axId val="1256013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244175881"/>
      </c:catAx>
      <c:valAx>
        <c:axId val="24417588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256013911"/>
      </c:valAx>
    </c:plotArea>
    <c:plotVisOnly val="1"/>
  </c:chart>
  <c:spPr>
    <a:solidFill>
      <a:schemeClr val="dk1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ESTATUAs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TOTAL.GERAL!$J$3:$L$3</c:f>
            </c:strRef>
          </c:cat>
          <c:val>
            <c:numRef>
              <c:f>TOTAL.GERAL!$J$4:$L$4</c:f>
              <c:numCache/>
            </c:numRef>
          </c:val>
        </c:ser>
        <c:axId val="89779001"/>
        <c:axId val="272675708"/>
      </c:barChart>
      <c:catAx>
        <c:axId val="89779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272675708"/>
      </c:catAx>
      <c:valAx>
        <c:axId val="27267570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89779001"/>
      </c:valAx>
    </c:plotArea>
    <c:plotVisOnly val="1"/>
  </c:chart>
  <c:spPr>
    <a:solidFill>
      <a:schemeClr val="dk1"/>
    </a:solidFill>
  </c:spPr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MANGÁs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TOTAL.GERAL!$P$3:$R$3</c:f>
            </c:strRef>
          </c:cat>
          <c:val>
            <c:numRef>
              <c:f>TOTAL.GERAL!$P$4:$R$4</c:f>
              <c:numCache/>
            </c:numRef>
          </c:val>
        </c:ser>
        <c:axId val="543396896"/>
        <c:axId val="1801778839"/>
      </c:barChart>
      <c:catAx>
        <c:axId val="54339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801778839"/>
      </c:catAx>
      <c:valAx>
        <c:axId val="180177883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543396896"/>
      </c:valAx>
    </c:plotArea>
    <c:plotVisOnly val="1"/>
  </c:chart>
  <c:spPr>
    <a:solidFill>
      <a:schemeClr val="dk1"/>
    </a:solidFill>
  </c:spPr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dk1"/>
                </a:solidFill>
                <a:latin typeface="+mn-lt"/>
              </a:defRPr>
            </a:pPr>
            <a:r>
              <a:rPr b="1" i="0" sz="1600">
                <a:solidFill>
                  <a:schemeClr val="dk1"/>
                </a:solidFill>
                <a:latin typeface="+mn-lt"/>
              </a:rPr>
              <a:t>TOTAL POR ANO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000000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TOTAL.GERAL!$T$9:$T$10</c:f>
            </c:strRef>
          </c:cat>
          <c:val>
            <c:numRef>
              <c:f>TOTAL.GERAL!$U$9:$U$10</c:f>
              <c:numCache/>
            </c:numRef>
          </c:val>
        </c:ser>
        <c:axId val="240313184"/>
        <c:axId val="742394456"/>
      </c:barChart>
      <c:catAx>
        <c:axId val="24031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742394456"/>
      </c:catAx>
      <c:valAx>
        <c:axId val="7423944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240313184"/>
      </c:valAx>
    </c:plotArea>
    <c:plotVisOnly val="1"/>
  </c:chart>
  <c:spPr>
    <a:solidFill>
      <a:schemeClr val="dk1"/>
    </a:solidFill>
  </c:spPr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TOTAL COMPRA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TOTAL.GERAL!$AD$3:$AF$3</c:f>
            </c:strRef>
          </c:cat>
          <c:val>
            <c:numRef>
              <c:f>TOTAL.GERAL!$AD$4:$AF$4</c:f>
              <c:numCache/>
            </c:numRef>
          </c:val>
        </c:ser>
        <c:axId val="1561779717"/>
        <c:axId val="1401368406"/>
      </c:barChart>
      <c:catAx>
        <c:axId val="15617797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401368406"/>
      </c:catAx>
      <c:valAx>
        <c:axId val="14013684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561779717"/>
      </c:valAx>
    </c:plotArea>
    <c:plotVisOnly val="1"/>
  </c:chart>
  <c:spPr>
    <a:solidFill>
      <a:schemeClr val="dk1"/>
    </a:solidFill>
  </c:spPr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TOTAL VENDA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TOTAL.GERAL!$Z$8:$AB$8</c:f>
            </c:strRef>
          </c:cat>
          <c:val>
            <c:numRef>
              <c:f>TOTAL.GERAL!$Z$9:$AB$9</c:f>
              <c:numCache/>
            </c:numRef>
          </c:val>
        </c:ser>
        <c:axId val="1788999987"/>
        <c:axId val="891044196"/>
      </c:barChart>
      <c:catAx>
        <c:axId val="17889999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891044196"/>
      </c:catAx>
      <c:valAx>
        <c:axId val="89104419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788999987"/>
      </c:valAx>
    </c:plotArea>
    <c:plotVisOnly val="1"/>
  </c:chart>
  <c:spPr>
    <a:solidFill>
      <a:schemeClr val="dk1"/>
    </a:solidFill>
  </c:spPr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TOTAL DE VALOR P/N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TOTAL.GERAL!$AD$8:$AF$8</c:f>
            </c:strRef>
          </c:cat>
          <c:val>
            <c:numRef>
              <c:f>TOTAL.GERAL!$AD$9:$AF$9</c:f>
              <c:numCache/>
            </c:numRef>
          </c:val>
        </c:ser>
        <c:axId val="1518349725"/>
        <c:axId val="1565712287"/>
      </c:barChart>
      <c:catAx>
        <c:axId val="15183497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565712287"/>
      </c:catAx>
      <c:valAx>
        <c:axId val="15657122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518349725"/>
      </c:valAx>
    </c:plotArea>
    <c:plotVisOnly val="1"/>
  </c:chart>
  <c:spPr>
    <a:solidFill>
      <a:schemeClr val="dk1"/>
    </a:solidFill>
  </c:spPr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TOTAL DE PEÇAS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</c:spPr>
          </c:dPt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TOTAL.GERAL!$Z$3:$AB$3</c:f>
            </c:strRef>
          </c:cat>
          <c:val>
            <c:numRef>
              <c:f>TOTAL.GERAL!$Z$4:$AB$4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lt1"/>
                </a:solidFill>
                <a:latin typeface="+mn-lt"/>
              </a:defRPr>
            </a:pPr>
            <a:r>
              <a:rPr b="1" i="0" sz="1400">
                <a:solidFill>
                  <a:schemeClr val="lt1"/>
                </a:solidFill>
                <a:latin typeface="+mn-lt"/>
              </a:rPr>
              <a:t>VALOR TOTAL EM REAL DE 2021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VALOR COMPRA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TOTAL.GERAL!$T$15:$T$24</c:f>
            </c:strRef>
          </c:cat>
          <c:val>
            <c:numRef>
              <c:f>TOTAL.GERAL!$V$15:$V$24</c:f>
              <c:numCache/>
            </c:numRef>
          </c:val>
        </c:ser>
        <c:ser>
          <c:idx val="1"/>
          <c:order val="1"/>
          <c:tx>
            <c:v>VALOR VENDA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TOTAL.GERAL!$T$15:$T$24</c:f>
            </c:strRef>
          </c:cat>
          <c:val>
            <c:numRef>
              <c:f>TOTAL.GERAL!$W$15:$W$24</c:f>
              <c:numCache/>
            </c:numRef>
          </c:val>
        </c:ser>
        <c:ser>
          <c:idx val="2"/>
          <c:order val="2"/>
          <c:tx>
            <c:v>MEDIA P/N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TOTAL.GERAL!$T$15:$T$24</c:f>
            </c:strRef>
          </c:cat>
          <c:val>
            <c:numRef>
              <c:f>TOTAL.GERAL!$X$15:$X$24</c:f>
              <c:numCache/>
            </c:numRef>
          </c:val>
        </c:ser>
        <c:axId val="141644366"/>
        <c:axId val="905869416"/>
      </c:barChart>
      <c:catAx>
        <c:axId val="1416443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905869416"/>
      </c:catAx>
      <c:valAx>
        <c:axId val="90586941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41644366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QTD. TOTAL DE PEÇAS DE 2021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MARÇO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TOTAL.GERAL!$U$15</c:f>
              <c:numCache/>
            </c:numRef>
          </c:val>
        </c:ser>
        <c:ser>
          <c:idx val="1"/>
          <c:order val="1"/>
          <c:tx>
            <c:v>ABRIL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TOTAL.GERAL!$U$16</c:f>
              <c:numCache/>
            </c:numRef>
          </c:val>
        </c:ser>
        <c:ser>
          <c:idx val="2"/>
          <c:order val="2"/>
          <c:tx>
            <c:v>MAIO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TOTAL.GERAL!$U$17</c:f>
              <c:numCache/>
            </c:numRef>
          </c:val>
        </c:ser>
        <c:ser>
          <c:idx val="3"/>
          <c:order val="3"/>
          <c:tx>
            <c:v>JUNHO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TOTAL.GERAL!$U$18</c:f>
              <c:numCache/>
            </c:numRef>
          </c:val>
        </c:ser>
        <c:ser>
          <c:idx val="4"/>
          <c:order val="4"/>
          <c:tx>
            <c:v>JULHO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TOTAL.GERAL!$U$19</c:f>
              <c:numCache/>
            </c:numRef>
          </c:val>
        </c:ser>
        <c:ser>
          <c:idx val="5"/>
          <c:order val="5"/>
          <c:tx>
            <c:v>AGOSTO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TOTAL.GERAL!$U$20</c:f>
              <c:numCache/>
            </c:numRef>
          </c:val>
        </c:ser>
        <c:ser>
          <c:idx val="6"/>
          <c:order val="6"/>
          <c:tx>
            <c:v>SETEMBRO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TOTAL.GERAL!$U$21</c:f>
              <c:numCache/>
            </c:numRef>
          </c:val>
        </c:ser>
        <c:ser>
          <c:idx val="7"/>
          <c:order val="7"/>
          <c:tx>
            <c:v>OUTUBRO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TOTAL.GERAL!$U$22</c:f>
              <c:numCache/>
            </c:numRef>
          </c:val>
        </c:ser>
        <c:ser>
          <c:idx val="8"/>
          <c:order val="8"/>
          <c:tx>
            <c:v>NOVEMBRO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TOTAL.GERAL!$U$23</c:f>
              <c:numCache/>
            </c:numRef>
          </c:val>
        </c:ser>
        <c:ser>
          <c:idx val="9"/>
          <c:order val="9"/>
          <c:tx>
            <c:v>DEZEMBRO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TOTAL.GERAL!$U$14</c:f>
            </c:strRef>
          </c:cat>
          <c:val>
            <c:numRef>
              <c:f>TOTAL.GERAL!$U$24</c:f>
              <c:numCache/>
            </c:numRef>
          </c:val>
        </c:ser>
        <c:axId val="794284186"/>
        <c:axId val="958572457"/>
      </c:barChart>
      <c:catAx>
        <c:axId val="7942841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958572457"/>
      </c:catAx>
      <c:valAx>
        <c:axId val="9585724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94284186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QTD. TOTAL DE PEÇAS DE 2022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JANEIRO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TOTAL.GERAL!$U$29</c:f>
              <c:numCache/>
            </c:numRef>
          </c:val>
        </c:ser>
        <c:ser>
          <c:idx val="1"/>
          <c:order val="1"/>
          <c:tx>
            <c:v>FEVEREIRO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TOTAL.GERAL!$U$30</c:f>
              <c:numCache/>
            </c:numRef>
          </c:val>
        </c:ser>
        <c:ser>
          <c:idx val="2"/>
          <c:order val="2"/>
          <c:tx>
            <c:v>MARÇO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TOTAL.GERAL!$U$31</c:f>
              <c:numCache/>
            </c:numRef>
          </c:val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TOTAL.GERAL!$U$32</c:f>
              <c:numCache/>
            </c:numRef>
          </c:val>
        </c:ser>
        <c:ser>
          <c:idx val="4"/>
          <c:order val="4"/>
          <c:tx>
            <c:v>MAIO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TOTAL.GERAL!$U$33</c:f>
              <c:numCache/>
            </c:numRef>
          </c:val>
        </c:ser>
        <c:ser>
          <c:idx val="5"/>
          <c:order val="5"/>
          <c:tx>
            <c:v>JUNHO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TOTAL.GERAL!$U$34</c:f>
              <c:numCache/>
            </c:numRef>
          </c:val>
        </c:ser>
        <c:ser>
          <c:idx val="6"/>
          <c:order val="6"/>
          <c:tx>
            <c:v>JULHO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TOTAL.GERAL!$U$35</c:f>
              <c:numCache/>
            </c:numRef>
          </c:val>
        </c:ser>
        <c:ser>
          <c:idx val="7"/>
          <c:order val="7"/>
          <c:tx>
            <c:v>AGOSTO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TOTAL.GERAL!$U$36</c:f>
              <c:numCache/>
            </c:numRef>
          </c:val>
        </c:ser>
        <c:ser>
          <c:idx val="8"/>
          <c:order val="8"/>
          <c:tx>
            <c:v>SETEMBRO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TOTAL.GERAL!$U$37</c:f>
              <c:numCache/>
            </c:numRef>
          </c:val>
        </c:ser>
        <c:ser>
          <c:idx val="9"/>
          <c:order val="9"/>
          <c:tx>
            <c:v>OUTUBRO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TOTAL.GERAL!$U$38</c:f>
              <c:numCache/>
            </c:numRef>
          </c:val>
        </c:ser>
        <c:ser>
          <c:idx val="10"/>
          <c:order val="10"/>
          <c:tx>
            <c:v>NOVEMBRO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TOTAL.GERAL!$U$39</c:f>
              <c:numCache/>
            </c:numRef>
          </c:val>
        </c:ser>
        <c:ser>
          <c:idx val="11"/>
          <c:order val="11"/>
          <c:tx>
            <c:v>DEZEMBRO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TOTAL.GERAL!$U$28</c:f>
            </c:strRef>
          </c:cat>
          <c:val>
            <c:numRef>
              <c:f>TOTAL.GERAL!$U$40</c:f>
              <c:numCache/>
            </c:numRef>
          </c:val>
        </c:ser>
        <c:axId val="385001277"/>
        <c:axId val="1280722753"/>
      </c:barChart>
      <c:catAx>
        <c:axId val="3850012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1280722753"/>
      </c:catAx>
      <c:valAx>
        <c:axId val="128072275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85001277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lt1"/>
                </a:solidFill>
                <a:latin typeface="+mn-lt"/>
              </a:defRPr>
            </a:pPr>
            <a:r>
              <a:rPr b="1" i="0" sz="1400">
                <a:solidFill>
                  <a:schemeClr val="lt1"/>
                </a:solidFill>
                <a:latin typeface="+mn-lt"/>
              </a:rPr>
              <a:t>VALOR TOTAL EM REAL DE 2022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VALOR COMPRA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TOTAL.GERAL!$T$29:$T$40</c:f>
            </c:strRef>
          </c:cat>
          <c:val>
            <c:numRef>
              <c:f>TOTAL.GERAL!$V$29:$V$40</c:f>
              <c:numCache/>
            </c:numRef>
          </c:val>
        </c:ser>
        <c:ser>
          <c:idx val="1"/>
          <c:order val="1"/>
          <c:tx>
            <c:v>VALOR VENDA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TOTAL.GERAL!$T$29:$T$40</c:f>
            </c:strRef>
          </c:cat>
          <c:val>
            <c:numRef>
              <c:f>TOTAL.GERAL!$W$29:$W$40</c:f>
              <c:numCache/>
            </c:numRef>
          </c:val>
        </c:ser>
        <c:ser>
          <c:idx val="2"/>
          <c:order val="2"/>
          <c:tx>
            <c:v>MEDIA P/N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TOTAL.GERAL!$T$29:$T$40</c:f>
            </c:strRef>
          </c:cat>
          <c:val>
            <c:numRef>
              <c:f>TOTAL.GERAL!$X$29:$X$40</c:f>
              <c:numCache/>
            </c:numRef>
          </c:val>
        </c:ser>
        <c:axId val="186568703"/>
        <c:axId val="658887572"/>
      </c:barChart>
      <c:catAx>
        <c:axId val="186568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658887572"/>
      </c:catAx>
      <c:valAx>
        <c:axId val="6588875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86568703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lt1"/>
                </a:solidFill>
                <a:latin typeface="+mn-lt"/>
              </a:defRPr>
            </a:pPr>
            <a:r>
              <a:rPr b="1" i="0" sz="1400">
                <a:solidFill>
                  <a:schemeClr val="lt1"/>
                </a:solidFill>
                <a:latin typeface="+mn-lt"/>
              </a:rPr>
              <a:t>POPs EM RELA NO ANO DE 2021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VALOR COMPRA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TOTAL.GERAL!$B$15:$B$24</c:f>
            </c:strRef>
          </c:cat>
          <c:val>
            <c:numRef>
              <c:f>TOTAL.GERAL!$D$15:$D$24</c:f>
              <c:numCache/>
            </c:numRef>
          </c:val>
        </c:ser>
        <c:ser>
          <c:idx val="1"/>
          <c:order val="1"/>
          <c:tx>
            <c:v>VALOR VENDA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TOTAL.GERAL!$B$15:$B$24</c:f>
            </c:strRef>
          </c:cat>
          <c:val>
            <c:numRef>
              <c:f>TOTAL.GERAL!$E$15:$E$24</c:f>
              <c:numCache/>
            </c:numRef>
          </c:val>
        </c:ser>
        <c:ser>
          <c:idx val="2"/>
          <c:order val="2"/>
          <c:tx>
            <c:v>MEDIA P/N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TOTAL.GERAL!$B$15:$B$24</c:f>
            </c:strRef>
          </c:cat>
          <c:val>
            <c:numRef>
              <c:f>TOTAL.GERAL!$F$15:$F$24</c:f>
              <c:numCache/>
            </c:numRef>
          </c:val>
        </c:ser>
        <c:axId val="1214099796"/>
        <c:axId val="70002832"/>
      </c:barChart>
      <c:catAx>
        <c:axId val="12140997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70002832"/>
      </c:catAx>
      <c:valAx>
        <c:axId val="7000283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214099796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POPs QTD. PEÇAS NO ANO DE 2021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MARÇO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TOTAL.GERAL!$C$15</c:f>
              <c:numCache/>
            </c:numRef>
          </c:val>
        </c:ser>
        <c:ser>
          <c:idx val="1"/>
          <c:order val="1"/>
          <c:tx>
            <c:v>ABRIL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TOTAL.GERAL!$C$16</c:f>
              <c:numCache/>
            </c:numRef>
          </c:val>
        </c:ser>
        <c:ser>
          <c:idx val="2"/>
          <c:order val="2"/>
          <c:tx>
            <c:v>MAIO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TOTAL.GERAL!$C$17</c:f>
              <c:numCache/>
            </c:numRef>
          </c:val>
        </c:ser>
        <c:ser>
          <c:idx val="3"/>
          <c:order val="3"/>
          <c:tx>
            <c:v>JUNHO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TOTAL.GERAL!$C$18</c:f>
              <c:numCache/>
            </c:numRef>
          </c:val>
        </c:ser>
        <c:ser>
          <c:idx val="4"/>
          <c:order val="4"/>
          <c:tx>
            <c:v>JULHO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TOTAL.GERAL!$C$19</c:f>
              <c:numCache/>
            </c:numRef>
          </c:val>
        </c:ser>
        <c:ser>
          <c:idx val="5"/>
          <c:order val="5"/>
          <c:tx>
            <c:v>AGOSTO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TOTAL.GERAL!$C$20</c:f>
              <c:numCache/>
            </c:numRef>
          </c:val>
        </c:ser>
        <c:ser>
          <c:idx val="6"/>
          <c:order val="6"/>
          <c:tx>
            <c:v>SETEMBRO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TOTAL.GERAL!$C$21</c:f>
              <c:numCache/>
            </c:numRef>
          </c:val>
        </c:ser>
        <c:ser>
          <c:idx val="7"/>
          <c:order val="7"/>
          <c:tx>
            <c:v>OUTUBRO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TOTAL.GERAL!$C$22</c:f>
              <c:numCache/>
            </c:numRef>
          </c:val>
        </c:ser>
        <c:ser>
          <c:idx val="8"/>
          <c:order val="8"/>
          <c:tx>
            <c:v>NOVEMBRO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TOTAL.GERAL!$C$23</c:f>
              <c:numCache/>
            </c:numRef>
          </c:val>
        </c:ser>
        <c:ser>
          <c:idx val="9"/>
          <c:order val="9"/>
          <c:tx>
            <c:v>DEZEMBRO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TOTAL.GERAL!$C$24</c:f>
              <c:numCache/>
            </c:numRef>
          </c:val>
        </c:ser>
        <c:axId val="755035185"/>
        <c:axId val="646907534"/>
      </c:barChart>
      <c:catAx>
        <c:axId val="7550351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646907534"/>
      </c:catAx>
      <c:valAx>
        <c:axId val="64690753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55035185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lt1"/>
                </a:solidFill>
                <a:latin typeface="+mn-lt"/>
              </a:defRPr>
            </a:pPr>
            <a:r>
              <a:rPr b="1" i="0" sz="1400">
                <a:solidFill>
                  <a:schemeClr val="lt1"/>
                </a:solidFill>
                <a:latin typeface="+mn-lt"/>
              </a:rPr>
              <a:t>POPs EM RELA NO ANO DE 2022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VALOR COMPRA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TOTAL.GERAL!$B$29:$B$40</c:f>
            </c:strRef>
          </c:cat>
          <c:val>
            <c:numRef>
              <c:f>TOTAL.GERAL!$D$29:$D$40</c:f>
              <c:numCache/>
            </c:numRef>
          </c:val>
        </c:ser>
        <c:ser>
          <c:idx val="1"/>
          <c:order val="1"/>
          <c:tx>
            <c:v>VALOR VENDA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TOTAL.GERAL!$B$29:$B$40</c:f>
            </c:strRef>
          </c:cat>
          <c:val>
            <c:numRef>
              <c:f>TOTAL.GERAL!$E$29:$E$40</c:f>
              <c:numCache/>
            </c:numRef>
          </c:val>
        </c:ser>
        <c:ser>
          <c:idx val="2"/>
          <c:order val="2"/>
          <c:tx>
            <c:v>MEDIA P/N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TOTAL.GERAL!$B$29:$B$40</c:f>
            </c:strRef>
          </c:cat>
          <c:val>
            <c:numRef>
              <c:f>TOTAL.GERAL!$F$29:$F$40</c:f>
              <c:numCache/>
            </c:numRef>
          </c:val>
        </c:ser>
        <c:axId val="943140461"/>
        <c:axId val="106761054"/>
      </c:barChart>
      <c:catAx>
        <c:axId val="9431404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06761054"/>
      </c:catAx>
      <c:valAx>
        <c:axId val="10676105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943140461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POPs QTD. PEÇAS NO ANO DE 2022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JANEIRO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TOTAL.GERAL!$C$28</c:f>
            </c:strRef>
          </c:cat>
          <c:val>
            <c:numRef>
              <c:f>TOTAL.GERAL!$C$29</c:f>
              <c:numCache/>
            </c:numRef>
          </c:val>
        </c:ser>
        <c:ser>
          <c:idx val="1"/>
          <c:order val="1"/>
          <c:tx>
            <c:v>FEVEREIRO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TOTAL.GERAL!$C$28</c:f>
            </c:strRef>
          </c:cat>
          <c:val>
            <c:numRef>
              <c:f>TOTAL.GERAL!$C$30</c:f>
              <c:numCache/>
            </c:numRef>
          </c:val>
        </c:ser>
        <c:ser>
          <c:idx val="2"/>
          <c:order val="2"/>
          <c:tx>
            <c:v>MARÇO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TOTAL.GERAL!$C$28</c:f>
            </c:strRef>
          </c:cat>
          <c:val>
            <c:numRef>
              <c:f>TOTAL.GERAL!$C$31</c:f>
              <c:numCache/>
            </c:numRef>
          </c:val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TOTAL.GERAL!$C$28</c:f>
            </c:strRef>
          </c:cat>
          <c:val>
            <c:numRef>
              <c:f>TOTAL.GERAL!$C$32</c:f>
              <c:numCache/>
            </c:numRef>
          </c:val>
        </c:ser>
        <c:ser>
          <c:idx val="4"/>
          <c:order val="4"/>
          <c:tx>
            <c:v>MAIO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TOTAL.GERAL!$C$28</c:f>
            </c:strRef>
          </c:cat>
          <c:val>
            <c:numRef>
              <c:f>TOTAL.GERAL!$C$33</c:f>
              <c:numCache/>
            </c:numRef>
          </c:val>
        </c:ser>
        <c:ser>
          <c:idx val="5"/>
          <c:order val="5"/>
          <c:tx>
            <c:v>JUNHO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TOTAL.GERAL!$C$28</c:f>
            </c:strRef>
          </c:cat>
          <c:val>
            <c:numRef>
              <c:f>TOTAL.GERAL!$C$34</c:f>
              <c:numCache/>
            </c:numRef>
          </c:val>
        </c:ser>
        <c:ser>
          <c:idx val="6"/>
          <c:order val="6"/>
          <c:tx>
            <c:strRef>
              <c:f>TOTAL.GERAL!$B$35</c:f>
            </c:strRef>
          </c:tx>
          <c:cat>
            <c:strRef>
              <c:f>TOTAL.GERAL!$C$28</c:f>
            </c:strRef>
          </c:cat>
          <c:val>
            <c:numRef>
              <c:f>TOTAL.GERAL!$C$35</c:f>
              <c:numCache/>
            </c:numRef>
          </c:val>
        </c:ser>
        <c:ser>
          <c:idx val="7"/>
          <c:order val="7"/>
          <c:tx>
            <c:strRef>
              <c:f>TOTAL.GERAL!$B$36</c:f>
            </c:strRef>
          </c:tx>
          <c:cat>
            <c:strRef>
              <c:f>TOTAL.GERAL!$C$28</c:f>
            </c:strRef>
          </c:cat>
          <c:val>
            <c:numRef>
              <c:f>TOTAL.GERAL!$C$36</c:f>
              <c:numCache/>
            </c:numRef>
          </c:val>
        </c:ser>
        <c:ser>
          <c:idx val="8"/>
          <c:order val="8"/>
          <c:tx>
            <c:strRef>
              <c:f>TOTAL.GERAL!$B$37</c:f>
            </c:strRef>
          </c:tx>
          <c:cat>
            <c:strRef>
              <c:f>TOTAL.GERAL!$C$28</c:f>
            </c:strRef>
          </c:cat>
          <c:val>
            <c:numRef>
              <c:f>TOTAL.GERAL!$C$37</c:f>
              <c:numCache/>
            </c:numRef>
          </c:val>
        </c:ser>
        <c:ser>
          <c:idx val="9"/>
          <c:order val="9"/>
          <c:tx>
            <c:strRef>
              <c:f>TOTAL.GERAL!$B$38</c:f>
            </c:strRef>
          </c:tx>
          <c:cat>
            <c:strRef>
              <c:f>TOTAL.GERAL!$C$28</c:f>
            </c:strRef>
          </c:cat>
          <c:val>
            <c:numRef>
              <c:f>TOTAL.GERAL!$C$38</c:f>
              <c:numCache/>
            </c:numRef>
          </c:val>
        </c:ser>
        <c:ser>
          <c:idx val="10"/>
          <c:order val="10"/>
          <c:tx>
            <c:strRef>
              <c:f>TOTAL.GERAL!$B$39</c:f>
            </c:strRef>
          </c:tx>
          <c:cat>
            <c:strRef>
              <c:f>TOTAL.GERAL!$C$28</c:f>
            </c:strRef>
          </c:cat>
          <c:val>
            <c:numRef>
              <c:f>TOTAL.GERAL!$C$39</c:f>
              <c:numCache/>
            </c:numRef>
          </c:val>
        </c:ser>
        <c:ser>
          <c:idx val="11"/>
          <c:order val="11"/>
          <c:tx>
            <c:strRef>
              <c:f>TOTAL.GERAL!$B$40</c:f>
            </c:strRef>
          </c:tx>
          <c:cat>
            <c:strRef>
              <c:f>TOTAL.GERAL!$C$28</c:f>
            </c:strRef>
          </c:cat>
          <c:val>
            <c:numRef>
              <c:f>TOTAL.GERAL!$C$40</c:f>
              <c:numCache/>
            </c:numRef>
          </c:val>
        </c:ser>
        <c:axId val="961205870"/>
        <c:axId val="1657816418"/>
      </c:barChart>
      <c:catAx>
        <c:axId val="9612058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1657816418"/>
      </c:catAx>
      <c:valAx>
        <c:axId val="165781641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61205870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lt1"/>
                </a:solidFill>
                <a:latin typeface="+mn-lt"/>
              </a:defRPr>
            </a:pPr>
            <a:r>
              <a:rPr b="1" i="0" sz="1400">
                <a:solidFill>
                  <a:schemeClr val="lt1"/>
                </a:solidFill>
                <a:latin typeface="+mn-lt"/>
              </a:rPr>
              <a:t>ESTATUAS EM RELA NO ANO DE 2021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TOTAL.GERAL!$H$15:$H$24</c:f>
            </c:strRef>
          </c:cat>
          <c:val>
            <c:numRef>
              <c:f>TOTAL.GERAL!$J$15:$J$24</c:f>
              <c:numCache/>
            </c:numRef>
          </c:val>
        </c:ser>
        <c:ser>
          <c:idx val="1"/>
          <c:order val="1"/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TOTAL.GERAL!$H$15:$H$24</c:f>
            </c:strRef>
          </c:cat>
          <c:val>
            <c:numRef>
              <c:f>TOTAL.GERAL!$K$15:$K$24</c:f>
              <c:numCache/>
            </c:numRef>
          </c:val>
        </c:ser>
        <c:ser>
          <c:idx val="2"/>
          <c:order val="2"/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TOTAL.GERAL!$H$15:$H$24</c:f>
            </c:strRef>
          </c:cat>
          <c:val>
            <c:numRef>
              <c:f>TOTAL.GERAL!$L$15:$L$24</c:f>
              <c:numCache/>
            </c:numRef>
          </c:val>
        </c:ser>
        <c:axId val="1395700217"/>
        <c:axId val="1892134171"/>
      </c:barChart>
      <c:catAx>
        <c:axId val="13957002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892134171"/>
      </c:catAx>
      <c:valAx>
        <c:axId val="18921341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395700217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ESTATUAS QTD. PEÇAS NO ANO DE 2021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MARÇO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TOTAL.GERAL!$I$15</c:f>
              <c:numCache/>
            </c:numRef>
          </c:val>
        </c:ser>
        <c:ser>
          <c:idx val="1"/>
          <c:order val="1"/>
          <c:tx>
            <c:v>ABRIL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TOTAL.GERAL!$I$16</c:f>
              <c:numCache/>
            </c:numRef>
          </c:val>
        </c:ser>
        <c:ser>
          <c:idx val="2"/>
          <c:order val="2"/>
          <c:tx>
            <c:v>MAIO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TOTAL.GERAL!$I$17</c:f>
              <c:numCache/>
            </c:numRef>
          </c:val>
        </c:ser>
        <c:ser>
          <c:idx val="3"/>
          <c:order val="3"/>
          <c:tx>
            <c:v>JUNHO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TOTAL.GERAL!$I$18</c:f>
              <c:numCache/>
            </c:numRef>
          </c:val>
        </c:ser>
        <c:ser>
          <c:idx val="4"/>
          <c:order val="4"/>
          <c:tx>
            <c:v>JULHO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TOTAL.GERAL!$I$19</c:f>
              <c:numCache/>
            </c:numRef>
          </c:val>
        </c:ser>
        <c:ser>
          <c:idx val="5"/>
          <c:order val="5"/>
          <c:tx>
            <c:v>AGOSTO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TOTAL.GERAL!$I$20</c:f>
              <c:numCache/>
            </c:numRef>
          </c:val>
        </c:ser>
        <c:ser>
          <c:idx val="6"/>
          <c:order val="6"/>
          <c:tx>
            <c:v>SETEMBRO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TOTAL.GERAL!$I$21</c:f>
              <c:numCache/>
            </c:numRef>
          </c:val>
        </c:ser>
        <c:ser>
          <c:idx val="7"/>
          <c:order val="7"/>
          <c:tx>
            <c:v>OUTUBRO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TOTAL.GERAL!$I$22</c:f>
              <c:numCache/>
            </c:numRef>
          </c:val>
        </c:ser>
        <c:ser>
          <c:idx val="8"/>
          <c:order val="8"/>
          <c:tx>
            <c:v>NOVEMBRO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TOTAL.GERAL!$I$23</c:f>
              <c:numCache/>
            </c:numRef>
          </c:val>
        </c:ser>
        <c:ser>
          <c:idx val="9"/>
          <c:order val="9"/>
          <c:tx>
            <c:v>DEZEMBRO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TOTAL.GERAL!$I$24</c:f>
              <c:numCache/>
            </c:numRef>
          </c:val>
        </c:ser>
        <c:axId val="1614788142"/>
        <c:axId val="1244030144"/>
      </c:barChart>
      <c:catAx>
        <c:axId val="16147881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1244030144"/>
      </c:catAx>
      <c:valAx>
        <c:axId val="12440301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614788142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MANGÁ QTD. PEÇAS NO ANO DE 2022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JANEIRO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TOTAL.GERAL!$O$29</c:f>
              <c:numCache/>
            </c:numRef>
          </c:val>
        </c:ser>
        <c:ser>
          <c:idx val="1"/>
          <c:order val="1"/>
          <c:tx>
            <c:v>FEVEREIRO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TOTAL.GERAL!$O$30</c:f>
              <c:numCache/>
            </c:numRef>
          </c:val>
        </c:ser>
        <c:ser>
          <c:idx val="2"/>
          <c:order val="2"/>
          <c:tx>
            <c:v>MARÇO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TOTAL.GERAL!$O$31</c:f>
              <c:numCache/>
            </c:numRef>
          </c:val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TOTAL.GERAL!$O$32</c:f>
              <c:numCache/>
            </c:numRef>
          </c:val>
        </c:ser>
        <c:ser>
          <c:idx val="4"/>
          <c:order val="4"/>
          <c:tx>
            <c:v>MAIO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TOTAL.GERAL!$O$33</c:f>
              <c:numCache/>
            </c:numRef>
          </c:val>
        </c:ser>
        <c:ser>
          <c:idx val="5"/>
          <c:order val="5"/>
          <c:tx>
            <c:v>JUNHO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TOTAL.GERAL!$O$34</c:f>
              <c:numCache/>
            </c:numRef>
          </c:val>
        </c:ser>
        <c:ser>
          <c:idx val="6"/>
          <c:order val="6"/>
          <c:tx>
            <c:strRef>
              <c:f>TOTAL.GERAL!$N$35</c:f>
            </c:strRef>
          </c:tx>
          <c:val>
            <c:numRef>
              <c:f>TOTAL.GERAL!$O$35</c:f>
              <c:numCache/>
            </c:numRef>
          </c:val>
        </c:ser>
        <c:ser>
          <c:idx val="7"/>
          <c:order val="7"/>
          <c:tx>
            <c:strRef>
              <c:f>TOTAL.GERAL!$N$36</c:f>
            </c:strRef>
          </c:tx>
          <c:val>
            <c:numRef>
              <c:f>TOTAL.GERAL!$O$36</c:f>
              <c:numCache/>
            </c:numRef>
          </c:val>
        </c:ser>
        <c:ser>
          <c:idx val="8"/>
          <c:order val="8"/>
          <c:tx>
            <c:strRef>
              <c:f>TOTAL.GERAL!$N$37</c:f>
            </c:strRef>
          </c:tx>
          <c:val>
            <c:numRef>
              <c:f>TOTAL.GERAL!$O$37</c:f>
              <c:numCache/>
            </c:numRef>
          </c:val>
        </c:ser>
        <c:ser>
          <c:idx val="9"/>
          <c:order val="9"/>
          <c:tx>
            <c:strRef>
              <c:f>TOTAL.GERAL!$N$38</c:f>
            </c:strRef>
          </c:tx>
          <c:val>
            <c:numRef>
              <c:f>TOTAL.GERAL!$O$38</c:f>
              <c:numCache/>
            </c:numRef>
          </c:val>
        </c:ser>
        <c:ser>
          <c:idx val="10"/>
          <c:order val="10"/>
          <c:tx>
            <c:strRef>
              <c:f>TOTAL.GERAL!$N$39</c:f>
            </c:strRef>
          </c:tx>
          <c:val>
            <c:numRef>
              <c:f>TOTAL.GERAL!$O$39</c:f>
              <c:numCache/>
            </c:numRef>
          </c:val>
        </c:ser>
        <c:ser>
          <c:idx val="11"/>
          <c:order val="11"/>
          <c:tx>
            <c:strRef>
              <c:f>TOTAL.GERAL!$N$40</c:f>
            </c:strRef>
          </c:tx>
          <c:val>
            <c:numRef>
              <c:f>TOTAL.GERAL!$O$40</c:f>
              <c:numCache/>
            </c:numRef>
          </c:val>
        </c:ser>
        <c:axId val="175006482"/>
        <c:axId val="1942060471"/>
      </c:barChart>
      <c:catAx>
        <c:axId val="1750064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1942060471"/>
      </c:catAx>
      <c:valAx>
        <c:axId val="19420604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5006482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lt1"/>
                </a:solidFill>
                <a:latin typeface="+mn-lt"/>
              </a:defRPr>
            </a:pPr>
            <a:r>
              <a:rPr b="1" i="0" sz="1400">
                <a:solidFill>
                  <a:schemeClr val="lt1"/>
                </a:solidFill>
                <a:latin typeface="+mn-lt"/>
              </a:rPr>
              <a:t>MANGÁ EM RELA NO ANO DE 2022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TOTAL.GERAL!$N$29:$N$40</c:f>
            </c:strRef>
          </c:cat>
          <c:val>
            <c:numRef>
              <c:f>TOTAL.GERAL!$P$29:$P$40</c:f>
              <c:numCache/>
            </c:numRef>
          </c:val>
        </c:ser>
        <c:ser>
          <c:idx val="1"/>
          <c:order val="1"/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TOTAL.GERAL!$N$29:$N$40</c:f>
            </c:strRef>
          </c:cat>
          <c:val>
            <c:numRef>
              <c:f>TOTAL.GERAL!$Q$29:$Q$40</c:f>
              <c:numCache/>
            </c:numRef>
          </c:val>
        </c:ser>
        <c:ser>
          <c:idx val="2"/>
          <c:order val="2"/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TOTAL.GERAL!$N$29:$N$40</c:f>
            </c:strRef>
          </c:cat>
          <c:val>
            <c:numRef>
              <c:f>TOTAL.GERAL!$R$29:$R$40</c:f>
              <c:numCache/>
            </c:numRef>
          </c:val>
        </c:ser>
        <c:axId val="1366445994"/>
        <c:axId val="1055845888"/>
      </c:barChart>
      <c:catAx>
        <c:axId val="13664459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055845888"/>
      </c:catAx>
      <c:valAx>
        <c:axId val="105584588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366445994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charts/chart2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ESTATUAS QTD. PEÇAS NO ANO DE 2022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JANEIRO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TOTAL.GERAL!$I$29</c:f>
              <c:numCache/>
            </c:numRef>
          </c:val>
        </c:ser>
        <c:ser>
          <c:idx val="1"/>
          <c:order val="1"/>
          <c:tx>
            <c:v>FEVEREIRO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TOTAL.GERAL!$I$30</c:f>
              <c:numCache/>
            </c:numRef>
          </c:val>
        </c:ser>
        <c:ser>
          <c:idx val="2"/>
          <c:order val="2"/>
          <c:tx>
            <c:v>MARÇO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TOTAL.GERAL!$I$31</c:f>
              <c:numCache/>
            </c:numRef>
          </c:val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TOTAL.GERAL!$I$32</c:f>
              <c:numCache/>
            </c:numRef>
          </c:val>
        </c:ser>
        <c:ser>
          <c:idx val="4"/>
          <c:order val="4"/>
          <c:tx>
            <c:v>MAIO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TOTAL.GERAL!$I$33</c:f>
              <c:numCache/>
            </c:numRef>
          </c:val>
        </c:ser>
        <c:ser>
          <c:idx val="5"/>
          <c:order val="5"/>
          <c:tx>
            <c:v>JUNHO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TOTAL.GERAL!$I$34</c:f>
              <c:numCache/>
            </c:numRef>
          </c:val>
        </c:ser>
        <c:ser>
          <c:idx val="6"/>
          <c:order val="6"/>
          <c:tx>
            <c:strRef>
              <c:f>TOTAL.GERAL!$H$35</c:f>
            </c:strRef>
          </c:tx>
          <c:val>
            <c:numRef>
              <c:f>TOTAL.GERAL!$I$35</c:f>
              <c:numCache/>
            </c:numRef>
          </c:val>
        </c:ser>
        <c:ser>
          <c:idx val="7"/>
          <c:order val="7"/>
          <c:tx>
            <c:strRef>
              <c:f>TOTAL.GERAL!$H$36</c:f>
            </c:strRef>
          </c:tx>
          <c:val>
            <c:numRef>
              <c:f>TOTAL.GERAL!$I$36</c:f>
              <c:numCache/>
            </c:numRef>
          </c:val>
        </c:ser>
        <c:ser>
          <c:idx val="8"/>
          <c:order val="8"/>
          <c:tx>
            <c:strRef>
              <c:f>TOTAL.GERAL!$H$37</c:f>
            </c:strRef>
          </c:tx>
          <c:val>
            <c:numRef>
              <c:f>TOTAL.GERAL!$I$37</c:f>
              <c:numCache/>
            </c:numRef>
          </c:val>
        </c:ser>
        <c:ser>
          <c:idx val="9"/>
          <c:order val="9"/>
          <c:tx>
            <c:strRef>
              <c:f>TOTAL.GERAL!$H$38</c:f>
            </c:strRef>
          </c:tx>
          <c:val>
            <c:numRef>
              <c:f>TOTAL.GERAL!$I$38</c:f>
              <c:numCache/>
            </c:numRef>
          </c:val>
        </c:ser>
        <c:ser>
          <c:idx val="10"/>
          <c:order val="10"/>
          <c:tx>
            <c:strRef>
              <c:f>TOTAL.GERAL!$H$39</c:f>
            </c:strRef>
          </c:tx>
          <c:val>
            <c:numRef>
              <c:f>TOTAL.GERAL!$I$39</c:f>
              <c:numCache/>
            </c:numRef>
          </c:val>
        </c:ser>
        <c:ser>
          <c:idx val="11"/>
          <c:order val="11"/>
          <c:tx>
            <c:strRef>
              <c:f>TOTAL.GERAL!$H$40</c:f>
            </c:strRef>
          </c:tx>
          <c:val>
            <c:numRef>
              <c:f>TOTAL.GERAL!$I$40</c:f>
              <c:numCache/>
            </c:numRef>
          </c:val>
        </c:ser>
        <c:axId val="413780566"/>
        <c:axId val="1170352451"/>
      </c:barChart>
      <c:catAx>
        <c:axId val="4137805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1170352451"/>
      </c:catAx>
      <c:valAx>
        <c:axId val="11703524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13780566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2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lt1"/>
                </a:solidFill>
                <a:latin typeface="+mn-lt"/>
              </a:defRPr>
            </a:pPr>
            <a:r>
              <a:rPr b="1" i="0" sz="1400">
                <a:solidFill>
                  <a:schemeClr val="lt1"/>
                </a:solidFill>
                <a:latin typeface="+mn-lt"/>
              </a:rPr>
              <a:t>ESTATUAS EM RELA NO ANO DE 2022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VALOR COMPRA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TOTAL.GERAL!$H$29:$H$40</c:f>
            </c:strRef>
          </c:cat>
          <c:val>
            <c:numRef>
              <c:f>TOTAL.GERAL!$J$29:$J$40</c:f>
              <c:numCache/>
            </c:numRef>
          </c:val>
        </c:ser>
        <c:ser>
          <c:idx val="1"/>
          <c:order val="1"/>
          <c:tx>
            <c:v>VALOR VENDA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TOTAL.GERAL!$H$29:$H$40</c:f>
            </c:strRef>
          </c:cat>
          <c:val>
            <c:numRef>
              <c:f>TOTAL.GERAL!$K$29:$K$40</c:f>
              <c:numCache/>
            </c:numRef>
          </c:val>
        </c:ser>
        <c:ser>
          <c:idx val="2"/>
          <c:order val="2"/>
          <c:tx>
            <c:v>MEDIA P/N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TOTAL.GERAL!$H$29:$H$40</c:f>
            </c:strRef>
          </c:cat>
          <c:val>
            <c:numRef>
              <c:f>TOTAL.GERAL!$L$29:$L$40</c:f>
              <c:numCache/>
            </c:numRef>
          </c:val>
        </c:ser>
        <c:axId val="787458355"/>
        <c:axId val="1176409721"/>
      </c:barChart>
      <c:catAx>
        <c:axId val="7874583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176409721"/>
      </c:catAx>
      <c:valAx>
        <c:axId val="11764097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787458355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1" Type="http://schemas.openxmlformats.org/officeDocument/2006/relationships/chart" Target="../charts/chart11.xml"/><Relationship Id="rId10" Type="http://schemas.openxmlformats.org/officeDocument/2006/relationships/chart" Target="../charts/chart10.xml"/><Relationship Id="rId12" Type="http://schemas.openxmlformats.org/officeDocument/2006/relationships/chart" Target="../charts/chart12.xml"/><Relationship Id="rId9" Type="http://schemas.openxmlformats.org/officeDocument/2006/relationships/chart" Target="../charts/chart9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Relationship Id="rId4" Type="http://schemas.openxmlformats.org/officeDocument/2006/relationships/chart" Target="../charts/chart16.xml"/><Relationship Id="rId10" Type="http://schemas.openxmlformats.org/officeDocument/2006/relationships/chart" Target="../charts/chart22.xml"/><Relationship Id="rId9" Type="http://schemas.openxmlformats.org/officeDocument/2006/relationships/chart" Target="../charts/chart21.xml"/><Relationship Id="rId5" Type="http://schemas.openxmlformats.org/officeDocument/2006/relationships/chart" Target="../charts/chart17.xml"/><Relationship Id="rId6" Type="http://schemas.openxmlformats.org/officeDocument/2006/relationships/chart" Target="../charts/chart18.xml"/><Relationship Id="rId7" Type="http://schemas.openxmlformats.org/officeDocument/2006/relationships/chart" Target="../charts/chart19.xml"/><Relationship Id="rId8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38100</xdr:colOff>
      <xdr:row>1</xdr:row>
      <xdr:rowOff>28575</xdr:rowOff>
    </xdr:from>
    <xdr:ext cx="4610100" cy="2933700"/>
    <xdr:graphicFrame>
      <xdr:nvGraphicFramePr>
        <xdr:cNvPr id="208423919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10</xdr:col>
      <xdr:colOff>28575</xdr:colOff>
      <xdr:row>1</xdr:row>
      <xdr:rowOff>19050</xdr:rowOff>
    </xdr:from>
    <xdr:ext cx="4591050" cy="2924175"/>
    <xdr:graphicFrame>
      <xdr:nvGraphicFramePr>
        <xdr:cNvPr id="57478291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19</xdr:col>
      <xdr:colOff>19050</xdr:colOff>
      <xdr:row>1</xdr:row>
      <xdr:rowOff>9525</xdr:rowOff>
    </xdr:from>
    <xdr:ext cx="4591050" cy="2943225"/>
    <xdr:graphicFrame>
      <xdr:nvGraphicFramePr>
        <xdr:cNvPr id="1465312118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28</xdr:col>
      <xdr:colOff>38100</xdr:colOff>
      <xdr:row>17</xdr:row>
      <xdr:rowOff>28575</xdr:rowOff>
    </xdr:from>
    <xdr:ext cx="4600575" cy="2924175"/>
    <xdr:graphicFrame>
      <xdr:nvGraphicFramePr>
        <xdr:cNvPr id="1438239106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1</xdr:col>
      <xdr:colOff>57150</xdr:colOff>
      <xdr:row>17</xdr:row>
      <xdr:rowOff>19050</xdr:rowOff>
    </xdr:from>
    <xdr:ext cx="4591050" cy="2943225"/>
    <xdr:graphicFrame>
      <xdr:nvGraphicFramePr>
        <xdr:cNvPr id="1214077659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10</xdr:col>
      <xdr:colOff>47625</xdr:colOff>
      <xdr:row>17</xdr:row>
      <xdr:rowOff>28575</xdr:rowOff>
    </xdr:from>
    <xdr:ext cx="4610100" cy="2905125"/>
    <xdr:graphicFrame>
      <xdr:nvGraphicFramePr>
        <xdr:cNvPr id="320729244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19</xdr:col>
      <xdr:colOff>28575</xdr:colOff>
      <xdr:row>17</xdr:row>
      <xdr:rowOff>19050</xdr:rowOff>
    </xdr:from>
    <xdr:ext cx="4619625" cy="2924175"/>
    <xdr:graphicFrame>
      <xdr:nvGraphicFramePr>
        <xdr:cNvPr id="51809059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7"/>
        </a:graphicData>
      </a:graphic>
    </xdr:graphicFrame>
    <xdr:clientData fLocksWithSheet="0"/>
  </xdr:oneCellAnchor>
  <xdr:oneCellAnchor>
    <xdr:from>
      <xdr:col>28</xdr:col>
      <xdr:colOff>28575</xdr:colOff>
      <xdr:row>1</xdr:row>
      <xdr:rowOff>38100</xdr:rowOff>
    </xdr:from>
    <xdr:ext cx="4610100" cy="2924175"/>
    <xdr:graphicFrame>
      <xdr:nvGraphicFramePr>
        <xdr:cNvPr id="1451853067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8"/>
        </a:graphicData>
      </a:graphic>
    </xdr:graphicFrame>
    <xdr:clientData fLocksWithSheet="0"/>
  </xdr:oneCellAnchor>
  <xdr:oneCellAnchor>
    <xdr:from>
      <xdr:col>1</xdr:col>
      <xdr:colOff>38100</xdr:colOff>
      <xdr:row>33</xdr:row>
      <xdr:rowOff>19050</xdr:rowOff>
    </xdr:from>
    <xdr:ext cx="9439275" cy="2943225"/>
    <xdr:graphicFrame>
      <xdr:nvGraphicFramePr>
        <xdr:cNvPr id="1125780753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9"/>
        </a:graphicData>
      </a:graphic>
    </xdr:graphicFrame>
    <xdr:clientData fLocksWithSheet="0"/>
  </xdr:oneCellAnchor>
  <xdr:oneCellAnchor>
    <xdr:from>
      <xdr:col>19</xdr:col>
      <xdr:colOff>47625</xdr:colOff>
      <xdr:row>33</xdr:row>
      <xdr:rowOff>28575</xdr:rowOff>
    </xdr:from>
    <xdr:ext cx="4562475" cy="2914650"/>
    <xdr:graphicFrame>
      <xdr:nvGraphicFramePr>
        <xdr:cNvPr id="323467082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0"/>
        </a:graphicData>
      </a:graphic>
    </xdr:graphicFrame>
    <xdr:clientData fLocksWithSheet="0"/>
  </xdr:oneCellAnchor>
  <xdr:oneCellAnchor>
    <xdr:from>
      <xdr:col>19</xdr:col>
      <xdr:colOff>47625</xdr:colOff>
      <xdr:row>49</xdr:row>
      <xdr:rowOff>19050</xdr:rowOff>
    </xdr:from>
    <xdr:ext cx="4581525" cy="2933700"/>
    <xdr:graphicFrame>
      <xdr:nvGraphicFramePr>
        <xdr:cNvPr id="1849060507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1"/>
        </a:graphicData>
      </a:graphic>
    </xdr:graphicFrame>
    <xdr:clientData fLocksWithSheet="0"/>
  </xdr:oneCellAnchor>
  <xdr:oneCellAnchor>
    <xdr:from>
      <xdr:col>1</xdr:col>
      <xdr:colOff>38100</xdr:colOff>
      <xdr:row>49</xdr:row>
      <xdr:rowOff>28575</xdr:rowOff>
    </xdr:from>
    <xdr:ext cx="9420225" cy="2933700"/>
    <xdr:graphicFrame>
      <xdr:nvGraphicFramePr>
        <xdr:cNvPr id="1991974214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2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28575</xdr:colOff>
      <xdr:row>1</xdr:row>
      <xdr:rowOff>19050</xdr:rowOff>
    </xdr:from>
    <xdr:ext cx="9829800" cy="2952750"/>
    <xdr:graphicFrame>
      <xdr:nvGraphicFramePr>
        <xdr:cNvPr id="1083307523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19</xdr:col>
      <xdr:colOff>28575</xdr:colOff>
      <xdr:row>1</xdr:row>
      <xdr:rowOff>9525</xdr:rowOff>
    </xdr:from>
    <xdr:ext cx="4581525" cy="2933700"/>
    <xdr:graphicFrame>
      <xdr:nvGraphicFramePr>
        <xdr:cNvPr id="1648040339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</xdr:col>
      <xdr:colOff>28575</xdr:colOff>
      <xdr:row>17</xdr:row>
      <xdr:rowOff>9525</xdr:rowOff>
    </xdr:from>
    <xdr:ext cx="9839325" cy="2943225"/>
    <xdr:graphicFrame>
      <xdr:nvGraphicFramePr>
        <xdr:cNvPr id="1632361480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19</xdr:col>
      <xdr:colOff>38100</xdr:colOff>
      <xdr:row>17</xdr:row>
      <xdr:rowOff>9525</xdr:rowOff>
    </xdr:from>
    <xdr:ext cx="4581525" cy="2943225"/>
    <xdr:graphicFrame>
      <xdr:nvGraphicFramePr>
        <xdr:cNvPr id="1611545646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28</xdr:col>
      <xdr:colOff>38100</xdr:colOff>
      <xdr:row>1</xdr:row>
      <xdr:rowOff>9525</xdr:rowOff>
    </xdr:from>
    <xdr:ext cx="9810750" cy="2943225"/>
    <xdr:graphicFrame>
      <xdr:nvGraphicFramePr>
        <xdr:cNvPr id="1518426134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46</xdr:col>
      <xdr:colOff>28575</xdr:colOff>
      <xdr:row>1</xdr:row>
      <xdr:rowOff>19050</xdr:rowOff>
    </xdr:from>
    <xdr:ext cx="4619625" cy="2933700"/>
    <xdr:graphicFrame>
      <xdr:nvGraphicFramePr>
        <xdr:cNvPr id="1299421117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73</xdr:col>
      <xdr:colOff>28575</xdr:colOff>
      <xdr:row>17</xdr:row>
      <xdr:rowOff>19050</xdr:rowOff>
    </xdr:from>
    <xdr:ext cx="4572000" cy="2905125"/>
    <xdr:graphicFrame>
      <xdr:nvGraphicFramePr>
        <xdr:cNvPr id="707663315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7"/>
        </a:graphicData>
      </a:graphic>
    </xdr:graphicFrame>
    <xdr:clientData fLocksWithSheet="0"/>
  </xdr:oneCellAnchor>
  <xdr:oneCellAnchor>
    <xdr:from>
      <xdr:col>55</xdr:col>
      <xdr:colOff>19050</xdr:colOff>
      <xdr:row>16</xdr:row>
      <xdr:rowOff>180975</xdr:rowOff>
    </xdr:from>
    <xdr:ext cx="9820275" cy="2933700"/>
    <xdr:graphicFrame>
      <xdr:nvGraphicFramePr>
        <xdr:cNvPr id="1452450462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8"/>
        </a:graphicData>
      </a:graphic>
    </xdr:graphicFrame>
    <xdr:clientData fLocksWithSheet="0"/>
  </xdr:oneCellAnchor>
  <xdr:oneCellAnchor>
    <xdr:from>
      <xdr:col>46</xdr:col>
      <xdr:colOff>28575</xdr:colOff>
      <xdr:row>17</xdr:row>
      <xdr:rowOff>19050</xdr:rowOff>
    </xdr:from>
    <xdr:ext cx="4619625" cy="2924175"/>
    <xdr:graphicFrame>
      <xdr:nvGraphicFramePr>
        <xdr:cNvPr id="136639218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9"/>
        </a:graphicData>
      </a:graphic>
    </xdr:graphicFrame>
    <xdr:clientData fLocksWithSheet="0"/>
  </xdr:oneCellAnchor>
  <xdr:oneCellAnchor>
    <xdr:from>
      <xdr:col>28</xdr:col>
      <xdr:colOff>19050</xdr:colOff>
      <xdr:row>17</xdr:row>
      <xdr:rowOff>19050</xdr:rowOff>
    </xdr:from>
    <xdr:ext cx="9858375" cy="2933700"/>
    <xdr:graphicFrame>
      <xdr:nvGraphicFramePr>
        <xdr:cNvPr id="684253479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0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D3:AF4" displayName="Table_1" id="1">
  <tableColumns count="3">
    <tableColumn name="TOTAL POPs" id="1"/>
    <tableColumn name="TOTAL ESTATUAs" id="2"/>
    <tableColumn name="TOTAL MANGÁs" id="3"/>
  </tableColumns>
  <tableStyleInfo name="TOTAL.GERAL-style" showColumnStripes="0" showFirstColumn="1" showLastColumn="1" showRowStripes="1"/>
</table>
</file>

<file path=xl/tables/table2.xml><?xml version="1.0" encoding="utf-8"?>
<table xmlns="http://schemas.openxmlformats.org/spreadsheetml/2006/main" ref="I3:L4" displayName="Table_2" id="2">
  <tableColumns count="4">
    <tableColumn name="PEÇAS" id="1"/>
    <tableColumn name="VALOR COMPRA" id="2"/>
    <tableColumn name="VALOR VENDA" id="3"/>
    <tableColumn name="MEDIA P/N" id="4"/>
  </tableColumns>
  <tableStyleInfo name="TOTAL.GERAL-style 2" showColumnStripes="0" showFirstColumn="1" showLastColumn="1" showRowStripes="1"/>
</table>
</file>

<file path=xl/tables/table3.xml><?xml version="1.0" encoding="utf-8"?>
<table xmlns="http://schemas.openxmlformats.org/spreadsheetml/2006/main" ref="Z8:AB9" displayName="Table_3" id="3">
  <tableColumns count="3">
    <tableColumn name="TOTAL POPs" id="1"/>
    <tableColumn name="TOTAL ESTATUAs" id="2"/>
    <tableColumn name="TOTAL MANGÁs" id="3"/>
  </tableColumns>
  <tableStyleInfo name="TOTAL.GERAL-style 3" showColumnStripes="0" showFirstColumn="1" showLastColumn="1" showRowStripes="1"/>
</table>
</file>

<file path=xl/tables/table4.xml><?xml version="1.0" encoding="utf-8"?>
<table xmlns="http://schemas.openxmlformats.org/spreadsheetml/2006/main" ref="AD8:AF9" displayName="Table_4" id="4">
  <tableColumns count="3">
    <tableColumn name="TOTAL POPs" id="1"/>
    <tableColumn name="TOTAL ESTATUAs" id="2"/>
    <tableColumn name="TOTAL MANGÁs" id="3"/>
  </tableColumns>
  <tableStyleInfo name="TOTAL.GERAL-style 4" showColumnStripes="0" showFirstColumn="1" showLastColumn="1" showRowStripes="1"/>
</table>
</file>

<file path=xl/tables/table5.xml><?xml version="1.0" encoding="utf-8"?>
<table xmlns="http://schemas.openxmlformats.org/spreadsheetml/2006/main" ref="Z3:AB4" displayName="Table_5" id="5">
  <tableColumns count="3">
    <tableColumn name="TOTAL POPs" id="1"/>
    <tableColumn name="TOTAL ESTATUAs" id="2"/>
    <tableColumn name="TOTAL MANGÁs" id="3"/>
  </tableColumns>
  <tableStyleInfo name="TOTAL.GERAL-style 5" showColumnStripes="0" showFirstColumn="1" showLastColumn="1" showRowStripes="1"/>
</table>
</file>

<file path=xl/tables/table6.xml><?xml version="1.0" encoding="utf-8"?>
<table xmlns="http://schemas.openxmlformats.org/spreadsheetml/2006/main" ref="C3:F4" displayName="Table_6" id="6">
  <tableColumns count="4">
    <tableColumn name="PEÇAS" id="1"/>
    <tableColumn name="VALOR COMPRA" id="2"/>
    <tableColumn name="VALOR VENDA" id="3"/>
    <tableColumn name="MEDIA P/N" id="4"/>
  </tableColumns>
  <tableStyleInfo name="TOTAL.GERAL-style 6" showColumnStripes="0" showFirstColumn="1" showLastColumn="1" showRowStripes="1"/>
</table>
</file>

<file path=xl/tables/table7.xml><?xml version="1.0" encoding="utf-8"?>
<table xmlns="http://schemas.openxmlformats.org/spreadsheetml/2006/main" ref="U3:X4" displayName="Table_7" id="7">
  <tableColumns count="4">
    <tableColumn name="PEÇAS" id="1"/>
    <tableColumn name="VALOR COMPRA" id="2"/>
    <tableColumn name="VALOR VENDA" id="3"/>
    <tableColumn name="MEDIA P/N" id="4"/>
  </tableColumns>
  <tableStyleInfo name="TOTAL.GERAL-style 7" showColumnStripes="0" showFirstColumn="1" showLastColumn="1" showRowStripes="1"/>
</table>
</file>

<file path=xl/tables/table8.xml><?xml version="1.0" encoding="utf-8"?>
<table xmlns="http://schemas.openxmlformats.org/spreadsheetml/2006/main" ref="O3:R4" displayName="Table_8" id="8">
  <tableColumns count="4">
    <tableColumn name="PEÇAS" id="1"/>
    <tableColumn name="VALOR COMPRA" id="2"/>
    <tableColumn name="VALOR VENDA" id="3"/>
    <tableColumn name="MEDIA P/N" id="4"/>
  </tableColumns>
  <tableStyleInfo name="TOTAL.GERAL-style 8" showColumnStripes="0" showFirstColumn="1" showLastColumn="1" showRowStripes="1"/>
</table>
</file>

<file path=xl/tables/table9.xml><?xml version="1.0" encoding="utf-8"?>
<table xmlns="http://schemas.openxmlformats.org/spreadsheetml/2006/main" ref="B3:J45" displayName="Table_9" id="9">
  <tableColumns count="9">
    <tableColumn name="N° FUNKO" id="1"/>
    <tableColumn name="PERSONAGUEM" id="2"/>
    <tableColumn name="COLEÇÃO" id="3"/>
    <tableColumn name="EXCLUSIVO" id="4"/>
    <tableColumn name="FRANQUIA" id="5"/>
    <tableColumn name="MÊS" id="6"/>
    <tableColumn name="VALOR COMPRA" id="7"/>
    <tableColumn name="VALOR VENDA" id="8"/>
    <tableColumn name="MEDIA P/N" id="9"/>
  </tableColumns>
  <tableStyleInfo name="DADOS.GERAL-style" showColumnStripes="0" showFirstColumn="1" showLastColumn="1" showRowStripes="1"/>
</table>
</file>

<file path=xl/tables/table10.xml><?xml version="1.0" encoding="utf-8"?>
<table xmlns="http://schemas.openxmlformats.org/spreadsheetml/2006/main" ref="L3:R41" displayName="Table_10" id="10">
  <tableColumns count="7">
    <tableColumn name="PERSONAGUEM" id="1"/>
    <tableColumn name="COLEÇÃO" id="2"/>
    <tableColumn name="FABRICANTE" id="3"/>
    <tableColumn name="MÊS" id="4"/>
    <tableColumn name="VALOR COMPRA" id="5"/>
    <tableColumn name="VALOR VENDA" id="6"/>
    <tableColumn name="MEDIA P/N" id="7"/>
  </tableColumns>
  <tableStyleInfo name="DADOS.GERAL-style 2" showColumnStripes="0" showFirstColumn="1" showLastColumn="1" showRowStripes="1"/>
</table>
</file>

<file path=xl/tables/table11.xml><?xml version="1.0" encoding="utf-8"?>
<table xmlns="http://schemas.openxmlformats.org/spreadsheetml/2006/main" ref="T3:Y39" displayName="Table_11" id="11">
  <tableColumns count="6">
    <tableColumn name="COLEÇÃO" id="1"/>
    <tableColumn name="VOLUME" id="2"/>
    <tableColumn name="MES" id="3"/>
    <tableColumn name="VALOR COMPRA" id="4"/>
    <tableColumn name="VALOR VENDA" id="5"/>
    <tableColumn name="MEDIA P/N" id="6"/>
  </tableColumns>
  <tableStyleInfo name="DADOS.GERAL-style 3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11" Type="http://schemas.openxmlformats.org/officeDocument/2006/relationships/table" Target="../tables/table2.xml"/><Relationship Id="rId10" Type="http://schemas.openxmlformats.org/officeDocument/2006/relationships/table" Target="../tables/table1.xml"/><Relationship Id="rId13" Type="http://schemas.openxmlformats.org/officeDocument/2006/relationships/table" Target="../tables/table4.xml"/><Relationship Id="rId12" Type="http://schemas.openxmlformats.org/officeDocument/2006/relationships/table" Target="../tables/table3.xml"/><Relationship Id="rId15" Type="http://schemas.openxmlformats.org/officeDocument/2006/relationships/table" Target="../tables/table6.xml"/><Relationship Id="rId14" Type="http://schemas.openxmlformats.org/officeDocument/2006/relationships/table" Target="../tables/table5.xml"/><Relationship Id="rId17" Type="http://schemas.openxmlformats.org/officeDocument/2006/relationships/table" Target="../tables/table8.xml"/><Relationship Id="rId16" Type="http://schemas.openxmlformats.org/officeDocument/2006/relationships/table" Target="../tables/table7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5" Type="http://schemas.openxmlformats.org/officeDocument/2006/relationships/table" Target="../tables/table9.xml"/><Relationship Id="rId6" Type="http://schemas.openxmlformats.org/officeDocument/2006/relationships/table" Target="../tables/table10.xml"/><Relationship Id="rId7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.71"/>
    <col customWidth="1" min="2" max="26" width="8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71"/>
    <col customWidth="1" min="2" max="9" width="8.71"/>
    <col customWidth="1" min="10" max="10" width="2.71"/>
    <col customWidth="1" min="11" max="18" width="8.71"/>
    <col customWidth="1" min="19" max="19" width="2.71"/>
    <col customWidth="1" min="20" max="36" width="8.71"/>
  </cols>
  <sheetData>
    <row r="1">
      <c r="A1" s="1"/>
      <c r="B1" s="2"/>
      <c r="C1" s="3"/>
      <c r="D1" s="3"/>
      <c r="E1" s="3"/>
      <c r="F1" s="3"/>
      <c r="G1" s="3"/>
      <c r="H1" s="3"/>
      <c r="I1" s="4"/>
      <c r="J1" s="1"/>
      <c r="K1" s="2"/>
      <c r="L1" s="3"/>
      <c r="M1" s="3"/>
      <c r="N1" s="3"/>
      <c r="O1" s="3"/>
      <c r="P1" s="3"/>
      <c r="Q1" s="3"/>
      <c r="R1" s="4"/>
      <c r="S1" s="1"/>
      <c r="T1" s="2"/>
      <c r="U1" s="4"/>
    </row>
    <row r="2">
      <c r="A2" s="5"/>
      <c r="B2" s="6"/>
      <c r="C2" s="7"/>
      <c r="D2" s="7"/>
      <c r="E2" s="7"/>
      <c r="F2" s="7"/>
      <c r="G2" s="7"/>
      <c r="H2" s="7"/>
      <c r="I2" s="8"/>
      <c r="J2" s="5"/>
      <c r="K2" s="6"/>
      <c r="L2" s="7"/>
      <c r="M2" s="7"/>
      <c r="N2" s="7"/>
      <c r="O2" s="7"/>
      <c r="P2" s="7"/>
      <c r="Q2" s="7"/>
      <c r="R2" s="8"/>
      <c r="S2" s="5"/>
      <c r="T2" s="6"/>
      <c r="U2" s="8"/>
    </row>
    <row r="3">
      <c r="A3" s="9"/>
      <c r="B3" s="10"/>
      <c r="I3" s="11"/>
      <c r="J3" s="9"/>
      <c r="K3" s="10"/>
      <c r="R3" s="11"/>
      <c r="S3" s="9"/>
      <c r="T3" s="10"/>
      <c r="U3" s="11"/>
    </row>
    <row r="4">
      <c r="A4" s="9"/>
      <c r="B4" s="10"/>
      <c r="I4" s="11"/>
      <c r="J4" s="9"/>
      <c r="K4" s="10"/>
      <c r="R4" s="11"/>
      <c r="S4" s="9"/>
      <c r="T4" s="10"/>
      <c r="U4" s="11"/>
    </row>
    <row r="5">
      <c r="A5" s="9"/>
      <c r="B5" s="10"/>
      <c r="I5" s="11"/>
      <c r="J5" s="9"/>
      <c r="K5" s="10"/>
      <c r="R5" s="11"/>
      <c r="S5" s="9"/>
      <c r="T5" s="10"/>
      <c r="U5" s="11"/>
    </row>
    <row r="6">
      <c r="A6" s="9"/>
      <c r="B6" s="10"/>
      <c r="I6" s="11"/>
      <c r="J6" s="9"/>
      <c r="K6" s="10"/>
      <c r="R6" s="11"/>
      <c r="S6" s="9"/>
      <c r="T6" s="10"/>
      <c r="U6" s="11"/>
    </row>
    <row r="7">
      <c r="A7" s="9"/>
      <c r="B7" s="10"/>
      <c r="I7" s="11"/>
      <c r="J7" s="9"/>
      <c r="K7" s="10"/>
      <c r="R7" s="11"/>
      <c r="S7" s="9"/>
      <c r="T7" s="10"/>
      <c r="U7" s="11"/>
    </row>
    <row r="8">
      <c r="A8" s="9"/>
      <c r="B8" s="10"/>
      <c r="I8" s="11"/>
      <c r="J8" s="9"/>
      <c r="K8" s="10"/>
      <c r="R8" s="11"/>
      <c r="S8" s="9"/>
      <c r="T8" s="10"/>
      <c r="U8" s="11"/>
    </row>
    <row r="9">
      <c r="A9" s="9"/>
      <c r="B9" s="10"/>
      <c r="I9" s="11"/>
      <c r="J9" s="9"/>
      <c r="K9" s="10"/>
      <c r="R9" s="11"/>
      <c r="S9" s="9"/>
      <c r="T9" s="10"/>
      <c r="U9" s="11"/>
    </row>
    <row r="10">
      <c r="A10" s="9"/>
      <c r="B10" s="10"/>
      <c r="I10" s="11"/>
      <c r="J10" s="9"/>
      <c r="K10" s="10"/>
      <c r="R10" s="11"/>
      <c r="S10" s="9"/>
      <c r="T10" s="10"/>
      <c r="U10" s="11"/>
    </row>
    <row r="11">
      <c r="A11" s="9"/>
      <c r="B11" s="10"/>
      <c r="I11" s="11"/>
      <c r="J11" s="9"/>
      <c r="K11" s="10"/>
      <c r="R11" s="11"/>
      <c r="S11" s="9"/>
      <c r="T11" s="10"/>
      <c r="U11" s="11"/>
    </row>
    <row r="12">
      <c r="A12" s="9"/>
      <c r="B12" s="10"/>
      <c r="I12" s="11"/>
      <c r="J12" s="9"/>
      <c r="K12" s="10"/>
      <c r="R12" s="11"/>
      <c r="S12" s="9"/>
      <c r="T12" s="10"/>
      <c r="U12" s="11"/>
    </row>
    <row r="13">
      <c r="A13" s="9"/>
      <c r="B13" s="10"/>
      <c r="I13" s="11"/>
      <c r="J13" s="9"/>
      <c r="K13" s="10"/>
      <c r="R13" s="11"/>
      <c r="S13" s="9"/>
      <c r="T13" s="10"/>
      <c r="U13" s="11"/>
    </row>
    <row r="14">
      <c r="A14" s="9"/>
      <c r="B14" s="10"/>
      <c r="I14" s="11"/>
      <c r="J14" s="9"/>
      <c r="K14" s="10"/>
      <c r="R14" s="11"/>
      <c r="S14" s="9"/>
      <c r="T14" s="10"/>
      <c r="U14" s="11"/>
    </row>
    <row r="15">
      <c r="A15" s="9"/>
      <c r="B15" s="10"/>
      <c r="I15" s="11"/>
      <c r="J15" s="9"/>
      <c r="K15" s="10"/>
      <c r="R15" s="11"/>
      <c r="S15" s="9"/>
      <c r="T15" s="10"/>
      <c r="U15" s="11"/>
    </row>
    <row r="16">
      <c r="A16" s="12"/>
      <c r="B16" s="13"/>
      <c r="C16" s="14"/>
      <c r="D16" s="14"/>
      <c r="E16" s="14"/>
      <c r="F16" s="14"/>
      <c r="G16" s="14"/>
      <c r="H16" s="14"/>
      <c r="I16" s="15"/>
      <c r="J16" s="12"/>
      <c r="K16" s="13"/>
      <c r="L16" s="14"/>
      <c r="M16" s="14"/>
      <c r="N16" s="14"/>
      <c r="O16" s="14"/>
      <c r="P16" s="14"/>
      <c r="Q16" s="14"/>
      <c r="R16" s="15"/>
      <c r="S16" s="12"/>
      <c r="T16" s="13"/>
      <c r="U16" s="15"/>
    </row>
    <row r="17">
      <c r="A17" s="1"/>
      <c r="B17" s="2"/>
      <c r="C17" s="3"/>
      <c r="D17" s="3"/>
      <c r="E17" s="3"/>
      <c r="F17" s="3"/>
      <c r="G17" s="3"/>
      <c r="H17" s="3"/>
      <c r="I17" s="4"/>
      <c r="J17" s="1"/>
      <c r="K17" s="2"/>
      <c r="L17" s="3"/>
      <c r="M17" s="3"/>
      <c r="N17" s="3"/>
      <c r="O17" s="3"/>
      <c r="P17" s="3"/>
      <c r="Q17" s="3"/>
      <c r="R17" s="4"/>
      <c r="S17" s="1"/>
      <c r="T17" s="2"/>
      <c r="U17" s="4"/>
    </row>
    <row r="18">
      <c r="A18" s="5"/>
      <c r="B18" s="6"/>
      <c r="C18" s="7"/>
      <c r="D18" s="7"/>
      <c r="E18" s="7"/>
      <c r="F18" s="7"/>
      <c r="G18" s="7"/>
      <c r="H18" s="7"/>
      <c r="I18" s="8"/>
      <c r="J18" s="5"/>
      <c r="K18" s="6"/>
      <c r="L18" s="7"/>
      <c r="M18" s="7"/>
      <c r="N18" s="7"/>
      <c r="O18" s="7"/>
      <c r="P18" s="7"/>
      <c r="Q18" s="7"/>
      <c r="R18" s="8"/>
      <c r="S18" s="5"/>
      <c r="T18" s="6"/>
      <c r="U18" s="8"/>
    </row>
    <row r="19">
      <c r="A19" s="9"/>
      <c r="B19" s="10"/>
      <c r="I19" s="11"/>
      <c r="J19" s="9"/>
      <c r="K19" s="10"/>
      <c r="R19" s="11"/>
      <c r="S19" s="9"/>
      <c r="T19" s="10"/>
      <c r="U19" s="11"/>
    </row>
    <row r="20">
      <c r="A20" s="9"/>
      <c r="B20" s="10"/>
      <c r="I20" s="11"/>
      <c r="J20" s="9"/>
      <c r="K20" s="10"/>
      <c r="R20" s="11"/>
      <c r="S20" s="9"/>
      <c r="T20" s="10"/>
      <c r="U20" s="11"/>
    </row>
    <row r="21" ht="15.75" customHeight="1">
      <c r="A21" s="9"/>
      <c r="B21" s="10"/>
      <c r="I21" s="11"/>
      <c r="J21" s="9"/>
      <c r="K21" s="10"/>
      <c r="R21" s="11"/>
      <c r="S21" s="9"/>
      <c r="T21" s="10"/>
      <c r="U21" s="11"/>
    </row>
    <row r="22" ht="15.75" customHeight="1">
      <c r="A22" s="9"/>
      <c r="B22" s="10"/>
      <c r="I22" s="11"/>
      <c r="J22" s="9"/>
      <c r="K22" s="10"/>
      <c r="R22" s="11"/>
      <c r="S22" s="9"/>
      <c r="T22" s="10"/>
      <c r="U22" s="11"/>
    </row>
    <row r="23" ht="15.75" customHeight="1">
      <c r="A23" s="9"/>
      <c r="B23" s="10"/>
      <c r="I23" s="11"/>
      <c r="J23" s="9"/>
      <c r="K23" s="10"/>
      <c r="R23" s="11"/>
      <c r="S23" s="9"/>
      <c r="T23" s="10"/>
      <c r="U23" s="11"/>
    </row>
    <row r="24" ht="15.75" customHeight="1">
      <c r="A24" s="9"/>
      <c r="B24" s="10"/>
      <c r="I24" s="11"/>
      <c r="J24" s="9"/>
      <c r="K24" s="10"/>
      <c r="R24" s="11"/>
      <c r="S24" s="9"/>
      <c r="T24" s="10"/>
      <c r="U24" s="11"/>
    </row>
    <row r="25" ht="15.75" customHeight="1">
      <c r="A25" s="9"/>
      <c r="B25" s="10"/>
      <c r="I25" s="11"/>
      <c r="J25" s="9"/>
      <c r="K25" s="10"/>
      <c r="R25" s="11"/>
      <c r="S25" s="9"/>
      <c r="T25" s="10"/>
      <c r="U25" s="11"/>
    </row>
    <row r="26" ht="15.75" customHeight="1">
      <c r="A26" s="9"/>
      <c r="B26" s="10"/>
      <c r="I26" s="11"/>
      <c r="J26" s="9"/>
      <c r="K26" s="10"/>
      <c r="R26" s="11"/>
      <c r="S26" s="9"/>
      <c r="T26" s="10"/>
      <c r="U26" s="11"/>
    </row>
    <row r="27" ht="15.75" customHeight="1">
      <c r="A27" s="9"/>
      <c r="B27" s="10"/>
      <c r="I27" s="11"/>
      <c r="J27" s="9"/>
      <c r="K27" s="10"/>
      <c r="R27" s="11"/>
      <c r="S27" s="9"/>
      <c r="T27" s="10"/>
      <c r="U27" s="11"/>
    </row>
    <row r="28" ht="15.75" customHeight="1">
      <c r="A28" s="9"/>
      <c r="B28" s="10"/>
      <c r="I28" s="11"/>
      <c r="J28" s="9"/>
      <c r="K28" s="10"/>
      <c r="R28" s="11"/>
      <c r="S28" s="9"/>
      <c r="T28" s="10"/>
      <c r="U28" s="11"/>
    </row>
    <row r="29" ht="15.75" customHeight="1">
      <c r="A29" s="9"/>
      <c r="B29" s="10"/>
      <c r="I29" s="11"/>
      <c r="J29" s="9"/>
      <c r="K29" s="10"/>
      <c r="R29" s="11"/>
      <c r="S29" s="9"/>
      <c r="T29" s="10"/>
      <c r="U29" s="11"/>
    </row>
    <row r="30" ht="15.75" customHeight="1">
      <c r="A30" s="9"/>
      <c r="B30" s="10"/>
      <c r="I30" s="11"/>
      <c r="J30" s="9"/>
      <c r="K30" s="10"/>
      <c r="R30" s="11"/>
      <c r="S30" s="9"/>
      <c r="T30" s="10"/>
      <c r="U30" s="11"/>
    </row>
    <row r="31" ht="15.75" customHeight="1">
      <c r="A31" s="9"/>
      <c r="B31" s="10"/>
      <c r="I31" s="11"/>
      <c r="J31" s="9"/>
      <c r="K31" s="10"/>
      <c r="R31" s="11"/>
      <c r="S31" s="9"/>
      <c r="T31" s="10"/>
      <c r="U31" s="11"/>
    </row>
    <row r="32" ht="15.75" customHeight="1">
      <c r="A32" s="12"/>
      <c r="B32" s="13"/>
      <c r="C32" s="14"/>
      <c r="D32" s="14"/>
      <c r="E32" s="14"/>
      <c r="F32" s="14"/>
      <c r="G32" s="14"/>
      <c r="H32" s="14"/>
      <c r="I32" s="15"/>
      <c r="J32" s="12"/>
      <c r="K32" s="13"/>
      <c r="L32" s="14"/>
      <c r="M32" s="14"/>
      <c r="N32" s="14"/>
      <c r="O32" s="14"/>
      <c r="P32" s="14"/>
      <c r="Q32" s="14"/>
      <c r="R32" s="15"/>
      <c r="S32" s="12"/>
      <c r="T32" s="13"/>
      <c r="U32" s="15"/>
    </row>
    <row r="33" ht="15.75" customHeight="1">
      <c r="A33" s="1"/>
      <c r="B33" s="2"/>
      <c r="C33" s="3"/>
      <c r="D33" s="3"/>
      <c r="E33" s="3"/>
      <c r="F33" s="3"/>
      <c r="G33" s="3"/>
      <c r="H33" s="3"/>
      <c r="I33" s="4"/>
      <c r="J33" s="1"/>
      <c r="K33" s="2"/>
      <c r="L33" s="3"/>
      <c r="M33" s="3"/>
      <c r="N33" s="3"/>
      <c r="O33" s="3"/>
      <c r="P33" s="3"/>
      <c r="Q33" s="3"/>
      <c r="R33" s="4"/>
      <c r="S33" s="1"/>
      <c r="T33" s="2"/>
      <c r="U33" s="4"/>
    </row>
    <row r="34" ht="15.75" customHeight="1">
      <c r="A34" s="5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8"/>
      <c r="S34" s="5"/>
      <c r="T34" s="6"/>
      <c r="U34" s="7"/>
    </row>
    <row r="35" ht="15.75" customHeight="1">
      <c r="A35" s="9"/>
      <c r="B35" s="10"/>
      <c r="R35" s="11"/>
      <c r="S35" s="9"/>
      <c r="T35" s="10"/>
    </row>
    <row r="36" ht="15.75" customHeight="1">
      <c r="A36" s="9"/>
      <c r="B36" s="10"/>
      <c r="R36" s="11"/>
      <c r="S36" s="9"/>
      <c r="T36" s="10"/>
    </row>
    <row r="37" ht="15.75" customHeight="1">
      <c r="A37" s="9"/>
      <c r="B37" s="10"/>
      <c r="R37" s="11"/>
      <c r="S37" s="9"/>
      <c r="T37" s="10"/>
    </row>
    <row r="38" ht="15.75" customHeight="1">
      <c r="A38" s="9"/>
      <c r="B38" s="10"/>
      <c r="R38" s="11"/>
      <c r="S38" s="9"/>
      <c r="T38" s="10"/>
    </row>
    <row r="39" ht="15.75" customHeight="1">
      <c r="A39" s="9"/>
      <c r="B39" s="10"/>
      <c r="R39" s="11"/>
      <c r="S39" s="9"/>
      <c r="T39" s="10"/>
    </row>
    <row r="40" ht="15.75" customHeight="1">
      <c r="A40" s="9"/>
      <c r="B40" s="10"/>
      <c r="R40" s="11"/>
      <c r="S40" s="9"/>
      <c r="T40" s="10"/>
    </row>
    <row r="41" ht="15.75" customHeight="1">
      <c r="A41" s="9"/>
      <c r="B41" s="10"/>
      <c r="R41" s="11"/>
      <c r="S41" s="9"/>
      <c r="T41" s="10"/>
    </row>
    <row r="42" ht="15.75" customHeight="1">
      <c r="A42" s="9"/>
      <c r="B42" s="10"/>
      <c r="R42" s="11"/>
      <c r="S42" s="9"/>
      <c r="T42" s="10"/>
    </row>
    <row r="43" ht="15.75" customHeight="1">
      <c r="A43" s="9"/>
      <c r="B43" s="10"/>
      <c r="R43" s="11"/>
      <c r="S43" s="9"/>
      <c r="T43" s="10"/>
    </row>
    <row r="44" ht="15.75" customHeight="1">
      <c r="A44" s="9"/>
      <c r="B44" s="10"/>
      <c r="R44" s="11"/>
      <c r="S44" s="9"/>
      <c r="T44" s="10"/>
    </row>
    <row r="45" ht="15.75" customHeight="1">
      <c r="A45" s="9"/>
      <c r="B45" s="10"/>
      <c r="R45" s="11"/>
      <c r="S45" s="9"/>
      <c r="T45" s="10"/>
    </row>
    <row r="46" ht="15.75" customHeight="1">
      <c r="A46" s="9"/>
      <c r="B46" s="10"/>
      <c r="R46" s="11"/>
      <c r="S46" s="9"/>
      <c r="T46" s="10"/>
    </row>
    <row r="47" ht="15.75" customHeight="1">
      <c r="A47" s="9"/>
      <c r="B47" s="10"/>
      <c r="R47" s="11"/>
      <c r="S47" s="9"/>
      <c r="T47" s="10"/>
    </row>
    <row r="48" ht="15.75" customHeight="1">
      <c r="A48" s="12"/>
      <c r="B48" s="1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5"/>
      <c r="S48" s="12"/>
      <c r="T48" s="13"/>
      <c r="U48" s="14"/>
    </row>
    <row r="49" ht="15.75" customHeight="1">
      <c r="A49" s="1"/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8"/>
      <c r="S49" s="1"/>
      <c r="T49" s="16"/>
      <c r="U49" s="18"/>
    </row>
    <row r="50" ht="15.75" customHeight="1">
      <c r="A50" s="19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8"/>
      <c r="S50" s="5"/>
      <c r="T50" s="6"/>
      <c r="U50" s="7"/>
    </row>
    <row r="51" ht="15.75" customHeight="1">
      <c r="A51" s="20"/>
      <c r="B51" s="10"/>
      <c r="R51" s="11"/>
      <c r="S51" s="9"/>
      <c r="T51" s="10"/>
    </row>
    <row r="52" ht="15.75" customHeight="1">
      <c r="A52" s="20"/>
      <c r="B52" s="10"/>
      <c r="R52" s="11"/>
      <c r="S52" s="9"/>
      <c r="T52" s="10"/>
    </row>
    <row r="53" ht="15.75" customHeight="1">
      <c r="A53" s="20"/>
      <c r="B53" s="10"/>
      <c r="R53" s="11"/>
      <c r="S53" s="9"/>
      <c r="T53" s="10"/>
    </row>
    <row r="54" ht="15.75" customHeight="1">
      <c r="A54" s="20"/>
      <c r="B54" s="10"/>
      <c r="R54" s="11"/>
      <c r="S54" s="9"/>
      <c r="T54" s="10"/>
    </row>
    <row r="55" ht="15.75" customHeight="1">
      <c r="A55" s="20"/>
      <c r="B55" s="10"/>
      <c r="R55" s="11"/>
      <c r="S55" s="9"/>
      <c r="T55" s="10"/>
    </row>
    <row r="56" ht="15.75" customHeight="1">
      <c r="A56" s="20"/>
      <c r="B56" s="10"/>
      <c r="R56" s="11"/>
      <c r="S56" s="9"/>
      <c r="T56" s="10"/>
    </row>
    <row r="57" ht="15.75" customHeight="1">
      <c r="A57" s="20"/>
      <c r="B57" s="10"/>
      <c r="R57" s="11"/>
      <c r="S57" s="9"/>
      <c r="T57" s="10"/>
    </row>
    <row r="58" ht="15.75" customHeight="1">
      <c r="A58" s="20"/>
      <c r="B58" s="10"/>
      <c r="R58" s="11"/>
      <c r="S58" s="9"/>
      <c r="T58" s="10"/>
    </row>
    <row r="59" ht="15.75" customHeight="1">
      <c r="A59" s="20"/>
      <c r="B59" s="10"/>
      <c r="R59" s="11"/>
      <c r="S59" s="9"/>
      <c r="T59" s="10"/>
    </row>
    <row r="60" ht="15.75" customHeight="1">
      <c r="A60" s="20"/>
      <c r="B60" s="10"/>
      <c r="R60" s="11"/>
      <c r="S60" s="9"/>
      <c r="T60" s="10"/>
    </row>
    <row r="61" ht="15.75" customHeight="1">
      <c r="A61" s="20"/>
      <c r="B61" s="10"/>
      <c r="R61" s="11"/>
      <c r="S61" s="9"/>
      <c r="T61" s="10"/>
    </row>
    <row r="62" ht="15.75" customHeight="1">
      <c r="A62" s="20"/>
      <c r="B62" s="10"/>
      <c r="R62" s="11"/>
      <c r="S62" s="9"/>
      <c r="T62" s="10"/>
    </row>
    <row r="63" ht="15.75" customHeight="1">
      <c r="A63" s="20"/>
      <c r="B63" s="10"/>
      <c r="R63" s="11"/>
      <c r="S63" s="9"/>
      <c r="T63" s="10"/>
    </row>
    <row r="64" ht="15.75" customHeight="1">
      <c r="A64" s="21"/>
      <c r="B64" s="1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5"/>
      <c r="S64" s="12"/>
      <c r="T64" s="13"/>
      <c r="U64" s="14"/>
    </row>
    <row r="65" ht="15.75" customHeight="1">
      <c r="A65" s="1"/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8"/>
      <c r="S65" s="1"/>
      <c r="T65" s="16"/>
      <c r="U65" s="18"/>
    </row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3">
    <mergeCell ref="K2:R16"/>
    <mergeCell ref="K17:R17"/>
    <mergeCell ref="K18:R32"/>
    <mergeCell ref="S18:S32"/>
    <mergeCell ref="K33:R33"/>
    <mergeCell ref="B1:I1"/>
    <mergeCell ref="K1:R1"/>
    <mergeCell ref="T1:U1"/>
    <mergeCell ref="B2:I16"/>
    <mergeCell ref="J2:J16"/>
    <mergeCell ref="B17:I17"/>
    <mergeCell ref="T17:U17"/>
    <mergeCell ref="A34:A48"/>
    <mergeCell ref="A50:A64"/>
    <mergeCell ref="S50:S64"/>
    <mergeCell ref="T50:U64"/>
    <mergeCell ref="T65:U65"/>
    <mergeCell ref="S2:S16"/>
    <mergeCell ref="T2:U16"/>
    <mergeCell ref="T18:U32"/>
    <mergeCell ref="T33:U33"/>
    <mergeCell ref="S34:S48"/>
    <mergeCell ref="T34:U48"/>
    <mergeCell ref="T49:U49"/>
    <mergeCell ref="B50:R64"/>
    <mergeCell ref="B65:R65"/>
    <mergeCell ref="A2:A16"/>
    <mergeCell ref="A18:A32"/>
    <mergeCell ref="B18:I32"/>
    <mergeCell ref="J18:J32"/>
    <mergeCell ref="B33:I33"/>
    <mergeCell ref="B34:R48"/>
    <mergeCell ref="B49:R49"/>
  </mergeCells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43"/>
    <col customWidth="1" min="2" max="18" width="8.71"/>
    <col customWidth="1" min="19" max="19" width="2.43"/>
    <col customWidth="1" min="20" max="81" width="8.71"/>
  </cols>
  <sheetData>
    <row r="1">
      <c r="A1" s="1"/>
      <c r="B1" s="22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4"/>
      <c r="S1" s="1"/>
      <c r="T1" s="2"/>
      <c r="U1" s="4"/>
    </row>
    <row r="2">
      <c r="A2" s="25"/>
      <c r="B2" s="6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8"/>
      <c r="S2" s="25"/>
      <c r="T2" s="6"/>
      <c r="U2" s="8"/>
    </row>
    <row r="3">
      <c r="A3" s="26"/>
      <c r="B3" s="10"/>
      <c r="R3" s="11"/>
      <c r="S3" s="26"/>
      <c r="T3" s="10"/>
      <c r="U3" s="11"/>
    </row>
    <row r="4">
      <c r="A4" s="26"/>
      <c r="B4" s="10"/>
      <c r="R4" s="11"/>
      <c r="S4" s="26"/>
      <c r="T4" s="10"/>
      <c r="U4" s="11"/>
    </row>
    <row r="5">
      <c r="A5" s="26"/>
      <c r="B5" s="10"/>
      <c r="R5" s="11"/>
      <c r="S5" s="26"/>
      <c r="T5" s="10"/>
      <c r="U5" s="11"/>
    </row>
    <row r="6">
      <c r="A6" s="26"/>
      <c r="B6" s="10"/>
      <c r="R6" s="11"/>
      <c r="S6" s="26"/>
      <c r="T6" s="10"/>
      <c r="U6" s="11"/>
    </row>
    <row r="7">
      <c r="A7" s="26"/>
      <c r="B7" s="10"/>
      <c r="R7" s="11"/>
      <c r="S7" s="26"/>
      <c r="T7" s="10"/>
      <c r="U7" s="11"/>
    </row>
    <row r="8">
      <c r="A8" s="26"/>
      <c r="B8" s="10"/>
      <c r="R8" s="11"/>
      <c r="S8" s="26"/>
      <c r="T8" s="10"/>
      <c r="U8" s="11"/>
    </row>
    <row r="9">
      <c r="A9" s="26"/>
      <c r="B9" s="10"/>
      <c r="R9" s="11"/>
      <c r="S9" s="26"/>
      <c r="T9" s="10"/>
      <c r="U9" s="11"/>
    </row>
    <row r="10">
      <c r="A10" s="26"/>
      <c r="B10" s="10"/>
      <c r="R10" s="11"/>
      <c r="S10" s="26"/>
      <c r="T10" s="10"/>
      <c r="U10" s="11"/>
    </row>
    <row r="11">
      <c r="A11" s="26"/>
      <c r="B11" s="10"/>
      <c r="R11" s="11"/>
      <c r="S11" s="26"/>
      <c r="T11" s="10"/>
      <c r="U11" s="11"/>
    </row>
    <row r="12">
      <c r="A12" s="26"/>
      <c r="B12" s="10"/>
      <c r="R12" s="11"/>
      <c r="S12" s="26"/>
      <c r="T12" s="10"/>
      <c r="U12" s="11"/>
    </row>
    <row r="13">
      <c r="A13" s="26"/>
      <c r="B13" s="10"/>
      <c r="R13" s="11"/>
      <c r="S13" s="26"/>
      <c r="T13" s="10"/>
      <c r="U13" s="11"/>
    </row>
    <row r="14">
      <c r="A14" s="26"/>
      <c r="B14" s="10"/>
      <c r="R14" s="11"/>
      <c r="S14" s="26"/>
      <c r="T14" s="10"/>
      <c r="U14" s="11"/>
    </row>
    <row r="15">
      <c r="A15" s="26"/>
      <c r="B15" s="10"/>
      <c r="R15" s="11"/>
      <c r="S15" s="26"/>
      <c r="T15" s="10"/>
      <c r="U15" s="11"/>
    </row>
    <row r="16">
      <c r="A16" s="27"/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5"/>
      <c r="S16" s="27"/>
      <c r="T16" s="13"/>
      <c r="U16" s="15"/>
    </row>
    <row r="17">
      <c r="A17" s="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4"/>
      <c r="S17" s="1"/>
      <c r="T17" s="2"/>
      <c r="U17" s="4"/>
    </row>
    <row r="18">
      <c r="A18" s="25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  <c r="S18" s="25"/>
      <c r="T18" s="6"/>
      <c r="U18" s="8"/>
    </row>
    <row r="19">
      <c r="A19" s="26"/>
      <c r="B19" s="10"/>
      <c r="R19" s="11"/>
      <c r="S19" s="26"/>
      <c r="T19" s="10"/>
      <c r="U19" s="11"/>
    </row>
    <row r="20">
      <c r="A20" s="26"/>
      <c r="B20" s="10"/>
      <c r="R20" s="11"/>
      <c r="S20" s="26"/>
      <c r="T20" s="10"/>
      <c r="U20" s="11"/>
    </row>
    <row r="21" ht="15.75" customHeight="1">
      <c r="A21" s="26"/>
      <c r="B21" s="10"/>
      <c r="R21" s="11"/>
      <c r="S21" s="26"/>
      <c r="T21" s="10"/>
      <c r="U21" s="11"/>
    </row>
    <row r="22" ht="15.75" customHeight="1">
      <c r="A22" s="26"/>
      <c r="B22" s="10"/>
      <c r="R22" s="11"/>
      <c r="S22" s="26"/>
      <c r="T22" s="10"/>
      <c r="U22" s="11"/>
    </row>
    <row r="23" ht="15.75" customHeight="1">
      <c r="A23" s="26"/>
      <c r="B23" s="10"/>
      <c r="R23" s="11"/>
      <c r="S23" s="26"/>
      <c r="T23" s="10"/>
      <c r="U23" s="11"/>
    </row>
    <row r="24" ht="15.75" customHeight="1">
      <c r="A24" s="26"/>
      <c r="B24" s="10"/>
      <c r="R24" s="11"/>
      <c r="S24" s="26"/>
      <c r="T24" s="10"/>
      <c r="U24" s="11"/>
    </row>
    <row r="25" ht="15.75" customHeight="1">
      <c r="A25" s="26"/>
      <c r="B25" s="10"/>
      <c r="R25" s="11"/>
      <c r="S25" s="26"/>
      <c r="T25" s="10"/>
      <c r="U25" s="11"/>
    </row>
    <row r="26" ht="15.75" customHeight="1">
      <c r="A26" s="26"/>
      <c r="B26" s="10"/>
      <c r="R26" s="11"/>
      <c r="S26" s="26"/>
      <c r="T26" s="10"/>
      <c r="U26" s="11"/>
    </row>
    <row r="27" ht="15.75" customHeight="1">
      <c r="A27" s="26"/>
      <c r="B27" s="10"/>
      <c r="R27" s="11"/>
      <c r="S27" s="26"/>
      <c r="T27" s="10"/>
      <c r="U27" s="11"/>
    </row>
    <row r="28" ht="15.75" customHeight="1">
      <c r="A28" s="26"/>
      <c r="B28" s="10"/>
      <c r="R28" s="11"/>
      <c r="S28" s="26"/>
      <c r="T28" s="10"/>
      <c r="U28" s="11"/>
    </row>
    <row r="29" ht="15.75" customHeight="1">
      <c r="A29" s="26"/>
      <c r="B29" s="10"/>
      <c r="R29" s="11"/>
      <c r="S29" s="26"/>
      <c r="T29" s="10"/>
      <c r="U29" s="11"/>
    </row>
    <row r="30" ht="15.75" customHeight="1">
      <c r="A30" s="26"/>
      <c r="B30" s="10"/>
      <c r="R30" s="11"/>
      <c r="S30" s="26"/>
      <c r="T30" s="10"/>
      <c r="U30" s="11"/>
    </row>
    <row r="31" ht="15.75" customHeight="1">
      <c r="A31" s="26"/>
      <c r="B31" s="10"/>
      <c r="R31" s="11"/>
      <c r="S31" s="26"/>
      <c r="T31" s="10"/>
      <c r="U31" s="11"/>
    </row>
    <row r="32" ht="15.75" customHeight="1">
      <c r="A32" s="27"/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5"/>
      <c r="S32" s="27"/>
      <c r="T32" s="13"/>
      <c r="U32" s="15"/>
    </row>
    <row r="33" ht="15.75" customHeight="1">
      <c r="A33" s="1"/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4"/>
      <c r="S33" s="1"/>
      <c r="T33" s="2"/>
      <c r="U33" s="4"/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4">
    <mergeCell ref="A2:A16"/>
    <mergeCell ref="A18:A32"/>
    <mergeCell ref="B18:R32"/>
    <mergeCell ref="S18:S32"/>
    <mergeCell ref="T18:U32"/>
    <mergeCell ref="B33:R33"/>
    <mergeCell ref="T33:U33"/>
    <mergeCell ref="B1:R1"/>
    <mergeCell ref="T1:U1"/>
    <mergeCell ref="B2:R16"/>
    <mergeCell ref="S2:S16"/>
    <mergeCell ref="T2:U16"/>
    <mergeCell ref="B17:R17"/>
    <mergeCell ref="T17:U17"/>
  </mergeCells>
  <printOptions/>
  <pageMargins bottom="0.787401575" footer="0.0" header="0.0" left="0.511811024" right="0.511811024" top="0.7874015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71"/>
    <col customWidth="1" min="2" max="2" width="11.57"/>
    <col customWidth="1" min="3" max="3" width="11.14"/>
    <col customWidth="1" min="4" max="4" width="20.14"/>
    <col customWidth="1" min="5" max="5" width="18.43"/>
    <col customWidth="1" min="6" max="6" width="15.43"/>
    <col customWidth="1" min="7" max="7" width="2.71"/>
    <col customWidth="1" min="8" max="8" width="11.57"/>
    <col customWidth="1" min="9" max="9" width="11.14"/>
    <col customWidth="1" min="10" max="10" width="20.14"/>
    <col customWidth="1" min="11" max="11" width="18.43"/>
    <col customWidth="1" min="12" max="12" width="15.43"/>
    <col customWidth="1" min="13" max="13" width="2.71"/>
    <col customWidth="1" min="14" max="14" width="11.57"/>
    <col customWidth="1" min="15" max="15" width="11.14"/>
    <col customWidth="1" min="16" max="16" width="20.14"/>
    <col customWidth="1" min="17" max="17" width="18.43"/>
    <col customWidth="1" min="18" max="18" width="15.43"/>
    <col customWidth="1" min="19" max="19" width="2.71"/>
    <col customWidth="1" min="20" max="21" width="11.57"/>
    <col customWidth="1" min="22" max="22" width="20.14"/>
    <col customWidth="1" min="23" max="23" width="18.43"/>
    <col customWidth="1" min="24" max="24" width="17.0"/>
    <col customWidth="1" min="25" max="25" width="2.71"/>
    <col customWidth="1" min="26" max="26" width="16.14"/>
    <col customWidth="1" min="27" max="27" width="20.57"/>
    <col customWidth="1" min="28" max="28" width="19.86"/>
    <col customWidth="1" min="29" max="29" width="2.71"/>
    <col customWidth="1" min="30" max="30" width="16.14"/>
    <col customWidth="1" min="31" max="31" width="20.57"/>
    <col customWidth="1" min="32" max="32" width="19.86"/>
  </cols>
  <sheetData>
    <row r="1">
      <c r="C1" s="28" t="s">
        <v>0</v>
      </c>
      <c r="D1" s="7"/>
      <c r="E1" s="7"/>
      <c r="F1" s="8"/>
      <c r="I1" s="28" t="s">
        <v>1</v>
      </c>
      <c r="J1" s="7"/>
      <c r="K1" s="7"/>
      <c r="L1" s="8"/>
      <c r="O1" s="28" t="s">
        <v>2</v>
      </c>
      <c r="P1" s="7"/>
      <c r="Q1" s="7"/>
      <c r="R1" s="8"/>
      <c r="U1" s="28" t="s">
        <v>3</v>
      </c>
      <c r="V1" s="7"/>
      <c r="W1" s="7"/>
      <c r="X1" s="8"/>
      <c r="Z1" s="28" t="s">
        <v>4</v>
      </c>
      <c r="AA1" s="7"/>
      <c r="AB1" s="8"/>
      <c r="AD1" s="28" t="s">
        <v>5</v>
      </c>
      <c r="AE1" s="7"/>
      <c r="AF1" s="8"/>
    </row>
    <row r="2">
      <c r="C2" s="13"/>
      <c r="D2" s="14"/>
      <c r="E2" s="14"/>
      <c r="F2" s="15"/>
      <c r="I2" s="13"/>
      <c r="J2" s="14"/>
      <c r="K2" s="14"/>
      <c r="L2" s="15"/>
      <c r="O2" s="13"/>
      <c r="P2" s="14"/>
      <c r="Q2" s="14"/>
      <c r="R2" s="15"/>
      <c r="U2" s="13"/>
      <c r="V2" s="14"/>
      <c r="W2" s="14"/>
      <c r="X2" s="15"/>
      <c r="Z2" s="13"/>
      <c r="AA2" s="14"/>
      <c r="AB2" s="15"/>
      <c r="AD2" s="13"/>
      <c r="AE2" s="14"/>
      <c r="AF2" s="15"/>
    </row>
    <row r="3">
      <c r="C3" s="29" t="s">
        <v>6</v>
      </c>
      <c r="D3" s="30" t="s">
        <v>7</v>
      </c>
      <c r="E3" s="30" t="s">
        <v>8</v>
      </c>
      <c r="F3" s="31" t="s">
        <v>9</v>
      </c>
      <c r="I3" s="29" t="s">
        <v>6</v>
      </c>
      <c r="J3" s="30" t="s">
        <v>7</v>
      </c>
      <c r="K3" s="30" t="s">
        <v>8</v>
      </c>
      <c r="L3" s="31" t="s">
        <v>9</v>
      </c>
      <c r="O3" s="29" t="s">
        <v>6</v>
      </c>
      <c r="P3" s="30" t="s">
        <v>7</v>
      </c>
      <c r="Q3" s="30" t="s">
        <v>8</v>
      </c>
      <c r="R3" s="31" t="s">
        <v>9</v>
      </c>
      <c r="U3" s="29" t="s">
        <v>6</v>
      </c>
      <c r="V3" s="30" t="s">
        <v>7</v>
      </c>
      <c r="W3" s="30" t="s">
        <v>8</v>
      </c>
      <c r="X3" s="31" t="s">
        <v>9</v>
      </c>
      <c r="Z3" s="29" t="s">
        <v>0</v>
      </c>
      <c r="AA3" s="30" t="s">
        <v>1</v>
      </c>
      <c r="AB3" s="31" t="s">
        <v>10</v>
      </c>
      <c r="AD3" s="29" t="s">
        <v>0</v>
      </c>
      <c r="AE3" s="30" t="s">
        <v>1</v>
      </c>
      <c r="AF3" s="31" t="s">
        <v>10</v>
      </c>
    </row>
    <row r="4">
      <c r="C4" s="32">
        <f>COUNTA(DADOS.GERAL!$B$4:$B$45)</f>
        <v>42</v>
      </c>
      <c r="D4" s="33">
        <f>SUM(DADOS.GERAL!$H$4:$H$45)</f>
        <v>4101.52</v>
      </c>
      <c r="E4" s="33">
        <f>SUM(DADOS.GERAL!$I$4:$I$45)</f>
        <v>6551.26</v>
      </c>
      <c r="F4" s="33">
        <f>SUM(DADOS.GERAL!$J$4:$J$45)</f>
        <v>2449.74</v>
      </c>
      <c r="I4" s="32">
        <f>COUNTA(DADOS.GERAL!$L$4:$L$40)</f>
        <v>37</v>
      </c>
      <c r="J4" s="34">
        <f>SUM(DADOS.GERAL!$P$4:$P$40)</f>
        <v>1774.9</v>
      </c>
      <c r="K4" s="34">
        <f>SUM(DADOS.GERAL!$Q$4:$Q$40)</f>
        <v>2123.7</v>
      </c>
      <c r="L4" s="34">
        <f>SUM(DADOS.GERAL!$R$4:$R$40)</f>
        <v>348.8</v>
      </c>
      <c r="O4" s="32">
        <f>COUNTA(DADOS.GERAL!$T$4:$T$33)</f>
        <v>30</v>
      </c>
      <c r="P4" s="34">
        <f>SUM(DADOS.GERAL!$W$4:$W$33)</f>
        <v>739.09</v>
      </c>
      <c r="Q4" s="34">
        <f>SUM(DADOS.GERAL!$X$4:$X$33)</f>
        <v>955.72</v>
      </c>
      <c r="R4" s="34">
        <f>SUM(DADOS.GERAL!$Y$4:$Y$33)</f>
        <v>216.63</v>
      </c>
      <c r="U4" s="32">
        <f>SUM(TOTAL.GERAL!$C$4,TOTAL.GERAL!$I$4,TOTAL.GERAL!$O$4,)</f>
        <v>109</v>
      </c>
      <c r="V4" s="34">
        <f>SUM(TOTAL.GERAL!$D$4,TOTAL.GERAL!$J$4,,TOTAL.GERAL!$P$4)</f>
        <v>6615.51</v>
      </c>
      <c r="W4" s="34">
        <f>SUM(TOTAL.GERAL!$E$4,TOTAL.GERAL!$K$4,,TOTAL.GERAL!$Q$4)</f>
        <v>9630.68</v>
      </c>
      <c r="X4" s="34">
        <f>SUM(TOTAL.GERAL!$F$4,TOTAL.GERAL!$L$4,,TOTAL.GERAL!$R$4)</f>
        <v>3015.17</v>
      </c>
      <c r="Z4" s="35">
        <f>COUNTA(DADOS.GERAL!$B$4:$B$45)</f>
        <v>42</v>
      </c>
      <c r="AA4" s="36">
        <f>COUNTA(DADOS.GERAL!$L$4:$L$40)</f>
        <v>37</v>
      </c>
      <c r="AB4" s="37">
        <f>COUNTA(DADOS.GERAL!$T$4:$T$33)</f>
        <v>30</v>
      </c>
      <c r="AD4" s="38">
        <f>SUM(DADOS.GERAL!$H$4:$H$45)</f>
        <v>4101.52</v>
      </c>
      <c r="AE4" s="39">
        <f>SUM(DADOS.GERAL!$P$4:$P$40)</f>
        <v>1774.9</v>
      </c>
      <c r="AF4" s="40">
        <f>SUM(DADOS.GERAL!$W$4:$W$33)</f>
        <v>739.09</v>
      </c>
    </row>
    <row r="5">
      <c r="C5" s="41"/>
      <c r="G5" s="41"/>
      <c r="I5" s="41"/>
      <c r="M5" s="41"/>
      <c r="O5" s="41"/>
      <c r="S5" s="41"/>
      <c r="U5" s="41"/>
      <c r="Z5" s="42"/>
      <c r="AA5" s="14"/>
      <c r="AB5" s="14"/>
      <c r="AD5" s="42"/>
      <c r="AE5" s="14"/>
      <c r="AF5" s="14"/>
    </row>
    <row r="6" ht="15.0" customHeight="1">
      <c r="B6" s="43" t="s">
        <v>11</v>
      </c>
      <c r="C6" s="44"/>
      <c r="D6" s="44"/>
      <c r="E6" s="44"/>
      <c r="F6" s="45"/>
      <c r="H6" s="43" t="s">
        <v>12</v>
      </c>
      <c r="I6" s="44"/>
      <c r="J6" s="44"/>
      <c r="K6" s="44"/>
      <c r="L6" s="45"/>
      <c r="N6" s="43" t="s">
        <v>13</v>
      </c>
      <c r="O6" s="44"/>
      <c r="P6" s="44"/>
      <c r="Q6" s="44"/>
      <c r="R6" s="45"/>
      <c r="T6" s="43" t="s">
        <v>3</v>
      </c>
      <c r="U6" s="44"/>
      <c r="V6" s="44"/>
      <c r="W6" s="44"/>
      <c r="X6" s="45"/>
      <c r="Z6" s="28" t="s">
        <v>14</v>
      </c>
      <c r="AA6" s="7"/>
      <c r="AB6" s="8"/>
      <c r="AD6" s="28" t="s">
        <v>15</v>
      </c>
      <c r="AE6" s="7"/>
      <c r="AF6" s="8"/>
    </row>
    <row r="7" ht="15.0" customHeight="1">
      <c r="B7" s="46"/>
      <c r="C7" s="47"/>
      <c r="D7" s="47"/>
      <c r="E7" s="47"/>
      <c r="F7" s="48"/>
      <c r="H7" s="46"/>
      <c r="I7" s="47"/>
      <c r="J7" s="47"/>
      <c r="K7" s="47"/>
      <c r="L7" s="48"/>
      <c r="N7" s="46"/>
      <c r="O7" s="47"/>
      <c r="P7" s="47"/>
      <c r="Q7" s="47"/>
      <c r="R7" s="48"/>
      <c r="T7" s="46"/>
      <c r="U7" s="47"/>
      <c r="V7" s="47"/>
      <c r="W7" s="47"/>
      <c r="X7" s="48"/>
      <c r="Z7" s="13"/>
      <c r="AA7" s="14"/>
      <c r="AB7" s="15"/>
      <c r="AD7" s="13"/>
      <c r="AE7" s="14"/>
      <c r="AF7" s="15"/>
    </row>
    <row r="8">
      <c r="B8" s="49" t="s">
        <v>16</v>
      </c>
      <c r="C8" s="49" t="s">
        <v>6</v>
      </c>
      <c r="D8" s="49" t="s">
        <v>7</v>
      </c>
      <c r="E8" s="49" t="s">
        <v>8</v>
      </c>
      <c r="F8" s="49" t="s">
        <v>9</v>
      </c>
      <c r="H8" s="49" t="s">
        <v>16</v>
      </c>
      <c r="I8" s="49" t="s">
        <v>6</v>
      </c>
      <c r="J8" s="49" t="s">
        <v>7</v>
      </c>
      <c r="K8" s="49" t="s">
        <v>8</v>
      </c>
      <c r="L8" s="49" t="s">
        <v>9</v>
      </c>
      <c r="N8" s="49" t="s">
        <v>16</v>
      </c>
      <c r="O8" s="49" t="s">
        <v>6</v>
      </c>
      <c r="P8" s="49" t="s">
        <v>7</v>
      </c>
      <c r="Q8" s="49" t="s">
        <v>8</v>
      </c>
      <c r="R8" s="49" t="s">
        <v>9</v>
      </c>
      <c r="T8" s="49" t="s">
        <v>16</v>
      </c>
      <c r="U8" s="49" t="s">
        <v>6</v>
      </c>
      <c r="V8" s="49" t="s">
        <v>7</v>
      </c>
      <c r="W8" s="49" t="s">
        <v>8</v>
      </c>
      <c r="X8" s="49" t="s">
        <v>9</v>
      </c>
      <c r="Z8" s="29" t="s">
        <v>0</v>
      </c>
      <c r="AA8" s="30" t="s">
        <v>1</v>
      </c>
      <c r="AB8" s="31" t="s">
        <v>10</v>
      </c>
      <c r="AD8" s="29" t="s">
        <v>0</v>
      </c>
      <c r="AE8" s="30" t="s">
        <v>1</v>
      </c>
      <c r="AF8" s="31" t="s">
        <v>10</v>
      </c>
    </row>
    <row r="9">
      <c r="B9" s="49">
        <v>2021.0</v>
      </c>
      <c r="C9" s="49">
        <f t="shared" ref="C9:F9" si="1">SUM(C15:C24)</f>
        <v>38</v>
      </c>
      <c r="D9" s="50">
        <f t="shared" si="1"/>
        <v>3531.82</v>
      </c>
      <c r="E9" s="50">
        <f t="shared" si="1"/>
        <v>5900.34</v>
      </c>
      <c r="F9" s="50">
        <f t="shared" si="1"/>
        <v>2368.52</v>
      </c>
      <c r="H9" s="49">
        <v>2021.0</v>
      </c>
      <c r="I9" s="49">
        <f t="shared" ref="I9:L9" si="2">SUM(I15:I24)</f>
        <v>28</v>
      </c>
      <c r="J9" s="50">
        <f t="shared" si="2"/>
        <v>310.4</v>
      </c>
      <c r="K9" s="50">
        <f t="shared" si="2"/>
        <v>515</v>
      </c>
      <c r="L9" s="50">
        <f t="shared" si="2"/>
        <v>204.6</v>
      </c>
      <c r="N9" s="49">
        <v>2022.0</v>
      </c>
      <c r="O9" s="51">
        <f t="shared" ref="O9:R9" si="3">SUM(O29:O40)</f>
        <v>30</v>
      </c>
      <c r="P9" s="50">
        <f t="shared" si="3"/>
        <v>739.09</v>
      </c>
      <c r="Q9" s="50">
        <f t="shared" si="3"/>
        <v>955.72</v>
      </c>
      <c r="R9" s="50">
        <f t="shared" si="3"/>
        <v>216.63</v>
      </c>
      <c r="T9" s="49">
        <v>2021.0</v>
      </c>
      <c r="U9" s="49">
        <f t="shared" ref="U9:X9" si="4">SUM(C9,I9)</f>
        <v>66</v>
      </c>
      <c r="V9" s="50">
        <f t="shared" si="4"/>
        <v>3842.22</v>
      </c>
      <c r="W9" s="50">
        <f t="shared" si="4"/>
        <v>6415.34</v>
      </c>
      <c r="X9" s="50">
        <f t="shared" si="4"/>
        <v>2573.12</v>
      </c>
      <c r="Z9" s="38">
        <f>SUM(DADOS.GERAL!$I$4:$I$45)</f>
        <v>6551.26</v>
      </c>
      <c r="AA9" s="39">
        <f>SUM(DADOS.GERAL!$Q$4:$Q$40)</f>
        <v>2123.7</v>
      </c>
      <c r="AB9" s="40">
        <f>SUM(DADOS.GERAL!$X$4:$X$33)</f>
        <v>955.72</v>
      </c>
      <c r="AD9" s="38">
        <f>SUM(DADOS.GERAL!$J$4:$J$45)</f>
        <v>2449.74</v>
      </c>
      <c r="AE9" s="39">
        <f>SUM(DADOS.GERAL!$R$4:$R$40)</f>
        <v>348.8</v>
      </c>
      <c r="AF9" s="40">
        <f>SUM(DADOS.GERAL!$Y$4:$Y$33)</f>
        <v>216.63</v>
      </c>
    </row>
    <row r="10">
      <c r="B10" s="52">
        <v>2022.0</v>
      </c>
      <c r="C10" s="49">
        <f t="shared" ref="C10:F10" si="5">SUM(C29:C40)</f>
        <v>4</v>
      </c>
      <c r="D10" s="50">
        <f t="shared" si="5"/>
        <v>569.7</v>
      </c>
      <c r="E10" s="50">
        <f t="shared" si="5"/>
        <v>650.92</v>
      </c>
      <c r="F10" s="50">
        <f t="shared" si="5"/>
        <v>81.22</v>
      </c>
      <c r="H10" s="52">
        <v>2022.0</v>
      </c>
      <c r="I10" s="52">
        <f t="shared" ref="I10:L10" si="6">SUM(I29:I40)</f>
        <v>9</v>
      </c>
      <c r="J10" s="53">
        <f t="shared" si="6"/>
        <v>1464.5</v>
      </c>
      <c r="K10" s="53">
        <f t="shared" si="6"/>
        <v>1608.7</v>
      </c>
      <c r="L10" s="53">
        <f t="shared" si="6"/>
        <v>144.2</v>
      </c>
      <c r="N10" s="54"/>
      <c r="O10" s="54"/>
      <c r="P10" s="54"/>
      <c r="Q10" s="54"/>
      <c r="R10" s="54"/>
      <c r="S10" s="54"/>
      <c r="T10" s="49">
        <v>2022.0</v>
      </c>
      <c r="U10" s="51">
        <f t="shared" ref="U10:X10" si="7">SUM(C10,I10,O9,)</f>
        <v>43</v>
      </c>
      <c r="V10" s="50">
        <f t="shared" si="7"/>
        <v>2773.29</v>
      </c>
      <c r="W10" s="50">
        <f t="shared" si="7"/>
        <v>3215.34</v>
      </c>
      <c r="X10" s="50">
        <f t="shared" si="7"/>
        <v>442.05</v>
      </c>
      <c r="Y10" s="54"/>
      <c r="Z10" s="54"/>
      <c r="AA10" s="54"/>
      <c r="AB10" s="54"/>
      <c r="AC10" s="54"/>
      <c r="AD10" s="54"/>
      <c r="AE10" s="54"/>
      <c r="AF10" s="54"/>
    </row>
    <row r="11">
      <c r="B11" s="55"/>
      <c r="C11" s="7"/>
      <c r="D11" s="7"/>
      <c r="E11" s="7"/>
      <c r="F11" s="7"/>
      <c r="H11" s="55"/>
      <c r="I11" s="7"/>
      <c r="J11" s="7"/>
      <c r="K11" s="7"/>
      <c r="L11" s="7"/>
      <c r="T11" s="55"/>
      <c r="U11" s="7"/>
      <c r="V11" s="7"/>
      <c r="W11" s="7"/>
      <c r="X11" s="7"/>
    </row>
    <row r="12" ht="15.0" customHeight="1">
      <c r="B12" s="43" t="s">
        <v>17</v>
      </c>
      <c r="C12" s="44"/>
      <c r="D12" s="44"/>
      <c r="E12" s="44"/>
      <c r="F12" s="45"/>
      <c r="H12" s="43" t="s">
        <v>18</v>
      </c>
      <c r="I12" s="44"/>
      <c r="J12" s="44"/>
      <c r="K12" s="44"/>
      <c r="L12" s="45"/>
      <c r="T12" s="43" t="s">
        <v>19</v>
      </c>
      <c r="U12" s="44"/>
      <c r="V12" s="44"/>
      <c r="W12" s="44"/>
      <c r="X12" s="45"/>
    </row>
    <row r="13" ht="15.0" customHeight="1">
      <c r="B13" s="46"/>
      <c r="C13" s="47"/>
      <c r="D13" s="47"/>
      <c r="E13" s="47"/>
      <c r="F13" s="48"/>
      <c r="H13" s="46"/>
      <c r="I13" s="47"/>
      <c r="J13" s="47"/>
      <c r="K13" s="47"/>
      <c r="L13" s="48"/>
      <c r="T13" s="46"/>
      <c r="U13" s="47"/>
      <c r="V13" s="47"/>
      <c r="W13" s="47"/>
      <c r="X13" s="48"/>
    </row>
    <row r="14">
      <c r="B14" s="49" t="s">
        <v>16</v>
      </c>
      <c r="C14" s="49" t="s">
        <v>6</v>
      </c>
      <c r="D14" s="49" t="s">
        <v>7</v>
      </c>
      <c r="E14" s="49" t="s">
        <v>8</v>
      </c>
      <c r="F14" s="49" t="s">
        <v>9</v>
      </c>
      <c r="H14" s="49" t="s">
        <v>16</v>
      </c>
      <c r="I14" s="49" t="s">
        <v>6</v>
      </c>
      <c r="J14" s="49" t="s">
        <v>7</v>
      </c>
      <c r="K14" s="49" t="s">
        <v>8</v>
      </c>
      <c r="L14" s="49" t="s">
        <v>9</v>
      </c>
      <c r="T14" s="49" t="s">
        <v>16</v>
      </c>
      <c r="U14" s="49" t="s">
        <v>6</v>
      </c>
      <c r="V14" s="49" t="s">
        <v>7</v>
      </c>
      <c r="W14" s="49" t="s">
        <v>8</v>
      </c>
      <c r="X14" s="49" t="s">
        <v>9</v>
      </c>
    </row>
    <row r="15">
      <c r="B15" s="49" t="s">
        <v>20</v>
      </c>
      <c r="C15" s="49">
        <f>COUNTA(DADOS.GERAL!G4:G5)</f>
        <v>2</v>
      </c>
      <c r="D15" s="50">
        <f>SUM(DADOS.GERAL!H4:H5)</f>
        <v>148.15</v>
      </c>
      <c r="E15" s="50">
        <f>SUM(DADOS.GERAL!I4:I5)</f>
        <v>349.9</v>
      </c>
      <c r="F15" s="50">
        <f>SUM(DADOS.GERAL!J4:J5)</f>
        <v>201.75</v>
      </c>
      <c r="H15" s="49" t="s">
        <v>20</v>
      </c>
      <c r="I15" s="49">
        <v>0.0</v>
      </c>
      <c r="J15" s="50">
        <v>0.0</v>
      </c>
      <c r="K15" s="50">
        <v>0.0</v>
      </c>
      <c r="L15" s="50">
        <v>0.0</v>
      </c>
      <c r="T15" s="49" t="s">
        <v>20</v>
      </c>
      <c r="U15" s="49">
        <f t="shared" ref="U15:X15" si="8">SUM(C15,I15)</f>
        <v>2</v>
      </c>
      <c r="V15" s="50">
        <f t="shared" si="8"/>
        <v>148.15</v>
      </c>
      <c r="W15" s="50">
        <f t="shared" si="8"/>
        <v>349.9</v>
      </c>
      <c r="X15" s="50">
        <f t="shared" si="8"/>
        <v>201.75</v>
      </c>
    </row>
    <row r="16">
      <c r="B16" s="49" t="s">
        <v>21</v>
      </c>
      <c r="C16" s="49">
        <f>COUNTA(DADOS.GERAL!G6:G10)</f>
        <v>5</v>
      </c>
      <c r="D16" s="50">
        <f>SUM(DADOS.GERAL!H6:H10)</f>
        <v>312.77</v>
      </c>
      <c r="E16" s="50">
        <f>SUM(DADOS.GERAL!I6:I10)</f>
        <v>479.9</v>
      </c>
      <c r="F16" s="50">
        <f>SUM(DADOS.GERAL!J6:J10)</f>
        <v>167.13</v>
      </c>
      <c r="H16" s="49" t="s">
        <v>21</v>
      </c>
      <c r="I16" s="49">
        <f>COUNTA(DADOS.GERAL!O4)</f>
        <v>1</v>
      </c>
      <c r="J16" s="50">
        <f>SUM(DADOS.GERAL!P4)</f>
        <v>99.9</v>
      </c>
      <c r="K16" s="50">
        <f>SUM(DADOS.GERAL!Q4)</f>
        <v>80</v>
      </c>
      <c r="L16" s="50">
        <f>SUM(DADOS.GERAL!R4)</f>
        <v>-19.9</v>
      </c>
      <c r="T16" s="49" t="s">
        <v>21</v>
      </c>
      <c r="U16" s="49">
        <f t="shared" ref="U16:X16" si="9">SUM(C16,I16)</f>
        <v>6</v>
      </c>
      <c r="V16" s="50">
        <f t="shared" si="9"/>
        <v>412.67</v>
      </c>
      <c r="W16" s="50">
        <f t="shared" si="9"/>
        <v>559.9</v>
      </c>
      <c r="X16" s="50">
        <f t="shared" si="9"/>
        <v>147.23</v>
      </c>
    </row>
    <row r="17">
      <c r="B17" s="49" t="s">
        <v>22</v>
      </c>
      <c r="C17" s="49">
        <f>COUNTA(DADOS.GERAL!G11:G14)</f>
        <v>4</v>
      </c>
      <c r="D17" s="50">
        <f>SUM(DADOS.GERAL!H11:H14)</f>
        <v>290</v>
      </c>
      <c r="E17" s="50">
        <f>SUM(DADOS.GERAL!I11:I14)</f>
        <v>627.87</v>
      </c>
      <c r="F17" s="50">
        <f>SUM(DADOS.GERAL!J11:J14)</f>
        <v>337.87</v>
      </c>
      <c r="H17" s="49" t="s">
        <v>22</v>
      </c>
      <c r="I17" s="49">
        <f>COUNTA(DADOS.GERAL!O5:O20)</f>
        <v>16</v>
      </c>
      <c r="J17" s="50">
        <f>SUM(DADOS.GERAL!P5:P20)</f>
        <v>99</v>
      </c>
      <c r="K17" s="50">
        <f>SUM(DADOS.GERAL!Q5:Q20)</f>
        <v>275</v>
      </c>
      <c r="L17" s="50">
        <f>SUM(DADOS.GERAL!R5:R20)</f>
        <v>176</v>
      </c>
      <c r="T17" s="49" t="s">
        <v>22</v>
      </c>
      <c r="U17" s="49">
        <f t="shared" ref="U17:X17" si="10">SUM(C17,I17)</f>
        <v>20</v>
      </c>
      <c r="V17" s="50">
        <f t="shared" si="10"/>
        <v>389</v>
      </c>
      <c r="W17" s="50">
        <f t="shared" si="10"/>
        <v>902.87</v>
      </c>
      <c r="X17" s="50">
        <f t="shared" si="10"/>
        <v>513.87</v>
      </c>
    </row>
    <row r="18">
      <c r="B18" s="49" t="s">
        <v>23</v>
      </c>
      <c r="C18" s="49">
        <f>COUNTA(DADOS.GERAL!G15:G16)</f>
        <v>2</v>
      </c>
      <c r="D18" s="50">
        <f>SUM(DADOS.GERAL!H15:H16)</f>
        <v>0</v>
      </c>
      <c r="E18" s="50">
        <f>SUM(DADOS.GERAL!I15:I16)</f>
        <v>343.52</v>
      </c>
      <c r="F18" s="50">
        <f>SUM(DADOS.GERAL!J15:J16)</f>
        <v>343.52</v>
      </c>
      <c r="H18" s="49" t="s">
        <v>23</v>
      </c>
      <c r="I18" s="49">
        <f>COUNTA(DADOS.GERAL!O21:O31)</f>
        <v>11</v>
      </c>
      <c r="J18" s="50">
        <f>SUM(DADOS.GERAL!P21:P31)</f>
        <v>111.5</v>
      </c>
      <c r="K18" s="50">
        <f>SUM(DADOS.GERAL!Q21:Q31)</f>
        <v>160</v>
      </c>
      <c r="L18" s="50">
        <f>SUM(DADOS.GERAL!R21:R31)</f>
        <v>48.5</v>
      </c>
      <c r="T18" s="49" t="s">
        <v>23</v>
      </c>
      <c r="U18" s="49">
        <f t="shared" ref="U18:X18" si="11">SUM(C18,I18)</f>
        <v>13</v>
      </c>
      <c r="V18" s="50">
        <f t="shared" si="11"/>
        <v>111.5</v>
      </c>
      <c r="W18" s="50">
        <f t="shared" si="11"/>
        <v>503.52</v>
      </c>
      <c r="X18" s="50">
        <f t="shared" si="11"/>
        <v>392.02</v>
      </c>
    </row>
    <row r="19">
      <c r="B19" s="49" t="s">
        <v>24</v>
      </c>
      <c r="C19" s="49">
        <f>COUNTA(DADOS.GERAL!G17:G20)</f>
        <v>4</v>
      </c>
      <c r="D19" s="50">
        <f>SUM(DADOS.GERAL!H17:H20)</f>
        <v>340</v>
      </c>
      <c r="E19" s="50">
        <f>SUM(DADOS.GERAL!I17:I20)</f>
        <v>751.89</v>
      </c>
      <c r="F19" s="50">
        <f>SUM(DADOS.GERAL!J17:J20)</f>
        <v>411.89</v>
      </c>
      <c r="H19" s="49" t="s">
        <v>24</v>
      </c>
      <c r="I19" s="49">
        <v>0.0</v>
      </c>
      <c r="J19" s="50">
        <v>0.0</v>
      </c>
      <c r="K19" s="50">
        <v>0.0</v>
      </c>
      <c r="L19" s="50">
        <v>0.0</v>
      </c>
      <c r="T19" s="49" t="s">
        <v>24</v>
      </c>
      <c r="U19" s="49">
        <f t="shared" ref="U19:X19" si="12">SUM(C19,I19)</f>
        <v>4</v>
      </c>
      <c r="V19" s="50">
        <f t="shared" si="12"/>
        <v>340</v>
      </c>
      <c r="W19" s="50">
        <f t="shared" si="12"/>
        <v>751.89</v>
      </c>
      <c r="X19" s="50">
        <f t="shared" si="12"/>
        <v>411.89</v>
      </c>
    </row>
    <row r="20">
      <c r="B20" s="49" t="s">
        <v>25</v>
      </c>
      <c r="C20" s="49">
        <f>COUNTA(DADOS.GERAL!G21:G23)</f>
        <v>3</v>
      </c>
      <c r="D20" s="50">
        <f>SUM(DADOS.GERAL!H21:H23)</f>
        <v>280</v>
      </c>
      <c r="E20" s="50">
        <f>SUM(DADOS.GERAL!I21:I23)</f>
        <v>546.4</v>
      </c>
      <c r="F20" s="50">
        <f>SUM(DADOS.GERAL!J21:J23)</f>
        <v>266.4</v>
      </c>
      <c r="H20" s="49" t="s">
        <v>25</v>
      </c>
      <c r="I20" s="49">
        <v>0.0</v>
      </c>
      <c r="J20" s="50">
        <v>0.0</v>
      </c>
      <c r="K20" s="50">
        <v>0.0</v>
      </c>
      <c r="L20" s="50">
        <v>0.0</v>
      </c>
      <c r="T20" s="49" t="s">
        <v>25</v>
      </c>
      <c r="U20" s="49">
        <f t="shared" ref="U20:X20" si="13">SUM(C20,I20)</f>
        <v>3</v>
      </c>
      <c r="V20" s="50">
        <f t="shared" si="13"/>
        <v>280</v>
      </c>
      <c r="W20" s="50">
        <f t="shared" si="13"/>
        <v>546.4</v>
      </c>
      <c r="X20" s="50">
        <f t="shared" si="13"/>
        <v>266.4</v>
      </c>
    </row>
    <row r="21" ht="15.75" customHeight="1">
      <c r="B21" s="49" t="s">
        <v>26</v>
      </c>
      <c r="C21" s="49">
        <f>COUNTA(DADOS.GERAL!G24:G27)</f>
        <v>4</v>
      </c>
      <c r="D21" s="50">
        <f>SUM(DADOS.GERAL!H24:H27)</f>
        <v>358.8</v>
      </c>
      <c r="E21" s="50">
        <f>SUM(DADOS.GERAL!I24:I27)</f>
        <v>579.69</v>
      </c>
      <c r="F21" s="50">
        <f>SUM(DADOS.GERAL!J24:J27)</f>
        <v>220.89</v>
      </c>
      <c r="H21" s="49" t="s">
        <v>26</v>
      </c>
      <c r="I21" s="49">
        <v>0.0</v>
      </c>
      <c r="J21" s="50">
        <v>0.0</v>
      </c>
      <c r="K21" s="50">
        <v>0.0</v>
      </c>
      <c r="L21" s="50">
        <v>0.0</v>
      </c>
      <c r="T21" s="49" t="s">
        <v>26</v>
      </c>
      <c r="U21" s="49">
        <f t="shared" ref="U21:X21" si="14">SUM(C21,I21)</f>
        <v>4</v>
      </c>
      <c r="V21" s="50">
        <f t="shared" si="14"/>
        <v>358.8</v>
      </c>
      <c r="W21" s="50">
        <f t="shared" si="14"/>
        <v>579.69</v>
      </c>
      <c r="X21" s="50">
        <f t="shared" si="14"/>
        <v>220.89</v>
      </c>
    </row>
    <row r="22" ht="15.75" customHeight="1">
      <c r="B22" s="49" t="s">
        <v>27</v>
      </c>
      <c r="C22" s="49">
        <f>COUNTA(DADOS.GERAL!G28:G31)</f>
        <v>4</v>
      </c>
      <c r="D22" s="50">
        <f>SUM(DADOS.GERAL!H28:H31)</f>
        <v>440</v>
      </c>
      <c r="E22" s="50">
        <f>SUM(DADOS.GERAL!I28:I31)</f>
        <v>556.29</v>
      </c>
      <c r="F22" s="50">
        <f>SUM(DADOS.GERAL!J28:J31)</f>
        <v>116.29</v>
      </c>
      <c r="H22" s="49" t="s">
        <v>27</v>
      </c>
      <c r="I22" s="49">
        <v>0.0</v>
      </c>
      <c r="J22" s="50">
        <v>0.0</v>
      </c>
      <c r="K22" s="50">
        <v>0.0</v>
      </c>
      <c r="L22" s="50">
        <v>0.0</v>
      </c>
      <c r="T22" s="49" t="s">
        <v>27</v>
      </c>
      <c r="U22" s="49">
        <f t="shared" ref="U22:X22" si="15">SUM(C22,I22)</f>
        <v>4</v>
      </c>
      <c r="V22" s="50">
        <f t="shared" si="15"/>
        <v>440</v>
      </c>
      <c r="W22" s="50">
        <f t="shared" si="15"/>
        <v>556.29</v>
      </c>
      <c r="X22" s="50">
        <f t="shared" si="15"/>
        <v>116.29</v>
      </c>
    </row>
    <row r="23" ht="15.75" customHeight="1">
      <c r="B23" s="49" t="s">
        <v>28</v>
      </c>
      <c r="C23" s="49">
        <f>COUNTA(DADOS.GERAL!G32:G35)</f>
        <v>4</v>
      </c>
      <c r="D23" s="50">
        <f>SUM(DADOS.GERAL!H32:H35)</f>
        <v>532.1</v>
      </c>
      <c r="E23" s="50">
        <f>SUM(DADOS.GERAL!I32:I35)</f>
        <v>717.39</v>
      </c>
      <c r="F23" s="50">
        <f>SUM(DADOS.GERAL!J32:J35)</f>
        <v>185.29</v>
      </c>
      <c r="H23" s="49" t="s">
        <v>28</v>
      </c>
      <c r="I23" s="49">
        <v>0.0</v>
      </c>
      <c r="J23" s="50">
        <v>0.0</v>
      </c>
      <c r="K23" s="50">
        <v>0.0</v>
      </c>
      <c r="L23" s="50">
        <v>0.0</v>
      </c>
      <c r="T23" s="49" t="s">
        <v>28</v>
      </c>
      <c r="U23" s="49">
        <f t="shared" ref="U23:X23" si="16">SUM(C23,I23)</f>
        <v>4</v>
      </c>
      <c r="V23" s="50">
        <f t="shared" si="16"/>
        <v>532.1</v>
      </c>
      <c r="W23" s="50">
        <f t="shared" si="16"/>
        <v>717.39</v>
      </c>
      <c r="X23" s="50">
        <f t="shared" si="16"/>
        <v>185.29</v>
      </c>
    </row>
    <row r="24" ht="15.75" customHeight="1">
      <c r="B24" s="49" t="s">
        <v>29</v>
      </c>
      <c r="C24" s="49">
        <f>COUNTA(DADOS.GERAL!G36:G41)</f>
        <v>6</v>
      </c>
      <c r="D24" s="50">
        <f>SUM(DADOS.GERAL!H36:H41)</f>
        <v>830</v>
      </c>
      <c r="E24" s="50">
        <f>SUM(DADOS.GERAL!I36:I41)</f>
        <v>947.49</v>
      </c>
      <c r="F24" s="50">
        <f>SUM(DADOS.GERAL!J36:J41)</f>
        <v>117.49</v>
      </c>
      <c r="H24" s="49" t="s">
        <v>29</v>
      </c>
      <c r="I24" s="49">
        <v>0.0</v>
      </c>
      <c r="J24" s="50">
        <v>0.0</v>
      </c>
      <c r="K24" s="50">
        <v>0.0</v>
      </c>
      <c r="L24" s="50">
        <v>0.0</v>
      </c>
      <c r="N24" s="54"/>
      <c r="O24" s="54"/>
      <c r="P24" s="54"/>
      <c r="Q24" s="54"/>
      <c r="R24" s="54"/>
      <c r="T24" s="49" t="s">
        <v>29</v>
      </c>
      <c r="U24" s="49">
        <f t="shared" ref="U24:X24" si="17">SUM(C24,I24)</f>
        <v>6</v>
      </c>
      <c r="V24" s="50">
        <f t="shared" si="17"/>
        <v>830</v>
      </c>
      <c r="W24" s="50">
        <f t="shared" si="17"/>
        <v>947.49</v>
      </c>
      <c r="X24" s="50">
        <f t="shared" si="17"/>
        <v>117.49</v>
      </c>
    </row>
    <row r="25" ht="15.75" customHeight="1">
      <c r="B25" s="55"/>
      <c r="C25" s="7"/>
      <c r="D25" s="7"/>
      <c r="E25" s="7"/>
      <c r="F25" s="7"/>
      <c r="H25" s="55"/>
      <c r="I25" s="7"/>
      <c r="J25" s="7"/>
      <c r="K25" s="7"/>
      <c r="L25" s="7"/>
      <c r="N25" s="41"/>
      <c r="T25" s="55"/>
      <c r="U25" s="7"/>
      <c r="V25" s="7"/>
      <c r="W25" s="7"/>
      <c r="X25" s="7"/>
    </row>
    <row r="26" ht="15.75" customHeight="1">
      <c r="B26" s="43" t="s">
        <v>30</v>
      </c>
      <c r="C26" s="44"/>
      <c r="D26" s="44"/>
      <c r="E26" s="44"/>
      <c r="F26" s="45"/>
      <c r="H26" s="43" t="s">
        <v>31</v>
      </c>
      <c r="I26" s="44"/>
      <c r="J26" s="44"/>
      <c r="K26" s="44"/>
      <c r="L26" s="45"/>
      <c r="N26" s="43" t="s">
        <v>32</v>
      </c>
      <c r="O26" s="44"/>
      <c r="P26" s="44"/>
      <c r="Q26" s="44"/>
      <c r="R26" s="45"/>
      <c r="T26" s="43" t="s">
        <v>33</v>
      </c>
      <c r="U26" s="44"/>
      <c r="V26" s="44"/>
      <c r="W26" s="44"/>
      <c r="X26" s="45"/>
    </row>
    <row r="27" ht="15.75" customHeight="1">
      <c r="B27" s="46"/>
      <c r="C27" s="47"/>
      <c r="D27" s="47"/>
      <c r="E27" s="47"/>
      <c r="F27" s="48"/>
      <c r="H27" s="46"/>
      <c r="I27" s="47"/>
      <c r="J27" s="47"/>
      <c r="K27" s="47"/>
      <c r="L27" s="48"/>
      <c r="N27" s="46"/>
      <c r="O27" s="47"/>
      <c r="P27" s="47"/>
      <c r="Q27" s="47"/>
      <c r="R27" s="48"/>
      <c r="T27" s="46"/>
      <c r="U27" s="47"/>
      <c r="V27" s="47"/>
      <c r="W27" s="47"/>
      <c r="X27" s="48"/>
    </row>
    <row r="28" ht="15.75" customHeight="1">
      <c r="B28" s="49" t="s">
        <v>16</v>
      </c>
      <c r="C28" s="49" t="s">
        <v>6</v>
      </c>
      <c r="D28" s="49" t="s">
        <v>7</v>
      </c>
      <c r="E28" s="49" t="s">
        <v>8</v>
      </c>
      <c r="F28" s="49" t="s">
        <v>9</v>
      </c>
      <c r="H28" s="49" t="s">
        <v>16</v>
      </c>
      <c r="I28" s="49" t="s">
        <v>6</v>
      </c>
      <c r="J28" s="49" t="s">
        <v>7</v>
      </c>
      <c r="K28" s="49" t="s">
        <v>8</v>
      </c>
      <c r="L28" s="49" t="s">
        <v>9</v>
      </c>
      <c r="N28" s="49" t="s">
        <v>16</v>
      </c>
      <c r="O28" s="49" t="s">
        <v>6</v>
      </c>
      <c r="P28" s="49" t="s">
        <v>7</v>
      </c>
      <c r="Q28" s="49" t="s">
        <v>8</v>
      </c>
      <c r="R28" s="49" t="s">
        <v>9</v>
      </c>
      <c r="T28" s="49" t="s">
        <v>16</v>
      </c>
      <c r="U28" s="49" t="s">
        <v>6</v>
      </c>
      <c r="V28" s="49" t="s">
        <v>7</v>
      </c>
      <c r="W28" s="49" t="s">
        <v>8</v>
      </c>
      <c r="X28" s="49" t="s">
        <v>9</v>
      </c>
    </row>
    <row r="29" ht="15.75" customHeight="1">
      <c r="B29" s="49" t="s">
        <v>34</v>
      </c>
      <c r="C29" s="49">
        <v>0.0</v>
      </c>
      <c r="D29" s="50">
        <v>0.0</v>
      </c>
      <c r="E29" s="50">
        <v>0.0</v>
      </c>
      <c r="F29" s="50">
        <v>0.0</v>
      </c>
      <c r="H29" s="49" t="s">
        <v>34</v>
      </c>
      <c r="I29" s="49">
        <v>0.0</v>
      </c>
      <c r="J29" s="50">
        <v>0.0</v>
      </c>
      <c r="K29" s="50">
        <v>0.0</v>
      </c>
      <c r="L29" s="50">
        <v>0.0</v>
      </c>
      <c r="N29" s="49" t="s">
        <v>34</v>
      </c>
      <c r="O29" s="49">
        <v>0.0</v>
      </c>
      <c r="P29" s="50">
        <v>0.0</v>
      </c>
      <c r="Q29" s="50">
        <v>0.0</v>
      </c>
      <c r="R29" s="50">
        <v>0.0</v>
      </c>
      <c r="T29" s="49" t="s">
        <v>34</v>
      </c>
      <c r="U29" s="49">
        <f t="shared" ref="U29:X29" si="18">SUM(C29,I29,O29)</f>
        <v>0</v>
      </c>
      <c r="V29" s="50">
        <f t="shared" si="18"/>
        <v>0</v>
      </c>
      <c r="W29" s="50">
        <f t="shared" si="18"/>
        <v>0</v>
      </c>
      <c r="X29" s="50">
        <f t="shared" si="18"/>
        <v>0</v>
      </c>
    </row>
    <row r="30" ht="15.75" customHeight="1">
      <c r="B30" s="49" t="s">
        <v>35</v>
      </c>
      <c r="C30" s="49">
        <v>0.0</v>
      </c>
      <c r="D30" s="50">
        <v>0.0</v>
      </c>
      <c r="E30" s="50">
        <v>0.0</v>
      </c>
      <c r="F30" s="50">
        <v>0.0</v>
      </c>
      <c r="H30" s="49" t="s">
        <v>35</v>
      </c>
      <c r="I30" s="49">
        <v>0.0</v>
      </c>
      <c r="J30" s="50">
        <v>0.0</v>
      </c>
      <c r="K30" s="50">
        <v>0.0</v>
      </c>
      <c r="L30" s="50">
        <v>0.0</v>
      </c>
      <c r="N30" s="49" t="s">
        <v>35</v>
      </c>
      <c r="O30" s="49">
        <v>0.0</v>
      </c>
      <c r="P30" s="50">
        <v>0.0</v>
      </c>
      <c r="Q30" s="50">
        <v>0.0</v>
      </c>
      <c r="R30" s="50">
        <v>0.0</v>
      </c>
      <c r="T30" s="49" t="s">
        <v>35</v>
      </c>
      <c r="U30" s="49">
        <f t="shared" ref="U30:X30" si="19">SUM(C30,I30,O30)</f>
        <v>0</v>
      </c>
      <c r="V30" s="50">
        <f t="shared" si="19"/>
        <v>0</v>
      </c>
      <c r="W30" s="50">
        <f t="shared" si="19"/>
        <v>0</v>
      </c>
      <c r="X30" s="50">
        <f t="shared" si="19"/>
        <v>0</v>
      </c>
    </row>
    <row r="31" ht="15.75" customHeight="1">
      <c r="B31" s="49" t="s">
        <v>20</v>
      </c>
      <c r="C31" s="49">
        <f>COUNTA(DADOS.GERAL!G42)</f>
        <v>1</v>
      </c>
      <c r="D31" s="50">
        <f>SUM(DADOS.GERAL!H42)</f>
        <v>129.9</v>
      </c>
      <c r="E31" s="50">
        <f>SUM(DADOS.GERAL!I42)</f>
        <v>150.9</v>
      </c>
      <c r="F31" s="50">
        <f>SUM(DADOS.GERAL!J42)</f>
        <v>21</v>
      </c>
      <c r="H31" s="49" t="s">
        <v>20</v>
      </c>
      <c r="I31" s="49">
        <f>COUNTA(DADOS.GERAL!O34)</f>
        <v>1</v>
      </c>
      <c r="J31" s="50">
        <f>SUM(DADOS.GERAL!P32)</f>
        <v>14</v>
      </c>
      <c r="K31" s="50">
        <f>SUM(DADOS.GERAL!Q32)</f>
        <v>20</v>
      </c>
      <c r="L31" s="50">
        <f>SUM(DADOS.GERAL!R32)</f>
        <v>6</v>
      </c>
      <c r="N31" s="49" t="s">
        <v>20</v>
      </c>
      <c r="O31" s="49">
        <v>0.0</v>
      </c>
      <c r="P31" s="50">
        <v>0.0</v>
      </c>
      <c r="Q31" s="50">
        <v>0.0</v>
      </c>
      <c r="R31" s="50">
        <v>0.0</v>
      </c>
      <c r="T31" s="49" t="s">
        <v>20</v>
      </c>
      <c r="U31" s="49">
        <f t="shared" ref="U31:X31" si="20">SUM(C31,I31,O31)</f>
        <v>2</v>
      </c>
      <c r="V31" s="50">
        <f t="shared" si="20"/>
        <v>143.9</v>
      </c>
      <c r="W31" s="50">
        <f t="shared" si="20"/>
        <v>170.9</v>
      </c>
      <c r="X31" s="50">
        <f t="shared" si="20"/>
        <v>27</v>
      </c>
    </row>
    <row r="32" ht="15.75" customHeight="1">
      <c r="B32" s="49" t="s">
        <v>21</v>
      </c>
      <c r="C32" s="49">
        <f>COUNTA(DADOS.GERAL!G43)</f>
        <v>1</v>
      </c>
      <c r="D32" s="50">
        <f>SUM(DADOS.GERAL!H43)</f>
        <v>150</v>
      </c>
      <c r="E32" s="50">
        <f>SUM(DADOS.GERAL!I43)</f>
        <v>189.9</v>
      </c>
      <c r="F32" s="50">
        <f>SUM(DADOS.GERAL!J43)</f>
        <v>39.9</v>
      </c>
      <c r="H32" s="49" t="s">
        <v>21</v>
      </c>
      <c r="I32" s="49">
        <f>COUNTA(DADOS.GERAL!O33)</f>
        <v>1</v>
      </c>
      <c r="J32" s="50">
        <f>SUM(DADOS.GERAL!P33)</f>
        <v>239.9</v>
      </c>
      <c r="K32" s="50">
        <f>SUM(DADOS.GERAL!Q33)</f>
        <v>280</v>
      </c>
      <c r="L32" s="50">
        <f>SUM(DADOS.GERAL!R33)</f>
        <v>40.1</v>
      </c>
      <c r="N32" s="49" t="s">
        <v>21</v>
      </c>
      <c r="O32" s="49">
        <f>COUNTA(DADOS.GERAL!V4)</f>
        <v>1</v>
      </c>
      <c r="P32" s="50">
        <f>SUM(DADOS.GERAL!W4)</f>
        <v>49.9</v>
      </c>
      <c r="Q32" s="50">
        <f>SUM(DADOS.GERAL!X4)</f>
        <v>49.9</v>
      </c>
      <c r="R32" s="50">
        <f>SUM(DADOS.GERAL!Y4)</f>
        <v>0</v>
      </c>
      <c r="T32" s="49" t="s">
        <v>21</v>
      </c>
      <c r="U32" s="49">
        <f t="shared" ref="U32:X32" si="21">SUM(C32,I32,O32)</f>
        <v>3</v>
      </c>
      <c r="V32" s="50">
        <f t="shared" si="21"/>
        <v>439.8</v>
      </c>
      <c r="W32" s="50">
        <f t="shared" si="21"/>
        <v>519.8</v>
      </c>
      <c r="X32" s="50">
        <f t="shared" si="21"/>
        <v>80</v>
      </c>
    </row>
    <row r="33" ht="15.75" customHeight="1">
      <c r="B33" s="49" t="s">
        <v>22</v>
      </c>
      <c r="C33" s="49">
        <v>0.0</v>
      </c>
      <c r="D33" s="50">
        <v>0.0</v>
      </c>
      <c r="E33" s="50">
        <v>0.0</v>
      </c>
      <c r="F33" s="50">
        <v>0.0</v>
      </c>
      <c r="H33" s="49" t="s">
        <v>22</v>
      </c>
      <c r="I33" s="49">
        <f>COUNTA(DADOS.GERAL!O34:O38)</f>
        <v>5</v>
      </c>
      <c r="J33" s="50">
        <f>SUM(DADOS.GERAL!P34:P38)</f>
        <v>675.8</v>
      </c>
      <c r="K33" s="50">
        <f>SUM(DADOS.GERAL!Q34:Q38)</f>
        <v>768.9</v>
      </c>
      <c r="L33" s="50">
        <f>SUM(DADOS.GERAL!R34:R38)</f>
        <v>93.1</v>
      </c>
      <c r="N33" s="49" t="s">
        <v>22</v>
      </c>
      <c r="O33" s="49">
        <f>COUNTA(DADOS.GERAL!V5:V27)</f>
        <v>23</v>
      </c>
      <c r="P33" s="50">
        <f>SUM(DADOS.GERAL!W5:W27)</f>
        <v>499.79</v>
      </c>
      <c r="Q33" s="50">
        <f>SUM(DADOS.GERAL!X5:X27)</f>
        <v>666.42</v>
      </c>
      <c r="R33" s="50">
        <f>SUM(DADOS.GERAL!Y5:Y27)</f>
        <v>166.63</v>
      </c>
      <c r="T33" s="49" t="s">
        <v>22</v>
      </c>
      <c r="U33" s="49">
        <f t="shared" ref="U33:X33" si="22">SUM(C33,I33,O33)</f>
        <v>28</v>
      </c>
      <c r="V33" s="50">
        <f t="shared" si="22"/>
        <v>1175.59</v>
      </c>
      <c r="W33" s="50">
        <f t="shared" si="22"/>
        <v>1435.32</v>
      </c>
      <c r="X33" s="50">
        <f t="shared" si="22"/>
        <v>259.73</v>
      </c>
    </row>
    <row r="34" ht="15.75" customHeight="1">
      <c r="B34" s="49" t="s">
        <v>23</v>
      </c>
      <c r="C34" s="49">
        <f>COUNTA(DADOS.GERAL!G44:G45)</f>
        <v>2</v>
      </c>
      <c r="D34" s="50">
        <f>SUM(DADOS.GERAL!H44:H45)</f>
        <v>289.8</v>
      </c>
      <c r="E34" s="50">
        <f>SUM(DADOS.GERAL!I44:I45)</f>
        <v>310.12</v>
      </c>
      <c r="F34" s="50">
        <f>SUM(DADOS.GERAL!J44:J45)</f>
        <v>20.32</v>
      </c>
      <c r="H34" s="49" t="s">
        <v>23</v>
      </c>
      <c r="I34" s="49">
        <f>COUNTA(DADOS.GERAL!O39:O40)</f>
        <v>2</v>
      </c>
      <c r="J34" s="50">
        <f>SUM(DADOS.GERAL!P39:P40)</f>
        <v>534.8</v>
      </c>
      <c r="K34" s="50">
        <f>SUM(DADOS.GERAL!Q39:Q40)</f>
        <v>539.8</v>
      </c>
      <c r="L34" s="50">
        <f>SUM(DADOS.GERAL!R39:R40)</f>
        <v>5</v>
      </c>
      <c r="N34" s="49" t="s">
        <v>23</v>
      </c>
      <c r="O34" s="49">
        <f>COUNTA(DADOS.GERAL!V28:V33)</f>
        <v>6</v>
      </c>
      <c r="P34" s="50">
        <f>SUM(DADOS.GERAL!W28:W33)</f>
        <v>189.4</v>
      </c>
      <c r="Q34" s="50">
        <f>SUM(DADOS.GERAL!X28:X33)</f>
        <v>239.4</v>
      </c>
      <c r="R34" s="50">
        <f>SUM(DADOS.GERAL!Y28:Y33)</f>
        <v>50</v>
      </c>
      <c r="T34" s="49" t="s">
        <v>23</v>
      </c>
      <c r="U34" s="49">
        <f t="shared" ref="U34:X34" si="23">SUM(C34,I34,O34)</f>
        <v>10</v>
      </c>
      <c r="V34" s="50">
        <f t="shared" si="23"/>
        <v>1014</v>
      </c>
      <c r="W34" s="50">
        <f t="shared" si="23"/>
        <v>1089.32</v>
      </c>
      <c r="X34" s="50">
        <f t="shared" si="23"/>
        <v>75.32</v>
      </c>
    </row>
    <row r="35" ht="15.75" customHeight="1">
      <c r="B35" s="49" t="s">
        <v>24</v>
      </c>
      <c r="C35" s="49"/>
      <c r="D35" s="50"/>
      <c r="E35" s="50"/>
      <c r="F35" s="50"/>
      <c r="H35" s="49" t="s">
        <v>24</v>
      </c>
      <c r="I35" s="49"/>
      <c r="J35" s="49"/>
      <c r="K35" s="49"/>
      <c r="L35" s="49"/>
      <c r="N35" s="49" t="s">
        <v>24</v>
      </c>
      <c r="O35" s="49"/>
      <c r="P35" s="50"/>
      <c r="Q35" s="50"/>
      <c r="R35" s="50"/>
      <c r="T35" s="49" t="s">
        <v>24</v>
      </c>
      <c r="U35" s="49">
        <f t="shared" ref="U35:X35" si="24">SUM(C35,I35,O35)</f>
        <v>0</v>
      </c>
      <c r="V35" s="50">
        <f t="shared" si="24"/>
        <v>0</v>
      </c>
      <c r="W35" s="50">
        <f t="shared" si="24"/>
        <v>0</v>
      </c>
      <c r="X35" s="50">
        <f t="shared" si="24"/>
        <v>0</v>
      </c>
    </row>
    <row r="36" ht="15.75" customHeight="1">
      <c r="B36" s="49" t="s">
        <v>25</v>
      </c>
      <c r="C36" s="49"/>
      <c r="D36" s="50"/>
      <c r="E36" s="50"/>
      <c r="F36" s="50"/>
      <c r="H36" s="49" t="s">
        <v>25</v>
      </c>
      <c r="I36" s="49"/>
      <c r="J36" s="49"/>
      <c r="K36" s="49"/>
      <c r="L36" s="49"/>
      <c r="N36" s="49" t="s">
        <v>25</v>
      </c>
      <c r="O36" s="49"/>
      <c r="P36" s="50"/>
      <c r="Q36" s="50"/>
      <c r="R36" s="50"/>
      <c r="T36" s="49" t="s">
        <v>25</v>
      </c>
      <c r="U36" s="49">
        <f t="shared" ref="U36:X36" si="25">SUM(C36,I36,O36)</f>
        <v>0</v>
      </c>
      <c r="V36" s="50">
        <f t="shared" si="25"/>
        <v>0</v>
      </c>
      <c r="W36" s="50">
        <f t="shared" si="25"/>
        <v>0</v>
      </c>
      <c r="X36" s="50">
        <f t="shared" si="25"/>
        <v>0</v>
      </c>
    </row>
    <row r="37" ht="15.75" customHeight="1">
      <c r="B37" s="49" t="s">
        <v>26</v>
      </c>
      <c r="C37" s="49"/>
      <c r="D37" s="50"/>
      <c r="E37" s="50"/>
      <c r="F37" s="50"/>
      <c r="H37" s="49" t="s">
        <v>26</v>
      </c>
      <c r="I37" s="49"/>
      <c r="J37" s="49"/>
      <c r="K37" s="49"/>
      <c r="L37" s="49"/>
      <c r="N37" s="49" t="s">
        <v>26</v>
      </c>
      <c r="O37" s="49"/>
      <c r="P37" s="50"/>
      <c r="Q37" s="50"/>
      <c r="R37" s="50"/>
      <c r="T37" s="49" t="s">
        <v>26</v>
      </c>
      <c r="U37" s="49">
        <f t="shared" ref="U37:X37" si="26">SUM(C37,I37,O37)</f>
        <v>0</v>
      </c>
      <c r="V37" s="50">
        <f t="shared" si="26"/>
        <v>0</v>
      </c>
      <c r="W37" s="50">
        <f t="shared" si="26"/>
        <v>0</v>
      </c>
      <c r="X37" s="50">
        <f t="shared" si="26"/>
        <v>0</v>
      </c>
    </row>
    <row r="38" ht="15.75" customHeight="1">
      <c r="B38" s="49" t="s">
        <v>27</v>
      </c>
      <c r="C38" s="49"/>
      <c r="D38" s="50"/>
      <c r="E38" s="50"/>
      <c r="F38" s="50"/>
      <c r="H38" s="49" t="s">
        <v>27</v>
      </c>
      <c r="I38" s="49"/>
      <c r="J38" s="49"/>
      <c r="K38" s="49"/>
      <c r="L38" s="49"/>
      <c r="N38" s="49" t="s">
        <v>27</v>
      </c>
      <c r="O38" s="49"/>
      <c r="P38" s="50"/>
      <c r="Q38" s="50"/>
      <c r="R38" s="50"/>
      <c r="T38" s="49" t="s">
        <v>27</v>
      </c>
      <c r="U38" s="49">
        <f t="shared" ref="U38:X38" si="27">SUM(C38,I38,O38)</f>
        <v>0</v>
      </c>
      <c r="V38" s="50">
        <f t="shared" si="27"/>
        <v>0</v>
      </c>
      <c r="W38" s="50">
        <f t="shared" si="27"/>
        <v>0</v>
      </c>
      <c r="X38" s="50">
        <f t="shared" si="27"/>
        <v>0</v>
      </c>
    </row>
    <row r="39" ht="15.75" customHeight="1">
      <c r="B39" s="49" t="s">
        <v>28</v>
      </c>
      <c r="C39" s="49"/>
      <c r="D39" s="50"/>
      <c r="E39" s="50"/>
      <c r="F39" s="50"/>
      <c r="H39" s="49" t="s">
        <v>28</v>
      </c>
      <c r="I39" s="49"/>
      <c r="J39" s="49"/>
      <c r="K39" s="49"/>
      <c r="L39" s="49"/>
      <c r="N39" s="49" t="s">
        <v>28</v>
      </c>
      <c r="O39" s="49"/>
      <c r="P39" s="50"/>
      <c r="Q39" s="50"/>
      <c r="R39" s="50"/>
      <c r="T39" s="49" t="s">
        <v>28</v>
      </c>
      <c r="U39" s="49">
        <f t="shared" ref="U39:X39" si="28">SUM(C39,I39,O39)</f>
        <v>0</v>
      </c>
      <c r="V39" s="50">
        <f t="shared" si="28"/>
        <v>0</v>
      </c>
      <c r="W39" s="50">
        <f t="shared" si="28"/>
        <v>0</v>
      </c>
      <c r="X39" s="50">
        <f t="shared" si="28"/>
        <v>0</v>
      </c>
    </row>
    <row r="40" ht="15.75" customHeight="1">
      <c r="B40" s="49" t="s">
        <v>29</v>
      </c>
      <c r="C40" s="49"/>
      <c r="D40" s="50"/>
      <c r="E40" s="50"/>
      <c r="F40" s="50"/>
      <c r="H40" s="49" t="s">
        <v>29</v>
      </c>
      <c r="I40" s="49"/>
      <c r="J40" s="49"/>
      <c r="K40" s="49"/>
      <c r="L40" s="49"/>
      <c r="N40" s="49" t="s">
        <v>29</v>
      </c>
      <c r="O40" s="49"/>
      <c r="P40" s="50"/>
      <c r="Q40" s="50"/>
      <c r="R40" s="50"/>
      <c r="T40" s="49" t="s">
        <v>29</v>
      </c>
      <c r="U40" s="49">
        <f t="shared" ref="U40:X40" si="29">SUM(C40,I40,O40)</f>
        <v>0</v>
      </c>
      <c r="V40" s="50">
        <f t="shared" si="29"/>
        <v>0</v>
      </c>
      <c r="W40" s="50">
        <f t="shared" si="29"/>
        <v>0</v>
      </c>
      <c r="X40" s="50">
        <f t="shared" si="29"/>
        <v>0</v>
      </c>
    </row>
    <row r="41" ht="15.75" customHeight="1">
      <c r="B41" s="55"/>
      <c r="C41" s="7"/>
      <c r="D41" s="7"/>
      <c r="E41" s="7"/>
      <c r="F41" s="7"/>
      <c r="H41" s="55"/>
      <c r="I41" s="7"/>
      <c r="J41" s="7"/>
      <c r="K41" s="7"/>
      <c r="L41" s="7"/>
      <c r="N41" s="55"/>
      <c r="O41" s="7"/>
      <c r="P41" s="7"/>
      <c r="Q41" s="7"/>
      <c r="R41" s="7"/>
      <c r="T41" s="55"/>
      <c r="U41" s="7"/>
      <c r="V41" s="7"/>
      <c r="W41" s="7"/>
      <c r="X41" s="7"/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9">
    <mergeCell ref="M5:N5"/>
    <mergeCell ref="O5:R5"/>
    <mergeCell ref="N6:R7"/>
    <mergeCell ref="S5:T5"/>
    <mergeCell ref="U5:X5"/>
    <mergeCell ref="T6:X7"/>
    <mergeCell ref="Z6:AB7"/>
    <mergeCell ref="AD6:AF7"/>
    <mergeCell ref="T11:X11"/>
    <mergeCell ref="T12:X13"/>
    <mergeCell ref="Z5:AB5"/>
    <mergeCell ref="AD5:AF5"/>
    <mergeCell ref="C1:F2"/>
    <mergeCell ref="I1:L2"/>
    <mergeCell ref="O1:R2"/>
    <mergeCell ref="U1:X2"/>
    <mergeCell ref="Z1:AB2"/>
    <mergeCell ref="AD1:AF2"/>
    <mergeCell ref="C5:F5"/>
    <mergeCell ref="G5:H5"/>
    <mergeCell ref="I5:L5"/>
    <mergeCell ref="B6:F7"/>
    <mergeCell ref="H6:L7"/>
    <mergeCell ref="B11:F11"/>
    <mergeCell ref="H11:L11"/>
    <mergeCell ref="H12:L13"/>
    <mergeCell ref="T25:X25"/>
    <mergeCell ref="T26:X27"/>
    <mergeCell ref="B41:F41"/>
    <mergeCell ref="H41:L41"/>
    <mergeCell ref="N41:R41"/>
    <mergeCell ref="T41:X41"/>
    <mergeCell ref="B12:F13"/>
    <mergeCell ref="B25:F25"/>
    <mergeCell ref="H25:L25"/>
    <mergeCell ref="N25:R25"/>
    <mergeCell ref="B26:F27"/>
    <mergeCell ref="H26:L27"/>
    <mergeCell ref="N26:R27"/>
  </mergeCells>
  <printOptions/>
  <pageMargins bottom="0.787401575" footer="0.0" header="0.0" left="0.511811024" right="0.511811024" top="0.787401575"/>
  <pageSetup orientation="landscape"/>
  <drawing r:id="rId1"/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71"/>
    <col customWidth="1" min="2" max="2" width="34.29"/>
    <col customWidth="1" min="3" max="3" width="21.86"/>
    <col customWidth="1" min="4" max="4" width="23.86"/>
    <col customWidth="1" min="5" max="5" width="22.14"/>
    <col customWidth="1" min="6" max="6" width="19.14"/>
    <col customWidth="1" min="7" max="7" width="2.71"/>
    <col customWidth="1" min="8" max="8" width="19.0"/>
    <col customWidth="1" min="9" max="9" width="17.29"/>
    <col customWidth="1" min="10" max="10" width="23.86"/>
    <col customWidth="1" min="11" max="11" width="22.14"/>
    <col customWidth="1" min="12" max="12" width="19.14"/>
    <col customWidth="1" min="13" max="13" width="2.71"/>
    <col customWidth="1" min="14" max="14" width="18.0"/>
    <col customWidth="1" min="15" max="15" width="21.86"/>
    <col customWidth="1" min="16" max="16" width="23.86"/>
    <col customWidth="1" min="17" max="17" width="22.14"/>
    <col customWidth="1" min="18" max="18" width="19.14"/>
    <col customWidth="1" min="19" max="19" width="2.71"/>
    <col customWidth="1" min="20" max="20" width="18.0"/>
    <col customWidth="1" min="21" max="21" width="17.29"/>
    <col customWidth="1" min="22" max="22" width="23.86"/>
    <col customWidth="1" min="23" max="23" width="22.14"/>
    <col customWidth="1" min="24" max="24" width="19.14"/>
    <col customWidth="1" min="25" max="25" width="2.71"/>
    <col customWidth="1" min="26" max="26" width="18.0"/>
    <col customWidth="1" min="27" max="27" width="21.86"/>
    <col customWidth="1" min="28" max="28" width="23.86"/>
    <col customWidth="1" min="29" max="29" width="22.14"/>
    <col customWidth="1" min="30" max="30" width="19.14"/>
    <col customWidth="1" min="31" max="31" width="2.71"/>
    <col customWidth="1" min="32" max="32" width="18.0"/>
    <col customWidth="1" min="33" max="33" width="17.29"/>
    <col customWidth="1" min="34" max="34" width="23.86"/>
    <col customWidth="1" min="35" max="35" width="22.14"/>
    <col customWidth="1" min="36" max="36" width="19.14"/>
  </cols>
  <sheetData>
    <row r="1" ht="15.0" customHeight="1">
      <c r="B1" s="56" t="s">
        <v>36</v>
      </c>
      <c r="C1" s="7"/>
      <c r="D1" s="7"/>
      <c r="E1" s="7"/>
      <c r="F1" s="8"/>
      <c r="G1" s="57"/>
      <c r="H1" s="56" t="s">
        <v>37</v>
      </c>
      <c r="I1" s="7"/>
      <c r="J1" s="7"/>
      <c r="K1" s="7"/>
      <c r="L1" s="8"/>
      <c r="M1" s="57"/>
      <c r="N1" s="56" t="s">
        <v>38</v>
      </c>
      <c r="O1" s="7"/>
      <c r="P1" s="7"/>
      <c r="Q1" s="7"/>
      <c r="R1" s="8"/>
      <c r="T1" s="56" t="s">
        <v>39</v>
      </c>
      <c r="U1" s="7"/>
      <c r="V1" s="7"/>
      <c r="W1" s="7"/>
      <c r="X1" s="8"/>
      <c r="Z1" s="56" t="s">
        <v>40</v>
      </c>
      <c r="AA1" s="7"/>
      <c r="AB1" s="7"/>
      <c r="AC1" s="7"/>
      <c r="AD1" s="8"/>
      <c r="AF1" s="56" t="s">
        <v>41</v>
      </c>
      <c r="AG1" s="7"/>
      <c r="AH1" s="7"/>
      <c r="AI1" s="7"/>
      <c r="AJ1" s="8"/>
    </row>
    <row r="2" ht="15.0" customHeight="1">
      <c r="B2" s="13"/>
      <c r="C2" s="14"/>
      <c r="D2" s="14"/>
      <c r="E2" s="14"/>
      <c r="F2" s="15"/>
      <c r="G2" s="57"/>
      <c r="H2" s="13"/>
      <c r="I2" s="14"/>
      <c r="J2" s="14"/>
      <c r="K2" s="14"/>
      <c r="L2" s="15"/>
      <c r="M2" s="57"/>
      <c r="N2" s="13"/>
      <c r="O2" s="14"/>
      <c r="P2" s="14"/>
      <c r="Q2" s="14"/>
      <c r="R2" s="15"/>
      <c r="T2" s="13"/>
      <c r="U2" s="14"/>
      <c r="V2" s="14"/>
      <c r="W2" s="14"/>
      <c r="X2" s="15"/>
      <c r="Z2" s="13"/>
      <c r="AA2" s="14"/>
      <c r="AB2" s="14"/>
      <c r="AC2" s="14"/>
      <c r="AD2" s="15"/>
      <c r="AF2" s="13"/>
      <c r="AG2" s="14"/>
      <c r="AH2" s="14"/>
      <c r="AI2" s="14"/>
      <c r="AJ2" s="15"/>
    </row>
    <row r="3">
      <c r="B3" s="58" t="s">
        <v>42</v>
      </c>
      <c r="C3" s="58" t="s">
        <v>43</v>
      </c>
      <c r="D3" s="58" t="s">
        <v>44</v>
      </c>
      <c r="E3" s="58" t="s">
        <v>45</v>
      </c>
      <c r="F3" s="58" t="s">
        <v>46</v>
      </c>
      <c r="H3" s="58" t="s">
        <v>42</v>
      </c>
      <c r="I3" s="58" t="s">
        <v>47</v>
      </c>
      <c r="J3" s="58" t="s">
        <v>44</v>
      </c>
      <c r="K3" s="58" t="s">
        <v>45</v>
      </c>
      <c r="L3" s="58" t="s">
        <v>46</v>
      </c>
      <c r="N3" s="58" t="s">
        <v>42</v>
      </c>
      <c r="O3" s="58" t="s">
        <v>43</v>
      </c>
      <c r="P3" s="58" t="s">
        <v>44</v>
      </c>
      <c r="Q3" s="58" t="s">
        <v>45</v>
      </c>
      <c r="R3" s="58" t="s">
        <v>46</v>
      </c>
      <c r="T3" s="58" t="s">
        <v>42</v>
      </c>
      <c r="U3" s="58" t="s">
        <v>47</v>
      </c>
      <c r="V3" s="58" t="s">
        <v>44</v>
      </c>
      <c r="W3" s="58" t="s">
        <v>45</v>
      </c>
      <c r="X3" s="58" t="s">
        <v>46</v>
      </c>
      <c r="Z3" s="58" t="s">
        <v>42</v>
      </c>
      <c r="AA3" s="58" t="s">
        <v>43</v>
      </c>
      <c r="AB3" s="58" t="s">
        <v>44</v>
      </c>
      <c r="AC3" s="58" t="s">
        <v>45</v>
      </c>
      <c r="AD3" s="58" t="s">
        <v>46</v>
      </c>
      <c r="AF3" s="58" t="s">
        <v>42</v>
      </c>
      <c r="AG3" s="58" t="s">
        <v>48</v>
      </c>
      <c r="AH3" s="58" t="s">
        <v>44</v>
      </c>
      <c r="AI3" s="58" t="s">
        <v>45</v>
      </c>
      <c r="AJ3" s="58" t="s">
        <v>46</v>
      </c>
    </row>
    <row r="4">
      <c r="B4" s="59" t="s">
        <v>49</v>
      </c>
      <c r="C4" s="58">
        <v>5.0</v>
      </c>
      <c r="D4" s="60">
        <v>616.1</v>
      </c>
      <c r="E4" s="60">
        <v>754.5</v>
      </c>
      <c r="F4" s="60">
        <v>138.4</v>
      </c>
      <c r="H4" s="59" t="s">
        <v>50</v>
      </c>
      <c r="I4" s="58">
        <v>6.0</v>
      </c>
      <c r="J4" s="61">
        <v>830.0</v>
      </c>
      <c r="K4" s="61">
        <v>947.49</v>
      </c>
      <c r="L4" s="61">
        <v>117.49000000000001</v>
      </c>
      <c r="N4" s="59" t="s">
        <v>51</v>
      </c>
      <c r="O4" s="58">
        <v>9.0</v>
      </c>
      <c r="P4" s="61">
        <v>1464.5</v>
      </c>
      <c r="Q4" s="61">
        <v>1618.7000000000003</v>
      </c>
      <c r="R4" s="61">
        <v>154.19999999999996</v>
      </c>
      <c r="T4" s="59" t="s">
        <v>52</v>
      </c>
      <c r="U4" s="58">
        <v>16.0</v>
      </c>
      <c r="V4" s="61">
        <v>99.0</v>
      </c>
      <c r="W4" s="61">
        <v>275.0</v>
      </c>
      <c r="X4" s="61">
        <v>176.0</v>
      </c>
      <c r="Z4" s="59" t="s">
        <v>53</v>
      </c>
      <c r="AA4" s="58">
        <v>23.0</v>
      </c>
      <c r="AB4" s="58">
        <v>499.79000000000013</v>
      </c>
      <c r="AC4" s="58">
        <v>666.4199999999997</v>
      </c>
      <c r="AD4" s="58">
        <v>166.6299999999999</v>
      </c>
      <c r="AF4" s="59" t="s">
        <v>54</v>
      </c>
      <c r="AG4" s="58">
        <v>23.0</v>
      </c>
      <c r="AH4" s="58">
        <v>499.79000000000013</v>
      </c>
      <c r="AI4" s="58">
        <v>666.4199999999997</v>
      </c>
      <c r="AJ4" s="58">
        <v>166.6299999999999</v>
      </c>
    </row>
    <row r="5">
      <c r="B5" s="59" t="s">
        <v>55</v>
      </c>
      <c r="C5" s="58">
        <v>3.0</v>
      </c>
      <c r="D5" s="60">
        <v>320.0</v>
      </c>
      <c r="E5" s="60">
        <v>557.5</v>
      </c>
      <c r="F5" s="60">
        <v>237.5</v>
      </c>
      <c r="H5" s="59" t="s">
        <v>56</v>
      </c>
      <c r="I5" s="58">
        <v>5.0</v>
      </c>
      <c r="J5" s="61">
        <v>312.77</v>
      </c>
      <c r="K5" s="61">
        <v>479.9</v>
      </c>
      <c r="L5" s="61">
        <v>167.13</v>
      </c>
      <c r="N5" s="59" t="s">
        <v>57</v>
      </c>
      <c r="O5" s="58">
        <v>3.0</v>
      </c>
      <c r="P5" s="61">
        <v>297.9</v>
      </c>
      <c r="Q5" s="61">
        <v>240.0</v>
      </c>
      <c r="R5" s="61">
        <v>-57.900000000000006</v>
      </c>
      <c r="T5" s="59" t="s">
        <v>58</v>
      </c>
      <c r="U5" s="58">
        <v>11.0</v>
      </c>
      <c r="V5" s="61">
        <v>111.5</v>
      </c>
      <c r="W5" s="61">
        <v>160.0</v>
      </c>
      <c r="X5" s="61">
        <v>48.5</v>
      </c>
      <c r="Z5" s="59" t="s">
        <v>59</v>
      </c>
      <c r="AA5" s="58">
        <v>6.0</v>
      </c>
      <c r="AB5" s="58">
        <v>189.4</v>
      </c>
      <c r="AC5" s="58">
        <v>239.4</v>
      </c>
      <c r="AD5" s="58">
        <v>50.0</v>
      </c>
      <c r="AF5" s="59" t="s">
        <v>60</v>
      </c>
      <c r="AG5" s="58">
        <v>6.0</v>
      </c>
      <c r="AH5" s="58">
        <v>189.4</v>
      </c>
      <c r="AI5" s="58">
        <v>239.4</v>
      </c>
      <c r="AJ5" s="58">
        <v>50.0</v>
      </c>
    </row>
    <row r="6">
      <c r="B6" s="59" t="s">
        <v>61</v>
      </c>
      <c r="C6" s="58">
        <v>2.0</v>
      </c>
      <c r="D6" s="60">
        <v>259.8</v>
      </c>
      <c r="E6" s="60">
        <v>426.5</v>
      </c>
      <c r="F6" s="60">
        <v>166.69999999999996</v>
      </c>
      <c r="H6" s="59" t="s">
        <v>62</v>
      </c>
      <c r="I6" s="58">
        <v>4.0</v>
      </c>
      <c r="J6" s="61">
        <v>440.0</v>
      </c>
      <c r="K6" s="61">
        <v>556.29</v>
      </c>
      <c r="L6" s="61">
        <v>116.29000000000002</v>
      </c>
      <c r="N6" s="59" t="s">
        <v>63</v>
      </c>
      <c r="O6" s="58">
        <v>6.0</v>
      </c>
      <c r="P6" s="61">
        <v>0.0</v>
      </c>
      <c r="Q6" s="61">
        <v>78.0</v>
      </c>
      <c r="R6" s="61">
        <v>78.0</v>
      </c>
      <c r="T6" s="59" t="s">
        <v>54</v>
      </c>
      <c r="U6" s="58">
        <v>5.0</v>
      </c>
      <c r="V6" s="61">
        <v>675.8</v>
      </c>
      <c r="W6" s="61">
        <v>768.9</v>
      </c>
      <c r="X6" s="61">
        <v>93.09999999999997</v>
      </c>
      <c r="Z6" s="59" t="s">
        <v>64</v>
      </c>
      <c r="AA6" s="58">
        <v>1.0</v>
      </c>
      <c r="AB6" s="58">
        <v>49.9</v>
      </c>
      <c r="AC6" s="58">
        <v>49.9</v>
      </c>
      <c r="AD6" s="58">
        <v>0.0</v>
      </c>
      <c r="AF6" s="59" t="s">
        <v>65</v>
      </c>
      <c r="AG6" s="58">
        <v>1.0</v>
      </c>
      <c r="AH6" s="58">
        <v>49.9</v>
      </c>
      <c r="AI6" s="58">
        <v>49.9</v>
      </c>
      <c r="AJ6" s="58">
        <v>0.0</v>
      </c>
    </row>
    <row r="7">
      <c r="B7" s="59" t="s">
        <v>51</v>
      </c>
      <c r="C7" s="58">
        <v>2.0</v>
      </c>
      <c r="D7" s="60">
        <v>330.0</v>
      </c>
      <c r="E7" s="60">
        <v>400.0</v>
      </c>
      <c r="F7" s="60">
        <v>70.0</v>
      </c>
      <c r="H7" s="59" t="s">
        <v>52</v>
      </c>
      <c r="I7" s="58">
        <v>4.0</v>
      </c>
      <c r="J7" s="61">
        <v>290.0</v>
      </c>
      <c r="K7" s="61">
        <v>627.87</v>
      </c>
      <c r="L7" s="61">
        <v>337.87</v>
      </c>
      <c r="N7" s="59" t="s">
        <v>66</v>
      </c>
      <c r="O7" s="58">
        <v>5.0</v>
      </c>
      <c r="P7" s="61">
        <v>0.0</v>
      </c>
      <c r="Q7" s="61">
        <v>65.0</v>
      </c>
      <c r="R7" s="61">
        <v>65.0</v>
      </c>
      <c r="T7" s="59" t="s">
        <v>60</v>
      </c>
      <c r="U7" s="58">
        <v>2.0</v>
      </c>
      <c r="V7" s="61">
        <v>534.8</v>
      </c>
      <c r="W7" s="61">
        <v>549.8</v>
      </c>
      <c r="X7" s="61">
        <v>15.0</v>
      </c>
      <c r="Z7" s="59" t="s">
        <v>67</v>
      </c>
      <c r="AA7" s="58">
        <v>30.0</v>
      </c>
      <c r="AB7" s="58">
        <v>739.0900000000004</v>
      </c>
      <c r="AC7" s="58">
        <v>955.7199999999995</v>
      </c>
      <c r="AD7" s="58">
        <v>216.6299999999998</v>
      </c>
      <c r="AF7" s="59" t="s">
        <v>67</v>
      </c>
      <c r="AG7" s="58">
        <v>30.0</v>
      </c>
      <c r="AH7" s="58">
        <v>739.0900000000004</v>
      </c>
      <c r="AI7" s="58">
        <v>955.7199999999995</v>
      </c>
      <c r="AJ7" s="58">
        <v>216.6299999999998</v>
      </c>
    </row>
    <row r="8">
      <c r="B8" s="59" t="s">
        <v>68</v>
      </c>
      <c r="C8" s="58">
        <v>3.0</v>
      </c>
      <c r="D8" s="60">
        <v>320.0</v>
      </c>
      <c r="E8" s="60">
        <v>380.5</v>
      </c>
      <c r="F8" s="60">
        <v>60.5</v>
      </c>
      <c r="H8" s="59" t="s">
        <v>69</v>
      </c>
      <c r="I8" s="58">
        <v>4.0</v>
      </c>
      <c r="J8" s="61">
        <v>532.1</v>
      </c>
      <c r="K8" s="61">
        <v>717.39</v>
      </c>
      <c r="L8" s="61">
        <v>185.28999999999996</v>
      </c>
      <c r="N8" s="59" t="s">
        <v>70</v>
      </c>
      <c r="O8" s="58">
        <v>5.0</v>
      </c>
      <c r="P8" s="61">
        <v>0.0</v>
      </c>
      <c r="Q8" s="61">
        <v>65.0</v>
      </c>
      <c r="R8" s="61">
        <v>65.0</v>
      </c>
      <c r="T8" s="59" t="s">
        <v>65</v>
      </c>
      <c r="U8" s="58">
        <v>1.0</v>
      </c>
      <c r="V8" s="61">
        <v>239.9</v>
      </c>
      <c r="W8" s="61">
        <v>280.0</v>
      </c>
      <c r="X8" s="61">
        <v>40.099999999999994</v>
      </c>
    </row>
    <row r="9">
      <c r="B9" s="59" t="s">
        <v>71</v>
      </c>
      <c r="C9" s="58">
        <v>2.0</v>
      </c>
      <c r="D9" s="60">
        <v>170.0</v>
      </c>
      <c r="E9" s="60">
        <v>378.42</v>
      </c>
      <c r="F9" s="60">
        <v>208.42000000000002</v>
      </c>
      <c r="H9" s="59" t="s">
        <v>72</v>
      </c>
      <c r="I9" s="58">
        <v>4.0</v>
      </c>
      <c r="J9" s="61">
        <v>340.0</v>
      </c>
      <c r="K9" s="61">
        <v>751.89</v>
      </c>
      <c r="L9" s="61">
        <v>411.89</v>
      </c>
      <c r="N9" s="59" t="s">
        <v>73</v>
      </c>
      <c r="O9" s="58">
        <v>4.0</v>
      </c>
      <c r="P9" s="61">
        <v>0.0</v>
      </c>
      <c r="Q9" s="61">
        <v>52.0</v>
      </c>
      <c r="R9" s="61">
        <v>52.0</v>
      </c>
      <c r="T9" s="59" t="s">
        <v>74</v>
      </c>
      <c r="U9" s="58">
        <v>1.0</v>
      </c>
      <c r="V9" s="61">
        <v>14.0</v>
      </c>
      <c r="W9" s="61">
        <v>20.0</v>
      </c>
      <c r="X9" s="61">
        <v>6.0</v>
      </c>
    </row>
    <row r="10">
      <c r="B10" s="59" t="s">
        <v>75</v>
      </c>
      <c r="C10" s="58">
        <v>4.0</v>
      </c>
      <c r="D10" s="60">
        <v>209.45</v>
      </c>
      <c r="E10" s="60">
        <v>320.0</v>
      </c>
      <c r="F10" s="60">
        <v>110.55</v>
      </c>
      <c r="H10" s="59" t="s">
        <v>76</v>
      </c>
      <c r="I10" s="58">
        <v>4.0</v>
      </c>
      <c r="J10" s="61">
        <v>358.79999999999995</v>
      </c>
      <c r="K10" s="61">
        <v>579.6899999999999</v>
      </c>
      <c r="L10" s="61">
        <v>220.89000000000001</v>
      </c>
      <c r="N10" s="59" t="s">
        <v>77</v>
      </c>
      <c r="O10" s="58">
        <v>5.0</v>
      </c>
      <c r="P10" s="61">
        <v>12.5</v>
      </c>
      <c r="Q10" s="61">
        <v>15.0</v>
      </c>
      <c r="R10" s="61">
        <v>2.5</v>
      </c>
      <c r="T10" s="59" t="s">
        <v>56</v>
      </c>
      <c r="U10" s="58">
        <v>1.0</v>
      </c>
      <c r="V10" s="61">
        <v>99.9</v>
      </c>
      <c r="W10" s="61">
        <v>80.0</v>
      </c>
      <c r="X10" s="61">
        <v>-19.900000000000006</v>
      </c>
    </row>
    <row r="11">
      <c r="B11" s="59" t="s">
        <v>78</v>
      </c>
      <c r="C11" s="58">
        <v>1.0</v>
      </c>
      <c r="D11" s="60">
        <v>0.0</v>
      </c>
      <c r="E11" s="60">
        <v>319.99</v>
      </c>
      <c r="F11" s="60">
        <v>319.99</v>
      </c>
      <c r="H11" s="59" t="s">
        <v>79</v>
      </c>
      <c r="I11" s="58">
        <v>3.0</v>
      </c>
      <c r="J11" s="61">
        <v>280.0</v>
      </c>
      <c r="K11" s="61">
        <v>546.4</v>
      </c>
      <c r="L11" s="61">
        <v>266.4</v>
      </c>
      <c r="N11" s="59" t="s">
        <v>67</v>
      </c>
      <c r="O11" s="58">
        <v>37.0</v>
      </c>
      <c r="P11" s="61">
        <v>1774.9</v>
      </c>
      <c r="Q11" s="61">
        <v>2133.7000000000003</v>
      </c>
      <c r="R11" s="61">
        <v>358.79999999999995</v>
      </c>
      <c r="T11" s="59" t="s">
        <v>67</v>
      </c>
      <c r="U11" s="58">
        <v>37.0</v>
      </c>
      <c r="V11" s="61">
        <v>1774.9</v>
      </c>
      <c r="W11" s="61">
        <v>2133.7</v>
      </c>
      <c r="X11" s="61">
        <v>358.79999999999995</v>
      </c>
    </row>
    <row r="12">
      <c r="B12" s="59" t="s">
        <v>80</v>
      </c>
      <c r="C12" s="58">
        <v>2.0</v>
      </c>
      <c r="D12" s="60">
        <v>289.8</v>
      </c>
      <c r="E12" s="60">
        <v>310.12</v>
      </c>
      <c r="F12" s="60">
        <v>20.319999999999993</v>
      </c>
      <c r="H12" s="59" t="s">
        <v>81</v>
      </c>
      <c r="I12" s="58">
        <v>2.0</v>
      </c>
      <c r="J12" s="61">
        <v>148.15</v>
      </c>
      <c r="K12" s="61">
        <v>349.9</v>
      </c>
      <c r="L12" s="61">
        <v>201.75</v>
      </c>
    </row>
    <row r="13">
      <c r="B13" s="59" t="s">
        <v>82</v>
      </c>
      <c r="C13" s="58">
        <v>2.0</v>
      </c>
      <c r="D13" s="60">
        <v>259.9</v>
      </c>
      <c r="E13" s="60">
        <v>309.98</v>
      </c>
      <c r="F13" s="60">
        <v>50.08000000000001</v>
      </c>
      <c r="H13" s="59" t="s">
        <v>58</v>
      </c>
      <c r="I13" s="58">
        <v>2.0</v>
      </c>
      <c r="J13" s="61">
        <v>0.0</v>
      </c>
      <c r="K13" s="61">
        <v>343.52</v>
      </c>
      <c r="L13" s="61">
        <v>343.52</v>
      </c>
    </row>
    <row r="14">
      <c r="B14" s="59" t="s">
        <v>83</v>
      </c>
      <c r="C14" s="58">
        <v>2.0</v>
      </c>
      <c r="D14" s="60">
        <v>213.25</v>
      </c>
      <c r="E14" s="60">
        <v>309.9</v>
      </c>
      <c r="F14" s="60">
        <v>96.65</v>
      </c>
      <c r="H14" s="59" t="s">
        <v>60</v>
      </c>
      <c r="I14" s="58">
        <v>2.0</v>
      </c>
      <c r="J14" s="61">
        <v>289.8</v>
      </c>
      <c r="K14" s="61">
        <v>310.12</v>
      </c>
      <c r="L14" s="61">
        <v>20.319999999999993</v>
      </c>
    </row>
    <row r="15">
      <c r="B15" s="59" t="s">
        <v>84</v>
      </c>
      <c r="C15" s="58">
        <v>2.0</v>
      </c>
      <c r="D15" s="60">
        <v>0.0</v>
      </c>
      <c r="E15" s="60">
        <v>302.87</v>
      </c>
      <c r="F15" s="60">
        <v>302.87</v>
      </c>
      <c r="H15" s="59" t="s">
        <v>65</v>
      </c>
      <c r="I15" s="58">
        <v>1.0</v>
      </c>
      <c r="J15" s="61">
        <v>150.0</v>
      </c>
      <c r="K15" s="61">
        <v>189.9</v>
      </c>
      <c r="L15" s="61">
        <v>39.900000000000006</v>
      </c>
    </row>
    <row r="16">
      <c r="B16" s="59" t="s">
        <v>85</v>
      </c>
      <c r="C16" s="58">
        <v>2.0</v>
      </c>
      <c r="D16" s="60">
        <v>183.32</v>
      </c>
      <c r="E16" s="60">
        <v>298.8</v>
      </c>
      <c r="F16" s="60">
        <v>115.48000000000002</v>
      </c>
      <c r="H16" s="59" t="s">
        <v>74</v>
      </c>
      <c r="I16" s="58">
        <v>1.0</v>
      </c>
      <c r="J16" s="61">
        <v>129.9</v>
      </c>
      <c r="K16" s="61">
        <v>150.9</v>
      </c>
      <c r="L16" s="61">
        <v>21.0</v>
      </c>
    </row>
    <row r="17">
      <c r="B17" s="59" t="s">
        <v>86</v>
      </c>
      <c r="C17" s="58">
        <v>2.0</v>
      </c>
      <c r="D17" s="60">
        <v>145.0</v>
      </c>
      <c r="E17" s="60">
        <v>274.89</v>
      </c>
      <c r="F17" s="60">
        <v>129.89000000000001</v>
      </c>
      <c r="H17" s="59" t="s">
        <v>67</v>
      </c>
      <c r="I17" s="58">
        <v>42.0</v>
      </c>
      <c r="J17" s="61">
        <v>4101.52</v>
      </c>
      <c r="K17" s="61">
        <v>6551.259999999996</v>
      </c>
      <c r="L17" s="61">
        <v>2449.7400000000007</v>
      </c>
    </row>
    <row r="18">
      <c r="B18" s="59" t="s">
        <v>87</v>
      </c>
      <c r="C18" s="58">
        <v>2.0</v>
      </c>
      <c r="D18" s="60">
        <v>205.0</v>
      </c>
      <c r="E18" s="60">
        <v>250.4</v>
      </c>
      <c r="F18" s="60">
        <v>45.400000000000006</v>
      </c>
    </row>
    <row r="19">
      <c r="B19" s="59" t="s">
        <v>88</v>
      </c>
      <c r="C19" s="58">
        <v>1.0</v>
      </c>
      <c r="D19" s="60">
        <v>84.9</v>
      </c>
      <c r="E19" s="60">
        <v>229.9</v>
      </c>
      <c r="F19" s="60">
        <v>145.0</v>
      </c>
    </row>
    <row r="20">
      <c r="B20" s="59" t="s">
        <v>89</v>
      </c>
      <c r="C20" s="58">
        <v>1.0</v>
      </c>
      <c r="D20" s="60">
        <v>170.0</v>
      </c>
      <c r="E20" s="60">
        <v>175.0</v>
      </c>
      <c r="F20" s="60">
        <v>5.0</v>
      </c>
    </row>
    <row r="21" ht="15.75" customHeight="1">
      <c r="B21" s="59" t="s">
        <v>90</v>
      </c>
      <c r="C21" s="58">
        <v>1.0</v>
      </c>
      <c r="D21" s="60">
        <v>80.0</v>
      </c>
      <c r="E21" s="60">
        <v>149.99</v>
      </c>
      <c r="F21" s="60">
        <v>69.99000000000001</v>
      </c>
    </row>
    <row r="22" ht="15.75" customHeight="1">
      <c r="B22" s="59" t="s">
        <v>91</v>
      </c>
      <c r="C22" s="58">
        <v>1.0</v>
      </c>
      <c r="D22" s="60">
        <v>0.0</v>
      </c>
      <c r="E22" s="60">
        <v>147.0</v>
      </c>
      <c r="F22" s="60">
        <v>147.0</v>
      </c>
    </row>
    <row r="23" ht="15.75" customHeight="1">
      <c r="B23" s="59" t="s">
        <v>92</v>
      </c>
      <c r="C23" s="58">
        <v>1.0</v>
      </c>
      <c r="D23" s="60">
        <v>125.0</v>
      </c>
      <c r="E23" s="60">
        <v>130.0</v>
      </c>
      <c r="F23" s="60">
        <v>5.0</v>
      </c>
    </row>
    <row r="24" ht="15.75" customHeight="1">
      <c r="B24" s="59" t="s">
        <v>93</v>
      </c>
      <c r="C24" s="58">
        <v>1.0</v>
      </c>
      <c r="D24" s="60">
        <v>120.0</v>
      </c>
      <c r="E24" s="60">
        <v>125.0</v>
      </c>
      <c r="F24" s="60">
        <v>5.0</v>
      </c>
    </row>
    <row r="25" ht="15.75" customHeight="1">
      <c r="B25" s="59" t="s">
        <v>67</v>
      </c>
      <c r="C25" s="58">
        <v>42.0</v>
      </c>
      <c r="D25" s="60">
        <v>4101.52</v>
      </c>
      <c r="E25" s="60">
        <v>6551.2599999999975</v>
      </c>
      <c r="F25" s="60">
        <v>2449.7400000000002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B1:F2"/>
    <mergeCell ref="H1:L2"/>
    <mergeCell ref="N1:R2"/>
    <mergeCell ref="T1:X2"/>
    <mergeCell ref="Z1:AD2"/>
    <mergeCell ref="AF1:AJ2"/>
  </mergeCells>
  <conditionalFormatting sqref="F4:F24">
    <cfRule type="colorScale" priority="1">
      <colorScale>
        <cfvo type="min"/>
        <cfvo type="max"/>
        <color rgb="FFFFEF9C"/>
        <color rgb="FF63BE7B"/>
      </colorScale>
    </cfRule>
  </conditionalFormatting>
  <conditionalFormatting sqref="E4:E24">
    <cfRule type="colorScale" priority="2">
      <colorScale>
        <cfvo type="min"/>
        <cfvo type="max"/>
        <color rgb="FFFFEF9C"/>
        <color rgb="FF63BE7B"/>
      </colorScale>
    </cfRule>
  </conditionalFormatting>
  <conditionalFormatting sqref="D4:D24">
    <cfRule type="colorScale" priority="3">
      <colorScale>
        <cfvo type="min"/>
        <cfvo type="max"/>
        <color rgb="FFFFEF9C"/>
        <color rgb="FF63BE7B"/>
      </colorScale>
    </cfRule>
  </conditionalFormatting>
  <conditionalFormatting sqref="C4:C24">
    <cfRule type="colorScale" priority="4">
      <colorScale>
        <cfvo type="min"/>
        <cfvo type="max"/>
        <color rgb="FFFFEF9C"/>
        <color rgb="FF63BE7B"/>
      </colorScale>
    </cfRule>
  </conditionalFormatting>
  <conditionalFormatting sqref="Q4:Q10">
    <cfRule type="colorScale" priority="5">
      <colorScale>
        <cfvo type="min"/>
        <cfvo type="max"/>
        <color rgb="FFFFEF9C"/>
        <color rgb="FF63BE7B"/>
      </colorScale>
    </cfRule>
  </conditionalFormatting>
  <conditionalFormatting sqref="R4:R10">
    <cfRule type="colorScale" priority="6">
      <colorScale>
        <cfvo type="min"/>
        <cfvo type="max"/>
        <color rgb="FFFFEF9C"/>
        <color rgb="FF63BE7B"/>
      </colorScale>
    </cfRule>
  </conditionalFormatting>
  <conditionalFormatting sqref="P4:P10">
    <cfRule type="colorScale" priority="7">
      <colorScale>
        <cfvo type="min"/>
        <cfvo type="max"/>
        <color rgb="FFFFEF9C"/>
        <color rgb="FF63BE7B"/>
      </colorScale>
    </cfRule>
  </conditionalFormatting>
  <conditionalFormatting sqref="O4:O10">
    <cfRule type="colorScale" priority="8">
      <colorScale>
        <cfvo type="min"/>
        <cfvo type="max"/>
        <color rgb="FFFFEF9C"/>
        <color rgb="FF63BE7B"/>
      </colorScale>
    </cfRule>
  </conditionalFormatting>
  <conditionalFormatting sqref="I4:I16">
    <cfRule type="colorScale" priority="9">
      <colorScale>
        <cfvo type="min"/>
        <cfvo type="max"/>
        <color rgb="FFFFEF9C"/>
        <color rgb="FF63BE7B"/>
      </colorScale>
    </cfRule>
  </conditionalFormatting>
  <conditionalFormatting sqref="J4:J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K4:K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L4:L16">
    <cfRule type="colorScale" priority="12">
      <colorScale>
        <cfvo type="min"/>
        <cfvo type="max"/>
        <color rgb="FFFFEF9C"/>
        <color rgb="FF63BE7B"/>
      </colorScale>
    </cfRule>
  </conditionalFormatting>
  <conditionalFormatting sqref="U4:U10">
    <cfRule type="colorScale" priority="13">
      <colorScale>
        <cfvo type="min"/>
        <cfvo type="max"/>
        <color rgb="FFFFEF9C"/>
        <color rgb="FF63BE7B"/>
      </colorScale>
    </cfRule>
  </conditionalFormatting>
  <conditionalFormatting sqref="V4:V10">
    <cfRule type="colorScale" priority="14">
      <colorScale>
        <cfvo type="min"/>
        <cfvo type="max"/>
        <color rgb="FFFFEF9C"/>
        <color rgb="FF63BE7B"/>
      </colorScale>
    </cfRule>
  </conditionalFormatting>
  <conditionalFormatting sqref="W4:W10">
    <cfRule type="colorScale" priority="15">
      <colorScale>
        <cfvo type="min"/>
        <cfvo type="max"/>
        <color rgb="FFFFEF9C"/>
        <color rgb="FF63BE7B"/>
      </colorScale>
    </cfRule>
  </conditionalFormatting>
  <conditionalFormatting sqref="X4:X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AJ4:AJ6">
    <cfRule type="colorScale" priority="17">
      <colorScale>
        <cfvo type="min"/>
        <cfvo type="max"/>
        <color rgb="FFFFEF9C"/>
        <color rgb="FF63BE7B"/>
      </colorScale>
    </cfRule>
  </conditionalFormatting>
  <conditionalFormatting sqref="AI4:AI6">
    <cfRule type="colorScale" priority="18">
      <colorScale>
        <cfvo type="min"/>
        <cfvo type="max"/>
        <color rgb="FFFFEF9C"/>
        <color rgb="FF63BE7B"/>
      </colorScale>
    </cfRule>
  </conditionalFormatting>
  <conditionalFormatting sqref="AH4:AH6">
    <cfRule type="colorScale" priority="19">
      <colorScale>
        <cfvo type="min"/>
        <cfvo type="max"/>
        <color rgb="FFFFEF9C"/>
        <color rgb="FF63BE7B"/>
      </colorScale>
    </cfRule>
  </conditionalFormatting>
  <conditionalFormatting sqref="AG4:AG6">
    <cfRule type="colorScale" priority="20">
      <colorScale>
        <cfvo type="min"/>
        <cfvo type="max"/>
        <color rgb="FFFFEF9C"/>
        <color rgb="FF63BE7B"/>
      </colorScale>
    </cfRule>
  </conditionalFormatting>
  <conditionalFormatting sqref="AD4:AD6">
    <cfRule type="colorScale" priority="21">
      <colorScale>
        <cfvo type="min"/>
        <cfvo type="max"/>
        <color rgb="FFFFEF9C"/>
        <color rgb="FF63BE7B"/>
      </colorScale>
    </cfRule>
  </conditionalFormatting>
  <conditionalFormatting sqref="AC4:AC6">
    <cfRule type="colorScale" priority="22">
      <colorScale>
        <cfvo type="min"/>
        <cfvo type="max"/>
        <color rgb="FFFFEF9C"/>
        <color rgb="FF63BE7B"/>
      </colorScale>
    </cfRule>
  </conditionalFormatting>
  <conditionalFormatting sqref="AA4:AA6">
    <cfRule type="colorScale" priority="23">
      <colorScale>
        <cfvo type="min"/>
        <cfvo type="max"/>
        <color rgb="FFFFEF9C"/>
        <color rgb="FF63BE7B"/>
      </colorScale>
    </cfRule>
  </conditionalFormatting>
  <conditionalFormatting sqref="AB4:AB6">
    <cfRule type="colorScale" priority="24">
      <colorScale>
        <cfvo type="min"/>
        <cfvo type="max"/>
        <color rgb="FFFFEF9C"/>
        <color rgb="FF63BE7B"/>
      </colorScale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4.71"/>
    <col customWidth="1" min="2" max="2" width="14.57"/>
    <col customWidth="1" min="3" max="3" width="31.43"/>
    <col customWidth="1" min="4" max="4" width="34.29"/>
    <col customWidth="1" min="5" max="5" width="15.43"/>
    <col customWidth="1" min="6" max="6" width="15.14"/>
    <col customWidth="1" min="7" max="7" width="19.0"/>
    <col customWidth="1" min="8" max="8" width="20.14"/>
    <col customWidth="1" min="9" max="9" width="18.43"/>
    <col customWidth="1" min="10" max="10" width="15.43"/>
    <col customWidth="1" min="11" max="11" width="8.71"/>
    <col customWidth="1" min="12" max="12" width="30.86"/>
    <col customWidth="1" min="13" max="13" width="15.57"/>
    <col customWidth="1" min="14" max="14" width="16.57"/>
    <col customWidth="1" min="15" max="15" width="15.0"/>
    <col customWidth="1" min="16" max="16" width="20.14"/>
    <col customWidth="1" min="17" max="17" width="18.43"/>
    <col customWidth="1" min="18" max="18" width="15.43"/>
    <col customWidth="1" min="19" max="19" width="8.71"/>
    <col customWidth="1" min="20" max="20" width="16.86"/>
    <col customWidth="1" min="21" max="21" width="13.43"/>
    <col customWidth="1" min="22" max="22" width="15.86"/>
    <col customWidth="1" min="23" max="23" width="20.14"/>
    <col customWidth="1" min="24" max="24" width="18.43"/>
    <col customWidth="1" min="25" max="25" width="15.43"/>
  </cols>
  <sheetData>
    <row r="1">
      <c r="B1" s="56" t="s">
        <v>36</v>
      </c>
      <c r="C1" s="7"/>
      <c r="D1" s="7"/>
      <c r="E1" s="7"/>
      <c r="F1" s="7"/>
      <c r="G1" s="7"/>
      <c r="H1" s="7"/>
      <c r="I1" s="7"/>
      <c r="J1" s="8"/>
      <c r="L1" s="56" t="s">
        <v>38</v>
      </c>
      <c r="M1" s="7"/>
      <c r="N1" s="7"/>
      <c r="O1" s="7"/>
      <c r="P1" s="7"/>
      <c r="Q1" s="7"/>
      <c r="R1" s="8"/>
      <c r="T1" s="56" t="s">
        <v>94</v>
      </c>
      <c r="U1" s="7"/>
      <c r="V1" s="7"/>
      <c r="W1" s="7"/>
      <c r="X1" s="7"/>
      <c r="Y1" s="8"/>
    </row>
    <row r="2">
      <c r="B2" s="13"/>
      <c r="C2" s="14"/>
      <c r="D2" s="14"/>
      <c r="E2" s="14"/>
      <c r="F2" s="14"/>
      <c r="G2" s="14"/>
      <c r="H2" s="14"/>
      <c r="I2" s="14"/>
      <c r="J2" s="15"/>
      <c r="L2" s="13"/>
      <c r="M2" s="14"/>
      <c r="N2" s="14"/>
      <c r="O2" s="14"/>
      <c r="P2" s="14"/>
      <c r="Q2" s="14"/>
      <c r="R2" s="15"/>
      <c r="T2" s="13"/>
      <c r="U2" s="14"/>
      <c r="V2" s="14"/>
      <c r="W2" s="14"/>
      <c r="X2" s="14"/>
      <c r="Y2" s="15"/>
    </row>
    <row r="3">
      <c r="B3" s="29" t="s">
        <v>95</v>
      </c>
      <c r="C3" s="30" t="s">
        <v>96</v>
      </c>
      <c r="D3" s="30" t="s">
        <v>97</v>
      </c>
      <c r="E3" s="30" t="s">
        <v>98</v>
      </c>
      <c r="F3" s="30" t="s">
        <v>99</v>
      </c>
      <c r="G3" s="30" t="s">
        <v>100</v>
      </c>
      <c r="H3" s="30" t="s">
        <v>7</v>
      </c>
      <c r="I3" s="30" t="s">
        <v>8</v>
      </c>
      <c r="J3" s="31" t="s">
        <v>9</v>
      </c>
      <c r="L3" s="29" t="s">
        <v>96</v>
      </c>
      <c r="M3" s="30" t="s">
        <v>97</v>
      </c>
      <c r="N3" s="30" t="s">
        <v>101</v>
      </c>
      <c r="O3" s="30" t="s">
        <v>100</v>
      </c>
      <c r="P3" s="30" t="s">
        <v>7</v>
      </c>
      <c r="Q3" s="30" t="s">
        <v>8</v>
      </c>
      <c r="R3" s="31" t="s">
        <v>9</v>
      </c>
      <c r="T3" s="29" t="s">
        <v>97</v>
      </c>
      <c r="U3" s="30" t="s">
        <v>102</v>
      </c>
      <c r="V3" s="30" t="s">
        <v>103</v>
      </c>
      <c r="W3" s="30" t="s">
        <v>7</v>
      </c>
      <c r="X3" s="30" t="s">
        <v>8</v>
      </c>
      <c r="Y3" s="31" t="s">
        <v>9</v>
      </c>
    </row>
    <row r="4">
      <c r="B4" s="62">
        <v>208.0</v>
      </c>
      <c r="C4" s="63" t="s">
        <v>104</v>
      </c>
      <c r="D4" s="63" t="s">
        <v>83</v>
      </c>
      <c r="E4" s="63" t="s">
        <v>105</v>
      </c>
      <c r="F4" s="63" t="s">
        <v>68</v>
      </c>
      <c r="G4" s="63" t="s">
        <v>81</v>
      </c>
      <c r="H4" s="64">
        <v>63.25</v>
      </c>
      <c r="I4" s="64">
        <v>120.0</v>
      </c>
      <c r="J4" s="65">
        <f>DADOS.GERAL!$I4-DADOS.GERAL!$H4</f>
        <v>56.75</v>
      </c>
      <c r="L4" s="62" t="s">
        <v>106</v>
      </c>
      <c r="M4" s="63" t="s">
        <v>57</v>
      </c>
      <c r="N4" s="63" t="s">
        <v>107</v>
      </c>
      <c r="O4" s="63" t="s">
        <v>56</v>
      </c>
      <c r="P4" s="64">
        <v>99.9</v>
      </c>
      <c r="Q4" s="64">
        <v>80.0</v>
      </c>
      <c r="R4" s="65">
        <f>DADOS.GERAL!$Q4-DADOS.GERAL!$P4</f>
        <v>-19.9</v>
      </c>
      <c r="T4" s="62" t="s">
        <v>64</v>
      </c>
      <c r="U4" s="63" t="s">
        <v>108</v>
      </c>
      <c r="V4" s="63" t="s">
        <v>65</v>
      </c>
      <c r="W4" s="64">
        <v>49.9</v>
      </c>
      <c r="X4" s="64">
        <v>49.9</v>
      </c>
      <c r="Y4" s="65">
        <f>DADOS.GERAL!$X4-DADOS.GERAL!$W4</f>
        <v>0</v>
      </c>
    </row>
    <row r="5">
      <c r="B5" s="62">
        <v>209.0</v>
      </c>
      <c r="C5" s="63" t="s">
        <v>109</v>
      </c>
      <c r="D5" s="63" t="s">
        <v>88</v>
      </c>
      <c r="E5" s="63" t="s">
        <v>105</v>
      </c>
      <c r="F5" s="63" t="s">
        <v>110</v>
      </c>
      <c r="G5" s="63" t="s">
        <v>81</v>
      </c>
      <c r="H5" s="64">
        <v>84.9</v>
      </c>
      <c r="I5" s="64">
        <v>229.9</v>
      </c>
      <c r="J5" s="65">
        <f>DADOS.GERAL!$I5-DADOS.GERAL!$H5</f>
        <v>145</v>
      </c>
      <c r="L5" s="62" t="s">
        <v>111</v>
      </c>
      <c r="M5" s="63" t="s">
        <v>57</v>
      </c>
      <c r="N5" s="63" t="s">
        <v>107</v>
      </c>
      <c r="O5" s="63" t="s">
        <v>52</v>
      </c>
      <c r="P5" s="64">
        <v>99.0</v>
      </c>
      <c r="Q5" s="64">
        <v>80.0</v>
      </c>
      <c r="R5" s="65">
        <f>DADOS.GERAL!$Q5-DADOS.GERAL!$P5</f>
        <v>-19</v>
      </c>
      <c r="T5" s="62" t="s">
        <v>53</v>
      </c>
      <c r="U5" s="63" t="s">
        <v>108</v>
      </c>
      <c r="V5" s="63" t="s">
        <v>54</v>
      </c>
      <c r="W5" s="64">
        <v>21.73</v>
      </c>
      <c r="X5" s="64">
        <v>38.9</v>
      </c>
      <c r="Y5" s="65">
        <f>DADOS.GERAL!$X5-DADOS.GERAL!$W5</f>
        <v>17.17</v>
      </c>
    </row>
    <row r="6">
      <c r="B6" s="62">
        <v>210.0</v>
      </c>
      <c r="C6" s="63" t="s">
        <v>112</v>
      </c>
      <c r="D6" s="63" t="s">
        <v>85</v>
      </c>
      <c r="E6" s="63" t="s">
        <v>113</v>
      </c>
      <c r="F6" s="63" t="s">
        <v>68</v>
      </c>
      <c r="G6" s="63" t="s">
        <v>56</v>
      </c>
      <c r="H6" s="64">
        <v>103.32</v>
      </c>
      <c r="I6" s="64">
        <v>159.9</v>
      </c>
      <c r="J6" s="65">
        <f>DADOS.GERAL!$I6-DADOS.GERAL!$H6</f>
        <v>56.58</v>
      </c>
      <c r="L6" s="62" t="s">
        <v>114</v>
      </c>
      <c r="M6" s="63" t="s">
        <v>63</v>
      </c>
      <c r="N6" s="63" t="s">
        <v>107</v>
      </c>
      <c r="O6" s="63" t="s">
        <v>52</v>
      </c>
      <c r="P6" s="64">
        <v>0.0</v>
      </c>
      <c r="Q6" s="64">
        <v>13.0</v>
      </c>
      <c r="R6" s="65">
        <f>DADOS.GERAL!$Q6-DADOS.GERAL!$P6</f>
        <v>13</v>
      </c>
      <c r="T6" s="62" t="s">
        <v>53</v>
      </c>
      <c r="U6" s="63" t="s">
        <v>115</v>
      </c>
      <c r="V6" s="63" t="s">
        <v>54</v>
      </c>
      <c r="W6" s="64">
        <v>21.73</v>
      </c>
      <c r="X6" s="64">
        <v>24.9</v>
      </c>
      <c r="Y6" s="65">
        <f>DADOS.GERAL!$X6-DADOS.GERAL!$W6</f>
        <v>3.17</v>
      </c>
    </row>
    <row r="7">
      <c r="B7" s="62">
        <v>211.0</v>
      </c>
      <c r="C7" s="63" t="s">
        <v>116</v>
      </c>
      <c r="D7" s="63" t="s">
        <v>75</v>
      </c>
      <c r="E7" s="63" t="s">
        <v>113</v>
      </c>
      <c r="F7" s="63" t="s">
        <v>117</v>
      </c>
      <c r="G7" s="63" t="s">
        <v>56</v>
      </c>
      <c r="H7" s="64">
        <v>52.75</v>
      </c>
      <c r="I7" s="64">
        <v>80.0</v>
      </c>
      <c r="J7" s="65">
        <f>DADOS.GERAL!$I7-DADOS.GERAL!$H7</f>
        <v>27.25</v>
      </c>
      <c r="L7" s="62" t="s">
        <v>118</v>
      </c>
      <c r="M7" s="63" t="s">
        <v>63</v>
      </c>
      <c r="N7" s="63" t="s">
        <v>107</v>
      </c>
      <c r="O7" s="63" t="s">
        <v>52</v>
      </c>
      <c r="P7" s="64">
        <v>0.0</v>
      </c>
      <c r="Q7" s="64">
        <v>13.0</v>
      </c>
      <c r="R7" s="65">
        <f>DADOS.GERAL!$Q7-DADOS.GERAL!$P7</f>
        <v>13</v>
      </c>
      <c r="T7" s="62" t="s">
        <v>53</v>
      </c>
      <c r="U7" s="63" t="s">
        <v>119</v>
      </c>
      <c r="V7" s="63" t="s">
        <v>54</v>
      </c>
      <c r="W7" s="64">
        <v>21.73</v>
      </c>
      <c r="X7" s="64">
        <v>44.9</v>
      </c>
      <c r="Y7" s="65">
        <f>DADOS.GERAL!$X7-DADOS.GERAL!$W7</f>
        <v>23.17</v>
      </c>
    </row>
    <row r="8">
      <c r="B8" s="62">
        <v>212.0</v>
      </c>
      <c r="C8" s="63" t="s">
        <v>120</v>
      </c>
      <c r="D8" s="63" t="s">
        <v>75</v>
      </c>
      <c r="E8" s="63" t="s">
        <v>113</v>
      </c>
      <c r="F8" s="63" t="s">
        <v>117</v>
      </c>
      <c r="G8" s="63" t="s">
        <v>56</v>
      </c>
      <c r="H8" s="64">
        <v>55.59</v>
      </c>
      <c r="I8" s="64">
        <v>80.0</v>
      </c>
      <c r="J8" s="65">
        <f>DADOS.GERAL!$I8-DADOS.GERAL!$H8</f>
        <v>24.41</v>
      </c>
      <c r="L8" s="62" t="s">
        <v>121</v>
      </c>
      <c r="M8" s="63" t="s">
        <v>63</v>
      </c>
      <c r="N8" s="63" t="s">
        <v>107</v>
      </c>
      <c r="O8" s="63" t="s">
        <v>52</v>
      </c>
      <c r="P8" s="64">
        <v>0.0</v>
      </c>
      <c r="Q8" s="64">
        <v>13.0</v>
      </c>
      <c r="R8" s="65">
        <f>DADOS.GERAL!$Q8-DADOS.GERAL!$P8</f>
        <v>13</v>
      </c>
      <c r="T8" s="62" t="s">
        <v>53</v>
      </c>
      <c r="U8" s="63" t="s">
        <v>122</v>
      </c>
      <c r="V8" s="63" t="s">
        <v>54</v>
      </c>
      <c r="W8" s="64">
        <v>21.73</v>
      </c>
      <c r="X8" s="64">
        <v>24.9</v>
      </c>
      <c r="Y8" s="65">
        <f>DADOS.GERAL!$X8-DADOS.GERAL!$W8</f>
        <v>3.17</v>
      </c>
    </row>
    <row r="9">
      <c r="B9" s="62">
        <v>213.0</v>
      </c>
      <c r="C9" s="63" t="s">
        <v>123</v>
      </c>
      <c r="D9" s="63" t="s">
        <v>75</v>
      </c>
      <c r="E9" s="63" t="s">
        <v>113</v>
      </c>
      <c r="F9" s="63" t="s">
        <v>117</v>
      </c>
      <c r="G9" s="63" t="s">
        <v>56</v>
      </c>
      <c r="H9" s="64">
        <v>50.66</v>
      </c>
      <c r="I9" s="64">
        <v>80.0</v>
      </c>
      <c r="J9" s="65">
        <f>DADOS.GERAL!$I9-DADOS.GERAL!$H9</f>
        <v>29.34</v>
      </c>
      <c r="L9" s="62" t="s">
        <v>124</v>
      </c>
      <c r="M9" s="63" t="s">
        <v>63</v>
      </c>
      <c r="N9" s="63" t="s">
        <v>107</v>
      </c>
      <c r="O9" s="63" t="s">
        <v>52</v>
      </c>
      <c r="P9" s="64">
        <v>0.0</v>
      </c>
      <c r="Q9" s="64">
        <v>13.0</v>
      </c>
      <c r="R9" s="65">
        <f>DADOS.GERAL!$Q9-DADOS.GERAL!$P9</f>
        <v>13</v>
      </c>
      <c r="T9" s="62" t="s">
        <v>53</v>
      </c>
      <c r="U9" s="63" t="s">
        <v>125</v>
      </c>
      <c r="V9" s="63" t="s">
        <v>54</v>
      </c>
      <c r="W9" s="64">
        <v>21.73</v>
      </c>
      <c r="X9" s="64">
        <v>39.9</v>
      </c>
      <c r="Y9" s="65">
        <f>DADOS.GERAL!$X9-DADOS.GERAL!$W9</f>
        <v>18.17</v>
      </c>
    </row>
    <row r="10">
      <c r="B10" s="62">
        <v>214.0</v>
      </c>
      <c r="C10" s="63" t="s">
        <v>126</v>
      </c>
      <c r="D10" s="63" t="s">
        <v>75</v>
      </c>
      <c r="E10" s="63" t="s">
        <v>113</v>
      </c>
      <c r="F10" s="63" t="s">
        <v>117</v>
      </c>
      <c r="G10" s="63" t="s">
        <v>56</v>
      </c>
      <c r="H10" s="64">
        <v>50.45</v>
      </c>
      <c r="I10" s="64">
        <v>80.0</v>
      </c>
      <c r="J10" s="65">
        <f>DADOS.GERAL!$I10-DADOS.GERAL!$H10</f>
        <v>29.55</v>
      </c>
      <c r="L10" s="62" t="s">
        <v>127</v>
      </c>
      <c r="M10" s="63" t="s">
        <v>63</v>
      </c>
      <c r="N10" s="63" t="s">
        <v>107</v>
      </c>
      <c r="O10" s="63" t="s">
        <v>52</v>
      </c>
      <c r="P10" s="64">
        <v>0.0</v>
      </c>
      <c r="Q10" s="64">
        <v>13.0</v>
      </c>
      <c r="R10" s="65">
        <f>DADOS.GERAL!$Q10-DADOS.GERAL!$P10</f>
        <v>13</v>
      </c>
      <c r="T10" s="62" t="s">
        <v>53</v>
      </c>
      <c r="U10" s="63" t="s">
        <v>128</v>
      </c>
      <c r="V10" s="63" t="s">
        <v>54</v>
      </c>
      <c r="W10" s="64">
        <v>21.73</v>
      </c>
      <c r="X10" s="64">
        <v>24.9</v>
      </c>
      <c r="Y10" s="65">
        <f>DADOS.GERAL!$X10-DADOS.GERAL!$W10</f>
        <v>3.17</v>
      </c>
    </row>
    <row r="11">
      <c r="B11" s="62">
        <v>215.0</v>
      </c>
      <c r="C11" s="63" t="s">
        <v>89</v>
      </c>
      <c r="D11" s="63" t="s">
        <v>89</v>
      </c>
      <c r="E11" s="63" t="s">
        <v>105</v>
      </c>
      <c r="F11" s="63" t="s">
        <v>129</v>
      </c>
      <c r="G11" s="63" t="s">
        <v>52</v>
      </c>
      <c r="H11" s="64">
        <v>170.0</v>
      </c>
      <c r="I11" s="64">
        <v>175.0</v>
      </c>
      <c r="J11" s="65">
        <f>DADOS.GERAL!$I11-DADOS.GERAL!$H11</f>
        <v>5</v>
      </c>
      <c r="L11" s="62" t="s">
        <v>127</v>
      </c>
      <c r="M11" s="63" t="s">
        <v>63</v>
      </c>
      <c r="N11" s="63" t="s">
        <v>107</v>
      </c>
      <c r="O11" s="63" t="s">
        <v>52</v>
      </c>
      <c r="P11" s="64">
        <v>0.0</v>
      </c>
      <c r="Q11" s="64">
        <v>13.0</v>
      </c>
      <c r="R11" s="65">
        <f>DADOS.GERAL!$Q11-DADOS.GERAL!$P11</f>
        <v>13</v>
      </c>
      <c r="T11" s="62" t="s">
        <v>53</v>
      </c>
      <c r="U11" s="63" t="s">
        <v>130</v>
      </c>
      <c r="V11" s="63" t="s">
        <v>54</v>
      </c>
      <c r="W11" s="64">
        <v>21.73</v>
      </c>
      <c r="X11" s="64">
        <v>53.62</v>
      </c>
      <c r="Y11" s="65">
        <f>DADOS.GERAL!$X11-DADOS.GERAL!$W11</f>
        <v>31.89</v>
      </c>
    </row>
    <row r="12">
      <c r="B12" s="62">
        <v>216.0</v>
      </c>
      <c r="C12" s="63" t="s">
        <v>131</v>
      </c>
      <c r="D12" s="63" t="s">
        <v>55</v>
      </c>
      <c r="E12" s="63" t="s">
        <v>113</v>
      </c>
      <c r="F12" s="63" t="s">
        <v>68</v>
      </c>
      <c r="G12" s="63" t="s">
        <v>52</v>
      </c>
      <c r="H12" s="64">
        <v>120.0</v>
      </c>
      <c r="I12" s="64">
        <v>150.0</v>
      </c>
      <c r="J12" s="65">
        <f>DADOS.GERAL!$I12-DADOS.GERAL!$H12</f>
        <v>30</v>
      </c>
      <c r="L12" s="62" t="s">
        <v>132</v>
      </c>
      <c r="M12" s="63" t="s">
        <v>73</v>
      </c>
      <c r="N12" s="63" t="s">
        <v>133</v>
      </c>
      <c r="O12" s="63" t="s">
        <v>52</v>
      </c>
      <c r="P12" s="64">
        <v>0.0</v>
      </c>
      <c r="Q12" s="64">
        <v>13.0</v>
      </c>
      <c r="R12" s="65">
        <f>DADOS.GERAL!$Q12-DADOS.GERAL!$P12</f>
        <v>13</v>
      </c>
      <c r="T12" s="62" t="s">
        <v>53</v>
      </c>
      <c r="U12" s="63" t="s">
        <v>134</v>
      </c>
      <c r="V12" s="63" t="s">
        <v>54</v>
      </c>
      <c r="W12" s="64">
        <v>21.73</v>
      </c>
      <c r="X12" s="64">
        <v>27.9</v>
      </c>
      <c r="Y12" s="65">
        <f>DADOS.GERAL!$X12-DADOS.GERAL!$W12</f>
        <v>6.17</v>
      </c>
    </row>
    <row r="13">
      <c r="B13" s="62">
        <v>217.0</v>
      </c>
      <c r="C13" s="63" t="s">
        <v>135</v>
      </c>
      <c r="D13" s="63" t="s">
        <v>84</v>
      </c>
      <c r="E13" s="63" t="s">
        <v>113</v>
      </c>
      <c r="F13" s="63" t="s">
        <v>117</v>
      </c>
      <c r="G13" s="63" t="s">
        <v>52</v>
      </c>
      <c r="H13" s="64">
        <v>0.0</v>
      </c>
      <c r="I13" s="64">
        <v>159.9</v>
      </c>
      <c r="J13" s="65">
        <f>DADOS.GERAL!$I13-DADOS.GERAL!$H13</f>
        <v>159.9</v>
      </c>
      <c r="L13" s="62" t="s">
        <v>136</v>
      </c>
      <c r="M13" s="63" t="s">
        <v>73</v>
      </c>
      <c r="N13" s="63" t="s">
        <v>133</v>
      </c>
      <c r="O13" s="63" t="s">
        <v>52</v>
      </c>
      <c r="P13" s="64">
        <v>0.0</v>
      </c>
      <c r="Q13" s="64">
        <v>13.0</v>
      </c>
      <c r="R13" s="65">
        <f>DADOS.GERAL!$Q13-DADOS.GERAL!$P13</f>
        <v>13</v>
      </c>
      <c r="T13" s="62" t="s">
        <v>53</v>
      </c>
      <c r="U13" s="63" t="s">
        <v>137</v>
      </c>
      <c r="V13" s="63" t="s">
        <v>54</v>
      </c>
      <c r="W13" s="64">
        <v>21.73</v>
      </c>
      <c r="X13" s="64">
        <v>24.9</v>
      </c>
      <c r="Y13" s="65">
        <f>DADOS.GERAL!$X13-DADOS.GERAL!$W13</f>
        <v>3.17</v>
      </c>
    </row>
    <row r="14">
      <c r="B14" s="62">
        <v>218.0</v>
      </c>
      <c r="C14" s="63" t="s">
        <v>138</v>
      </c>
      <c r="D14" s="63" t="s">
        <v>84</v>
      </c>
      <c r="E14" s="63" t="s">
        <v>113</v>
      </c>
      <c r="F14" s="63" t="s">
        <v>117</v>
      </c>
      <c r="G14" s="63" t="s">
        <v>52</v>
      </c>
      <c r="H14" s="64">
        <v>0.0</v>
      </c>
      <c r="I14" s="64">
        <v>142.97</v>
      </c>
      <c r="J14" s="65">
        <f>DADOS.GERAL!$I14-DADOS.GERAL!$H14</f>
        <v>142.97</v>
      </c>
      <c r="L14" s="62" t="s">
        <v>139</v>
      </c>
      <c r="M14" s="63" t="s">
        <v>73</v>
      </c>
      <c r="N14" s="63" t="s">
        <v>133</v>
      </c>
      <c r="O14" s="63" t="s">
        <v>52</v>
      </c>
      <c r="P14" s="64">
        <v>0.0</v>
      </c>
      <c r="Q14" s="64">
        <v>13.0</v>
      </c>
      <c r="R14" s="65">
        <f>DADOS.GERAL!$Q14-DADOS.GERAL!$P14</f>
        <v>13</v>
      </c>
      <c r="T14" s="62" t="s">
        <v>53</v>
      </c>
      <c r="U14" s="63" t="s">
        <v>140</v>
      </c>
      <c r="V14" s="63" t="s">
        <v>54</v>
      </c>
      <c r="W14" s="64">
        <v>21.73</v>
      </c>
      <c r="X14" s="64">
        <v>24.9</v>
      </c>
      <c r="Y14" s="65">
        <f>DADOS.GERAL!$X14-DADOS.GERAL!$W14</f>
        <v>3.17</v>
      </c>
    </row>
    <row r="15">
      <c r="B15" s="62">
        <v>219.0</v>
      </c>
      <c r="C15" s="63" t="s">
        <v>141</v>
      </c>
      <c r="D15" s="63" t="s">
        <v>71</v>
      </c>
      <c r="E15" s="63" t="s">
        <v>105</v>
      </c>
      <c r="F15" s="63" t="s">
        <v>68</v>
      </c>
      <c r="G15" s="63" t="s">
        <v>58</v>
      </c>
      <c r="H15" s="64">
        <v>0.0</v>
      </c>
      <c r="I15" s="64">
        <v>213.52</v>
      </c>
      <c r="J15" s="65">
        <f>DADOS.GERAL!$I15-DADOS.GERAL!$H15</f>
        <v>213.52</v>
      </c>
      <c r="L15" s="62" t="s">
        <v>142</v>
      </c>
      <c r="M15" s="63" t="s">
        <v>73</v>
      </c>
      <c r="N15" s="63" t="s">
        <v>133</v>
      </c>
      <c r="O15" s="63" t="s">
        <v>52</v>
      </c>
      <c r="P15" s="64">
        <v>0.0</v>
      </c>
      <c r="Q15" s="64">
        <v>13.0</v>
      </c>
      <c r="R15" s="65">
        <f>DADOS.GERAL!$Q15-DADOS.GERAL!$P15</f>
        <v>13</v>
      </c>
      <c r="T15" s="62" t="s">
        <v>53</v>
      </c>
      <c r="U15" s="63" t="s">
        <v>143</v>
      </c>
      <c r="V15" s="63" t="s">
        <v>54</v>
      </c>
      <c r="W15" s="64">
        <v>21.73</v>
      </c>
      <c r="X15" s="64">
        <v>24.9</v>
      </c>
      <c r="Y15" s="65">
        <f>DADOS.GERAL!$X15-DADOS.GERAL!$W15</f>
        <v>3.17</v>
      </c>
    </row>
    <row r="16">
      <c r="B16" s="62">
        <v>220.0</v>
      </c>
      <c r="C16" s="63" t="s">
        <v>144</v>
      </c>
      <c r="D16" s="63" t="s">
        <v>68</v>
      </c>
      <c r="E16" s="63" t="s">
        <v>105</v>
      </c>
      <c r="F16" s="63" t="s">
        <v>68</v>
      </c>
      <c r="G16" s="63" t="s">
        <v>58</v>
      </c>
      <c r="H16" s="64">
        <v>0.0</v>
      </c>
      <c r="I16" s="64">
        <v>130.0</v>
      </c>
      <c r="J16" s="65">
        <f>DADOS.GERAL!$I16-DADOS.GERAL!$H16</f>
        <v>130</v>
      </c>
      <c r="L16" s="62" t="s">
        <v>145</v>
      </c>
      <c r="M16" s="63" t="s">
        <v>66</v>
      </c>
      <c r="N16" s="63" t="s">
        <v>133</v>
      </c>
      <c r="O16" s="63" t="s">
        <v>52</v>
      </c>
      <c r="P16" s="64">
        <v>0.0</v>
      </c>
      <c r="Q16" s="64">
        <v>13.0</v>
      </c>
      <c r="R16" s="65">
        <f>DADOS.GERAL!$Q16-DADOS.GERAL!$P16</f>
        <v>13</v>
      </c>
      <c r="T16" s="62" t="s">
        <v>53</v>
      </c>
      <c r="U16" s="63" t="s">
        <v>146</v>
      </c>
      <c r="V16" s="63" t="s">
        <v>54</v>
      </c>
      <c r="W16" s="64">
        <v>21.73</v>
      </c>
      <c r="X16" s="64">
        <v>24.9</v>
      </c>
      <c r="Y16" s="65">
        <f>DADOS.GERAL!$X16-DADOS.GERAL!$W16</f>
        <v>3.17</v>
      </c>
    </row>
    <row r="17">
      <c r="B17" s="62">
        <v>221.0</v>
      </c>
      <c r="C17" s="63" t="s">
        <v>147</v>
      </c>
      <c r="D17" s="63" t="s">
        <v>78</v>
      </c>
      <c r="E17" s="63" t="s">
        <v>105</v>
      </c>
      <c r="F17" s="63" t="s">
        <v>117</v>
      </c>
      <c r="G17" s="63" t="s">
        <v>72</v>
      </c>
      <c r="H17" s="64">
        <v>0.0</v>
      </c>
      <c r="I17" s="64">
        <v>319.99</v>
      </c>
      <c r="J17" s="65">
        <f>DADOS.GERAL!$I17-DADOS.GERAL!$H17</f>
        <v>319.99</v>
      </c>
      <c r="L17" s="62" t="s">
        <v>148</v>
      </c>
      <c r="M17" s="63" t="s">
        <v>66</v>
      </c>
      <c r="N17" s="63" t="s">
        <v>133</v>
      </c>
      <c r="O17" s="63" t="s">
        <v>52</v>
      </c>
      <c r="P17" s="64">
        <v>0.0</v>
      </c>
      <c r="Q17" s="64">
        <v>13.0</v>
      </c>
      <c r="R17" s="65">
        <f>DADOS.GERAL!$Q17-DADOS.GERAL!$P17</f>
        <v>13</v>
      </c>
      <c r="T17" s="62" t="s">
        <v>53</v>
      </c>
      <c r="U17" s="63" t="s">
        <v>149</v>
      </c>
      <c r="V17" s="63" t="s">
        <v>54</v>
      </c>
      <c r="W17" s="64">
        <v>21.73</v>
      </c>
      <c r="X17" s="64">
        <v>24.9</v>
      </c>
      <c r="Y17" s="65">
        <f>DADOS.GERAL!$X17-DADOS.GERAL!$W17</f>
        <v>3.17</v>
      </c>
    </row>
    <row r="18">
      <c r="B18" s="62">
        <v>222.0</v>
      </c>
      <c r="C18" s="63" t="s">
        <v>150</v>
      </c>
      <c r="D18" s="63" t="s">
        <v>68</v>
      </c>
      <c r="E18" s="63" t="s">
        <v>105</v>
      </c>
      <c r="F18" s="63" t="s">
        <v>68</v>
      </c>
      <c r="G18" s="63" t="s">
        <v>72</v>
      </c>
      <c r="H18" s="64">
        <v>170.0</v>
      </c>
      <c r="I18" s="64">
        <v>120.0</v>
      </c>
      <c r="J18" s="65">
        <f>DADOS.GERAL!$I18-DADOS.GERAL!$H18</f>
        <v>-50</v>
      </c>
      <c r="L18" s="62" t="s">
        <v>151</v>
      </c>
      <c r="M18" s="63" t="s">
        <v>66</v>
      </c>
      <c r="N18" s="63" t="s">
        <v>133</v>
      </c>
      <c r="O18" s="63" t="s">
        <v>52</v>
      </c>
      <c r="P18" s="64">
        <v>0.0</v>
      </c>
      <c r="Q18" s="64">
        <v>13.0</v>
      </c>
      <c r="R18" s="65">
        <f>DADOS.GERAL!$Q18-DADOS.GERAL!$P18</f>
        <v>13</v>
      </c>
      <c r="T18" s="62" t="s">
        <v>53</v>
      </c>
      <c r="U18" s="63" t="s">
        <v>152</v>
      </c>
      <c r="V18" s="63" t="s">
        <v>54</v>
      </c>
      <c r="W18" s="64">
        <v>21.73</v>
      </c>
      <c r="X18" s="64">
        <v>24.9</v>
      </c>
      <c r="Y18" s="65">
        <f>DADOS.GERAL!$X18-DADOS.GERAL!$W18</f>
        <v>3.17</v>
      </c>
    </row>
    <row r="19">
      <c r="B19" s="62">
        <v>223.0</v>
      </c>
      <c r="C19" s="63" t="s">
        <v>153</v>
      </c>
      <c r="D19" s="63" t="s">
        <v>71</v>
      </c>
      <c r="E19" s="63" t="s">
        <v>105</v>
      </c>
      <c r="F19" s="63" t="s">
        <v>68</v>
      </c>
      <c r="G19" s="63" t="s">
        <v>72</v>
      </c>
      <c r="H19" s="64">
        <v>170.0</v>
      </c>
      <c r="I19" s="64">
        <v>164.9</v>
      </c>
      <c r="J19" s="65">
        <f>DADOS.GERAL!$I19-DADOS.GERAL!$H19</f>
        <v>-5.1</v>
      </c>
      <c r="L19" s="62" t="s">
        <v>154</v>
      </c>
      <c r="M19" s="63" t="s">
        <v>66</v>
      </c>
      <c r="N19" s="63" t="s">
        <v>133</v>
      </c>
      <c r="O19" s="63" t="s">
        <v>52</v>
      </c>
      <c r="P19" s="64">
        <v>0.0</v>
      </c>
      <c r="Q19" s="64">
        <v>13.0</v>
      </c>
      <c r="R19" s="65">
        <f>DADOS.GERAL!$Q19-DADOS.GERAL!$P19</f>
        <v>13</v>
      </c>
      <c r="T19" s="62" t="s">
        <v>53</v>
      </c>
      <c r="U19" s="63" t="s">
        <v>155</v>
      </c>
      <c r="V19" s="63" t="s">
        <v>54</v>
      </c>
      <c r="W19" s="64">
        <v>21.73</v>
      </c>
      <c r="X19" s="64">
        <v>24.9</v>
      </c>
      <c r="Y19" s="65">
        <f>DADOS.GERAL!$X19-DADOS.GERAL!$W19</f>
        <v>3.17</v>
      </c>
    </row>
    <row r="20">
      <c r="B20" s="62">
        <v>224.0</v>
      </c>
      <c r="C20" s="63" t="s">
        <v>156</v>
      </c>
      <c r="D20" s="63" t="s">
        <v>91</v>
      </c>
      <c r="E20" s="63" t="s">
        <v>105</v>
      </c>
      <c r="F20" s="63" t="s">
        <v>157</v>
      </c>
      <c r="G20" s="63" t="s">
        <v>72</v>
      </c>
      <c r="H20" s="64">
        <v>0.0</v>
      </c>
      <c r="I20" s="64">
        <v>147.0</v>
      </c>
      <c r="J20" s="65">
        <f>DADOS.GERAL!$I20-DADOS.GERAL!$H20</f>
        <v>147</v>
      </c>
      <c r="L20" s="62" t="s">
        <v>158</v>
      </c>
      <c r="M20" s="63" t="s">
        <v>66</v>
      </c>
      <c r="N20" s="63" t="s">
        <v>133</v>
      </c>
      <c r="O20" s="63" t="s">
        <v>52</v>
      </c>
      <c r="P20" s="64">
        <v>0.0</v>
      </c>
      <c r="Q20" s="64">
        <v>13.0</v>
      </c>
      <c r="R20" s="65">
        <f>DADOS.GERAL!$Q20-DADOS.GERAL!$P20</f>
        <v>13</v>
      </c>
      <c r="T20" s="62" t="s">
        <v>53</v>
      </c>
      <c r="U20" s="63" t="s">
        <v>159</v>
      </c>
      <c r="V20" s="63" t="s">
        <v>54</v>
      </c>
      <c r="W20" s="64">
        <v>21.73</v>
      </c>
      <c r="X20" s="64">
        <v>29.9</v>
      </c>
      <c r="Y20" s="65">
        <f>DADOS.GERAL!$X20-DADOS.GERAL!$W20</f>
        <v>8.17</v>
      </c>
    </row>
    <row r="21" ht="15.75" customHeight="1">
      <c r="B21" s="62">
        <v>225.0</v>
      </c>
      <c r="C21" s="63" t="s">
        <v>160</v>
      </c>
      <c r="D21" s="63" t="s">
        <v>85</v>
      </c>
      <c r="E21" s="63" t="s">
        <v>113</v>
      </c>
      <c r="F21" s="63" t="s">
        <v>68</v>
      </c>
      <c r="G21" s="63" t="s">
        <v>79</v>
      </c>
      <c r="H21" s="64">
        <v>80.0</v>
      </c>
      <c r="I21" s="64">
        <v>138.9</v>
      </c>
      <c r="J21" s="65">
        <f>DADOS.GERAL!$I21-DADOS.GERAL!$H21</f>
        <v>58.9</v>
      </c>
      <c r="L21" s="62" t="s">
        <v>161</v>
      </c>
      <c r="M21" s="63" t="s">
        <v>77</v>
      </c>
      <c r="N21" s="63" t="s">
        <v>107</v>
      </c>
      <c r="O21" s="63" t="s">
        <v>58</v>
      </c>
      <c r="P21" s="64">
        <v>2.5</v>
      </c>
      <c r="Q21" s="64">
        <v>3.0</v>
      </c>
      <c r="R21" s="65">
        <f>DADOS.GERAL!$Q21-DADOS.GERAL!$P21</f>
        <v>0.5</v>
      </c>
      <c r="T21" s="62" t="s">
        <v>53</v>
      </c>
      <c r="U21" s="63" t="s">
        <v>162</v>
      </c>
      <c r="V21" s="63" t="s">
        <v>54</v>
      </c>
      <c r="W21" s="64">
        <v>21.73</v>
      </c>
      <c r="X21" s="64">
        <v>24.9</v>
      </c>
      <c r="Y21" s="65">
        <f>DADOS.GERAL!$X21-DADOS.GERAL!$W21</f>
        <v>3.17</v>
      </c>
    </row>
    <row r="22" ht="15.75" customHeight="1">
      <c r="B22" s="62">
        <v>227.0</v>
      </c>
      <c r="C22" s="63" t="s">
        <v>163</v>
      </c>
      <c r="D22" s="63" t="s">
        <v>55</v>
      </c>
      <c r="E22" s="63" t="s">
        <v>113</v>
      </c>
      <c r="F22" s="63" t="s">
        <v>68</v>
      </c>
      <c r="G22" s="63" t="s">
        <v>79</v>
      </c>
      <c r="H22" s="64">
        <v>100.0</v>
      </c>
      <c r="I22" s="64">
        <v>218.5</v>
      </c>
      <c r="J22" s="65">
        <f>DADOS.GERAL!$I22-DADOS.GERAL!$H22</f>
        <v>118.5</v>
      </c>
      <c r="L22" s="62" t="s">
        <v>164</v>
      </c>
      <c r="M22" s="63" t="s">
        <v>77</v>
      </c>
      <c r="N22" s="63" t="s">
        <v>107</v>
      </c>
      <c r="O22" s="63" t="s">
        <v>58</v>
      </c>
      <c r="P22" s="64">
        <v>2.5</v>
      </c>
      <c r="Q22" s="64">
        <v>3.0</v>
      </c>
      <c r="R22" s="65">
        <f>DADOS.GERAL!$Q22-DADOS.GERAL!$P22</f>
        <v>0.5</v>
      </c>
      <c r="T22" s="62" t="s">
        <v>53</v>
      </c>
      <c r="U22" s="63" t="s">
        <v>165</v>
      </c>
      <c r="V22" s="63" t="s">
        <v>54</v>
      </c>
      <c r="W22" s="64">
        <v>21.73</v>
      </c>
      <c r="X22" s="64">
        <v>27.9</v>
      </c>
      <c r="Y22" s="65">
        <f>DADOS.GERAL!$X22-DADOS.GERAL!$W22</f>
        <v>6.17</v>
      </c>
    </row>
    <row r="23" ht="15.75" customHeight="1">
      <c r="B23" s="62">
        <v>226.0</v>
      </c>
      <c r="C23" s="63" t="s">
        <v>166</v>
      </c>
      <c r="D23" s="63" t="s">
        <v>55</v>
      </c>
      <c r="E23" s="63" t="s">
        <v>113</v>
      </c>
      <c r="F23" s="63" t="s">
        <v>68</v>
      </c>
      <c r="G23" s="63" t="s">
        <v>79</v>
      </c>
      <c r="H23" s="64">
        <v>100.0</v>
      </c>
      <c r="I23" s="64">
        <v>189.0</v>
      </c>
      <c r="J23" s="65">
        <f>DADOS.GERAL!$I23-DADOS.GERAL!$H23</f>
        <v>89</v>
      </c>
      <c r="L23" s="62" t="s">
        <v>167</v>
      </c>
      <c r="M23" s="63" t="s">
        <v>77</v>
      </c>
      <c r="N23" s="63" t="s">
        <v>107</v>
      </c>
      <c r="O23" s="63" t="s">
        <v>58</v>
      </c>
      <c r="P23" s="64">
        <v>2.5</v>
      </c>
      <c r="Q23" s="64">
        <v>3.0</v>
      </c>
      <c r="R23" s="65">
        <f>DADOS.GERAL!$Q23-DADOS.GERAL!$P23</f>
        <v>0.5</v>
      </c>
      <c r="T23" s="62" t="s">
        <v>53</v>
      </c>
      <c r="U23" s="63" t="s">
        <v>168</v>
      </c>
      <c r="V23" s="63" t="s">
        <v>54</v>
      </c>
      <c r="W23" s="64">
        <v>21.73</v>
      </c>
      <c r="X23" s="64">
        <v>24.9</v>
      </c>
      <c r="Y23" s="65">
        <f>DADOS.GERAL!$X23-DADOS.GERAL!$W23</f>
        <v>3.17</v>
      </c>
    </row>
    <row r="24" ht="15.75" customHeight="1">
      <c r="B24" s="62">
        <v>228.0</v>
      </c>
      <c r="C24" s="63" t="s">
        <v>169</v>
      </c>
      <c r="D24" s="63" t="s">
        <v>87</v>
      </c>
      <c r="E24" s="63" t="s">
        <v>113</v>
      </c>
      <c r="F24" s="63" t="s">
        <v>157</v>
      </c>
      <c r="G24" s="63" t="s">
        <v>76</v>
      </c>
      <c r="H24" s="64">
        <v>80.0</v>
      </c>
      <c r="I24" s="64">
        <v>127.9</v>
      </c>
      <c r="J24" s="65">
        <f>DADOS.GERAL!$I24-DADOS.GERAL!$H24</f>
        <v>47.9</v>
      </c>
      <c r="L24" s="62" t="s">
        <v>170</v>
      </c>
      <c r="M24" s="63" t="s">
        <v>77</v>
      </c>
      <c r="N24" s="63" t="s">
        <v>107</v>
      </c>
      <c r="O24" s="63" t="s">
        <v>58</v>
      </c>
      <c r="P24" s="64">
        <v>2.5</v>
      </c>
      <c r="Q24" s="64">
        <v>3.0</v>
      </c>
      <c r="R24" s="65">
        <f>DADOS.GERAL!$Q24-DADOS.GERAL!$P24</f>
        <v>0.5</v>
      </c>
      <c r="T24" s="62" t="s">
        <v>53</v>
      </c>
      <c r="U24" s="63" t="s">
        <v>171</v>
      </c>
      <c r="V24" s="63" t="s">
        <v>54</v>
      </c>
      <c r="W24" s="64">
        <v>21.73</v>
      </c>
      <c r="X24" s="64">
        <v>24.9</v>
      </c>
      <c r="Y24" s="65">
        <f>DADOS.GERAL!$X24-DADOS.GERAL!$W24</f>
        <v>3.17</v>
      </c>
    </row>
    <row r="25" ht="15.75" customHeight="1">
      <c r="B25" s="62">
        <v>229.0</v>
      </c>
      <c r="C25" s="63" t="s">
        <v>90</v>
      </c>
      <c r="D25" s="63" t="s">
        <v>90</v>
      </c>
      <c r="E25" s="63" t="s">
        <v>113</v>
      </c>
      <c r="F25" s="63" t="s">
        <v>157</v>
      </c>
      <c r="G25" s="63" t="s">
        <v>76</v>
      </c>
      <c r="H25" s="64">
        <v>80.0</v>
      </c>
      <c r="I25" s="64">
        <v>149.99</v>
      </c>
      <c r="J25" s="65">
        <f>DADOS.GERAL!$I25-DADOS.GERAL!$H25</f>
        <v>69.99</v>
      </c>
      <c r="L25" s="62" t="s">
        <v>172</v>
      </c>
      <c r="M25" s="63" t="s">
        <v>77</v>
      </c>
      <c r="N25" s="63" t="s">
        <v>107</v>
      </c>
      <c r="O25" s="63" t="s">
        <v>58</v>
      </c>
      <c r="P25" s="64">
        <v>2.5</v>
      </c>
      <c r="Q25" s="64">
        <v>3.0</v>
      </c>
      <c r="R25" s="65">
        <f>DADOS.GERAL!$Q25-DADOS.GERAL!$P25</f>
        <v>0.5</v>
      </c>
      <c r="T25" s="62" t="s">
        <v>53</v>
      </c>
      <c r="U25" s="63" t="s">
        <v>173</v>
      </c>
      <c r="V25" s="63" t="s">
        <v>54</v>
      </c>
      <c r="W25" s="64">
        <v>21.73</v>
      </c>
      <c r="X25" s="64">
        <v>24.9</v>
      </c>
      <c r="Y25" s="65">
        <f>DADOS.GERAL!$X25-DADOS.GERAL!$W25</f>
        <v>3.17</v>
      </c>
    </row>
    <row r="26" ht="15.75" customHeight="1">
      <c r="B26" s="62">
        <v>230.0</v>
      </c>
      <c r="C26" s="63" t="s">
        <v>174</v>
      </c>
      <c r="D26" s="63" t="s">
        <v>49</v>
      </c>
      <c r="E26" s="63" t="s">
        <v>113</v>
      </c>
      <c r="F26" s="63" t="s">
        <v>157</v>
      </c>
      <c r="G26" s="63" t="s">
        <v>76</v>
      </c>
      <c r="H26" s="64">
        <v>98.9</v>
      </c>
      <c r="I26" s="64">
        <v>150.9</v>
      </c>
      <c r="J26" s="65">
        <f>DADOS.GERAL!$I26-DADOS.GERAL!$H26</f>
        <v>52</v>
      </c>
      <c r="L26" s="62" t="s">
        <v>175</v>
      </c>
      <c r="M26" s="63" t="s">
        <v>57</v>
      </c>
      <c r="N26" s="63" t="s">
        <v>107</v>
      </c>
      <c r="O26" s="63" t="s">
        <v>58</v>
      </c>
      <c r="P26" s="64">
        <v>99.0</v>
      </c>
      <c r="Q26" s="64">
        <v>80.0</v>
      </c>
      <c r="R26" s="65">
        <f>DADOS.GERAL!$Q26-DADOS.GERAL!$P26</f>
        <v>-19</v>
      </c>
      <c r="T26" s="62" t="s">
        <v>53</v>
      </c>
      <c r="U26" s="63" t="s">
        <v>176</v>
      </c>
      <c r="V26" s="63" t="s">
        <v>54</v>
      </c>
      <c r="W26" s="64">
        <v>21.73</v>
      </c>
      <c r="X26" s="64">
        <v>24.9</v>
      </c>
      <c r="Y26" s="65">
        <f>DADOS.GERAL!$X26-DADOS.GERAL!$W26</f>
        <v>3.17</v>
      </c>
    </row>
    <row r="27" ht="15.75" customHeight="1">
      <c r="B27" s="62">
        <v>231.0</v>
      </c>
      <c r="C27" s="63" t="s">
        <v>177</v>
      </c>
      <c r="D27" s="63" t="s">
        <v>49</v>
      </c>
      <c r="E27" s="63" t="s">
        <v>113</v>
      </c>
      <c r="F27" s="63" t="s">
        <v>157</v>
      </c>
      <c r="G27" s="63" t="s">
        <v>76</v>
      </c>
      <c r="H27" s="64">
        <v>99.9</v>
      </c>
      <c r="I27" s="64">
        <v>150.9</v>
      </c>
      <c r="J27" s="65">
        <f>DADOS.GERAL!$I27-DADOS.GERAL!$H27</f>
        <v>51</v>
      </c>
      <c r="L27" s="62" t="s">
        <v>178</v>
      </c>
      <c r="M27" s="63" t="s">
        <v>70</v>
      </c>
      <c r="N27" s="63" t="s">
        <v>107</v>
      </c>
      <c r="O27" s="63" t="s">
        <v>58</v>
      </c>
      <c r="P27" s="64">
        <v>0.0</v>
      </c>
      <c r="Q27" s="64">
        <v>13.0</v>
      </c>
      <c r="R27" s="65">
        <f>DADOS.GERAL!$Q27-DADOS.GERAL!$P27</f>
        <v>13</v>
      </c>
      <c r="T27" s="62" t="s">
        <v>53</v>
      </c>
      <c r="U27" s="63" t="s">
        <v>179</v>
      </c>
      <c r="V27" s="63" t="s">
        <v>54</v>
      </c>
      <c r="W27" s="64">
        <v>21.73</v>
      </c>
      <c r="X27" s="64">
        <v>29.9</v>
      </c>
      <c r="Y27" s="65">
        <f>DADOS.GERAL!$X27-DADOS.GERAL!$W27</f>
        <v>8.17</v>
      </c>
    </row>
    <row r="28" ht="15.75" customHeight="1">
      <c r="B28" s="62">
        <v>232.0</v>
      </c>
      <c r="C28" s="63" t="s">
        <v>180</v>
      </c>
      <c r="D28" s="63" t="s">
        <v>68</v>
      </c>
      <c r="E28" s="63" t="s">
        <v>113</v>
      </c>
      <c r="F28" s="63" t="s">
        <v>68</v>
      </c>
      <c r="G28" s="63" t="s">
        <v>62</v>
      </c>
      <c r="H28" s="64">
        <v>150.0</v>
      </c>
      <c r="I28" s="64">
        <v>130.5</v>
      </c>
      <c r="J28" s="65">
        <f>DADOS.GERAL!$I28-DADOS.GERAL!$H28</f>
        <v>-19.5</v>
      </c>
      <c r="L28" s="62" t="s">
        <v>181</v>
      </c>
      <c r="M28" s="63" t="s">
        <v>70</v>
      </c>
      <c r="N28" s="63" t="s">
        <v>107</v>
      </c>
      <c r="O28" s="63" t="s">
        <v>58</v>
      </c>
      <c r="P28" s="64">
        <v>0.0</v>
      </c>
      <c r="Q28" s="64">
        <v>13.0</v>
      </c>
      <c r="R28" s="65">
        <f>DADOS.GERAL!$Q28-DADOS.GERAL!$P28</f>
        <v>13</v>
      </c>
      <c r="T28" s="62" t="s">
        <v>59</v>
      </c>
      <c r="U28" s="63" t="s">
        <v>182</v>
      </c>
      <c r="V28" s="63" t="s">
        <v>60</v>
      </c>
      <c r="W28" s="64">
        <v>39.9</v>
      </c>
      <c r="X28" s="64">
        <v>39.9</v>
      </c>
      <c r="Y28" s="65">
        <f>DADOS.GERAL!$X28-DADOS.GERAL!$W28</f>
        <v>0</v>
      </c>
    </row>
    <row r="29" ht="15.75" customHeight="1">
      <c r="B29" s="62">
        <v>233.0</v>
      </c>
      <c r="C29" s="63" t="s">
        <v>183</v>
      </c>
      <c r="D29" s="63" t="s">
        <v>49</v>
      </c>
      <c r="E29" s="63" t="s">
        <v>113</v>
      </c>
      <c r="F29" s="63" t="s">
        <v>157</v>
      </c>
      <c r="G29" s="63" t="s">
        <v>62</v>
      </c>
      <c r="H29" s="64">
        <v>145.0</v>
      </c>
      <c r="I29" s="64">
        <v>150.9</v>
      </c>
      <c r="J29" s="65">
        <f>DADOS.GERAL!$I29-DADOS.GERAL!$H29</f>
        <v>5.9</v>
      </c>
      <c r="L29" s="62" t="s">
        <v>184</v>
      </c>
      <c r="M29" s="63" t="s">
        <v>70</v>
      </c>
      <c r="N29" s="63" t="s">
        <v>107</v>
      </c>
      <c r="O29" s="63" t="s">
        <v>58</v>
      </c>
      <c r="P29" s="64">
        <v>0.0</v>
      </c>
      <c r="Q29" s="64">
        <v>13.0</v>
      </c>
      <c r="R29" s="65">
        <f>DADOS.GERAL!$Q29-DADOS.GERAL!$P29</f>
        <v>13</v>
      </c>
      <c r="T29" s="62" t="s">
        <v>59</v>
      </c>
      <c r="U29" s="63" t="s">
        <v>108</v>
      </c>
      <c r="V29" s="63" t="s">
        <v>60</v>
      </c>
      <c r="W29" s="64">
        <v>29.9</v>
      </c>
      <c r="X29" s="64">
        <v>39.9</v>
      </c>
      <c r="Y29" s="65">
        <f>DADOS.GERAL!$X29-DADOS.GERAL!$W29</f>
        <v>10</v>
      </c>
    </row>
    <row r="30" ht="15.75" customHeight="1">
      <c r="B30" s="62">
        <v>234.0</v>
      </c>
      <c r="C30" s="63" t="s">
        <v>185</v>
      </c>
      <c r="D30" s="63" t="s">
        <v>86</v>
      </c>
      <c r="E30" s="63" t="s">
        <v>105</v>
      </c>
      <c r="F30" s="63" t="s">
        <v>117</v>
      </c>
      <c r="G30" s="63" t="s">
        <v>62</v>
      </c>
      <c r="H30" s="64">
        <v>0.0</v>
      </c>
      <c r="I30" s="64">
        <v>139.9</v>
      </c>
      <c r="J30" s="65">
        <f>DADOS.GERAL!$I30-DADOS.GERAL!$H30</f>
        <v>139.9</v>
      </c>
      <c r="L30" s="62" t="s">
        <v>186</v>
      </c>
      <c r="M30" s="63" t="s">
        <v>70</v>
      </c>
      <c r="N30" s="63" t="s">
        <v>107</v>
      </c>
      <c r="O30" s="63" t="s">
        <v>58</v>
      </c>
      <c r="P30" s="64">
        <v>0.0</v>
      </c>
      <c r="Q30" s="64">
        <v>13.0</v>
      </c>
      <c r="R30" s="65">
        <f>DADOS.GERAL!$Q30-DADOS.GERAL!$P30</f>
        <v>13</v>
      </c>
      <c r="T30" s="62" t="s">
        <v>59</v>
      </c>
      <c r="U30" s="63" t="s">
        <v>115</v>
      </c>
      <c r="V30" s="63" t="s">
        <v>60</v>
      </c>
      <c r="W30" s="64">
        <v>29.9</v>
      </c>
      <c r="X30" s="64">
        <v>39.9</v>
      </c>
      <c r="Y30" s="65">
        <f>DADOS.GERAL!$X30-DADOS.GERAL!$W30</f>
        <v>10</v>
      </c>
    </row>
    <row r="31" ht="15.75" customHeight="1">
      <c r="B31" s="62">
        <v>235.0</v>
      </c>
      <c r="C31" s="63" t="s">
        <v>187</v>
      </c>
      <c r="D31" s="63" t="s">
        <v>86</v>
      </c>
      <c r="E31" s="63" t="s">
        <v>105</v>
      </c>
      <c r="F31" s="63" t="s">
        <v>117</v>
      </c>
      <c r="G31" s="63" t="s">
        <v>62</v>
      </c>
      <c r="H31" s="64">
        <v>145.0</v>
      </c>
      <c r="I31" s="64">
        <v>134.99</v>
      </c>
      <c r="J31" s="65">
        <f>DADOS.GERAL!$I31-DADOS.GERAL!$H31</f>
        <v>-10.01</v>
      </c>
      <c r="L31" s="62" t="s">
        <v>186</v>
      </c>
      <c r="M31" s="63" t="s">
        <v>70</v>
      </c>
      <c r="N31" s="63" t="s">
        <v>107</v>
      </c>
      <c r="O31" s="63" t="s">
        <v>58</v>
      </c>
      <c r="P31" s="64">
        <v>0.0</v>
      </c>
      <c r="Q31" s="64">
        <v>13.0</v>
      </c>
      <c r="R31" s="65">
        <f>DADOS.GERAL!$Q31-DADOS.GERAL!$P31</f>
        <v>13</v>
      </c>
      <c r="T31" s="62" t="s">
        <v>59</v>
      </c>
      <c r="U31" s="63" t="s">
        <v>119</v>
      </c>
      <c r="V31" s="63" t="s">
        <v>60</v>
      </c>
      <c r="W31" s="64">
        <v>29.9</v>
      </c>
      <c r="X31" s="64">
        <v>39.9</v>
      </c>
      <c r="Y31" s="65">
        <f>DADOS.GERAL!$X31-DADOS.GERAL!$W31</f>
        <v>10</v>
      </c>
    </row>
    <row r="32" ht="15.75" customHeight="1">
      <c r="B32" s="62">
        <v>810.0</v>
      </c>
      <c r="C32" s="63" t="s">
        <v>188</v>
      </c>
      <c r="D32" s="63" t="s">
        <v>49</v>
      </c>
      <c r="E32" s="63" t="s">
        <v>113</v>
      </c>
      <c r="F32" s="63" t="s">
        <v>157</v>
      </c>
      <c r="G32" s="63" t="s">
        <v>69</v>
      </c>
      <c r="H32" s="64">
        <v>142.4</v>
      </c>
      <c r="I32" s="64">
        <v>150.9</v>
      </c>
      <c r="J32" s="65">
        <f>DADOS.GERAL!$I32-DADOS.GERAL!$H32</f>
        <v>8.5</v>
      </c>
      <c r="L32" s="62" t="s">
        <v>189</v>
      </c>
      <c r="M32" s="63" t="s">
        <v>51</v>
      </c>
      <c r="N32" s="63" t="s">
        <v>107</v>
      </c>
      <c r="O32" s="63" t="s">
        <v>74</v>
      </c>
      <c r="P32" s="64">
        <v>14.0</v>
      </c>
      <c r="Q32" s="64">
        <v>20.0</v>
      </c>
      <c r="R32" s="65">
        <f>DADOS.GERAL!$Q32-DADOS.GERAL!$P32</f>
        <v>6</v>
      </c>
      <c r="T32" s="63" t="s">
        <v>59</v>
      </c>
      <c r="U32" s="63" t="s">
        <v>122</v>
      </c>
      <c r="V32" s="63" t="s">
        <v>60</v>
      </c>
      <c r="W32" s="64">
        <v>29.9</v>
      </c>
      <c r="X32" s="64">
        <v>39.9</v>
      </c>
      <c r="Y32" s="64">
        <f>DADOS.GERAL!$X32-DADOS.GERAL!$W32</f>
        <v>10</v>
      </c>
    </row>
    <row r="33" ht="15.75" customHeight="1">
      <c r="B33" s="62">
        <v>443.0</v>
      </c>
      <c r="C33" s="63" t="s">
        <v>190</v>
      </c>
      <c r="D33" s="63" t="s">
        <v>61</v>
      </c>
      <c r="E33" s="63" t="s">
        <v>113</v>
      </c>
      <c r="F33" s="63" t="s">
        <v>129</v>
      </c>
      <c r="G33" s="63" t="s">
        <v>69</v>
      </c>
      <c r="H33" s="64">
        <v>129.9</v>
      </c>
      <c r="I33" s="64">
        <v>271.9</v>
      </c>
      <c r="J33" s="65">
        <f>DADOS.GERAL!$I33-DADOS.GERAL!$H33</f>
        <v>142</v>
      </c>
      <c r="L33" s="62" t="s">
        <v>191</v>
      </c>
      <c r="M33" s="63" t="s">
        <v>51</v>
      </c>
      <c r="N33" s="63" t="s">
        <v>192</v>
      </c>
      <c r="O33" s="63" t="s">
        <v>65</v>
      </c>
      <c r="P33" s="64">
        <v>239.9</v>
      </c>
      <c r="Q33" s="64">
        <v>280.0</v>
      </c>
      <c r="R33" s="65">
        <f>DADOS.GERAL!$Q33-DADOS.GERAL!$P33</f>
        <v>40.1</v>
      </c>
      <c r="T33" s="63" t="s">
        <v>59</v>
      </c>
      <c r="U33" s="63" t="s">
        <v>125</v>
      </c>
      <c r="V33" s="63" t="s">
        <v>60</v>
      </c>
      <c r="W33" s="64">
        <v>29.9</v>
      </c>
      <c r="X33" s="64">
        <v>39.9</v>
      </c>
      <c r="Y33" s="64">
        <f>DADOS.GERAL!$X33-DADOS.GERAL!$W33</f>
        <v>10</v>
      </c>
    </row>
    <row r="34" ht="15.75" customHeight="1">
      <c r="B34" s="62">
        <v>444.0</v>
      </c>
      <c r="C34" s="63" t="s">
        <v>193</v>
      </c>
      <c r="D34" s="63" t="s">
        <v>61</v>
      </c>
      <c r="E34" s="63" t="s">
        <v>113</v>
      </c>
      <c r="F34" s="63" t="s">
        <v>129</v>
      </c>
      <c r="G34" s="63" t="s">
        <v>69</v>
      </c>
      <c r="H34" s="64">
        <v>129.9</v>
      </c>
      <c r="I34" s="64">
        <v>154.6</v>
      </c>
      <c r="J34" s="65">
        <f>DADOS.GERAL!$I34-DADOS.GERAL!$H34</f>
        <v>24.7</v>
      </c>
      <c r="L34" s="62" t="s">
        <v>194</v>
      </c>
      <c r="M34" s="63" t="s">
        <v>51</v>
      </c>
      <c r="N34" s="63" t="s">
        <v>192</v>
      </c>
      <c r="O34" s="63" t="s">
        <v>54</v>
      </c>
      <c r="P34" s="64">
        <v>239.9</v>
      </c>
      <c r="Q34" s="64">
        <v>289.9</v>
      </c>
      <c r="R34" s="65">
        <f>DADOS.GERAL!$Q34-DADOS.GERAL!$P34</f>
        <v>50</v>
      </c>
      <c r="T34" s="63" t="s">
        <v>64</v>
      </c>
      <c r="U34" s="66" t="s">
        <v>115</v>
      </c>
      <c r="V34" s="66" t="s">
        <v>195</v>
      </c>
      <c r="W34" s="67">
        <v>82.35</v>
      </c>
      <c r="X34" s="67">
        <v>84.9</v>
      </c>
      <c r="Y34" s="64">
        <f>DADOS.GERAL!$X34-DADOS.GERAL!$W34</f>
        <v>2.55</v>
      </c>
    </row>
    <row r="35" ht="15.75" customHeight="1">
      <c r="B35" s="62">
        <v>10.0</v>
      </c>
      <c r="C35" s="63" t="s">
        <v>196</v>
      </c>
      <c r="D35" s="63" t="s">
        <v>82</v>
      </c>
      <c r="E35" s="63" t="s">
        <v>113</v>
      </c>
      <c r="F35" s="63" t="s">
        <v>117</v>
      </c>
      <c r="G35" s="63" t="s">
        <v>69</v>
      </c>
      <c r="H35" s="64">
        <v>129.9</v>
      </c>
      <c r="I35" s="64">
        <v>139.99</v>
      </c>
      <c r="J35" s="65">
        <f>DADOS.GERAL!$I35-DADOS.GERAL!$H35</f>
        <v>10.09</v>
      </c>
      <c r="L35" s="62" t="s">
        <v>197</v>
      </c>
      <c r="M35" s="63" t="s">
        <v>51</v>
      </c>
      <c r="N35" s="63" t="s">
        <v>192</v>
      </c>
      <c r="O35" s="63" t="s">
        <v>54</v>
      </c>
      <c r="P35" s="64">
        <v>239.9</v>
      </c>
      <c r="Q35" s="64">
        <v>280.0</v>
      </c>
      <c r="R35" s="65">
        <f>DADOS.GERAL!$Q35-DADOS.GERAL!$P35</f>
        <v>40.1</v>
      </c>
      <c r="T35" s="63" t="s">
        <v>64</v>
      </c>
      <c r="U35" s="66" t="s">
        <v>119</v>
      </c>
      <c r="V35" s="66" t="s">
        <v>195</v>
      </c>
      <c r="W35" s="67">
        <v>82.35</v>
      </c>
      <c r="X35" s="67">
        <v>84.9</v>
      </c>
      <c r="Y35" s="64">
        <f>DADOS.GERAL!$X35-DADOS.GERAL!$W35</f>
        <v>2.55</v>
      </c>
    </row>
    <row r="36" ht="15.75" customHeight="1">
      <c r="B36" s="62">
        <v>799.0</v>
      </c>
      <c r="C36" s="63" t="s">
        <v>198</v>
      </c>
      <c r="D36" s="63" t="s">
        <v>82</v>
      </c>
      <c r="E36" s="63" t="s">
        <v>113</v>
      </c>
      <c r="F36" s="63" t="s">
        <v>117</v>
      </c>
      <c r="G36" s="63" t="s">
        <v>50</v>
      </c>
      <c r="H36" s="64">
        <v>130.0</v>
      </c>
      <c r="I36" s="64">
        <v>169.99</v>
      </c>
      <c r="J36" s="65">
        <f>DADOS.GERAL!$I36-DADOS.GERAL!$H36</f>
        <v>39.99</v>
      </c>
      <c r="L36" s="62" t="s">
        <v>199</v>
      </c>
      <c r="M36" s="63" t="s">
        <v>51</v>
      </c>
      <c r="N36" s="63" t="s">
        <v>107</v>
      </c>
      <c r="O36" s="63" t="s">
        <v>54</v>
      </c>
      <c r="P36" s="64">
        <v>16.0</v>
      </c>
      <c r="Q36" s="64">
        <v>20.0</v>
      </c>
      <c r="R36" s="65">
        <f>DADOS.GERAL!$Q36-DADOS.GERAL!$P36</f>
        <v>4</v>
      </c>
      <c r="T36" s="66" t="s">
        <v>200</v>
      </c>
      <c r="U36" s="66" t="s">
        <v>108</v>
      </c>
      <c r="V36" s="66" t="s">
        <v>195</v>
      </c>
      <c r="W36" s="67">
        <v>0.0</v>
      </c>
      <c r="X36" s="67">
        <v>50.9</v>
      </c>
      <c r="Y36" s="64">
        <f>DADOS.GERAL!$X36-DADOS.GERAL!$W36</f>
        <v>50.9</v>
      </c>
    </row>
    <row r="37" ht="15.75" customHeight="1">
      <c r="B37" s="62">
        <v>786.0</v>
      </c>
      <c r="C37" s="63" t="s">
        <v>201</v>
      </c>
      <c r="D37" s="63" t="s">
        <v>93</v>
      </c>
      <c r="E37" s="63" t="s">
        <v>113</v>
      </c>
      <c r="F37" s="63" t="s">
        <v>117</v>
      </c>
      <c r="G37" s="63" t="s">
        <v>50</v>
      </c>
      <c r="H37" s="64">
        <v>120.0</v>
      </c>
      <c r="I37" s="64">
        <v>125.0</v>
      </c>
      <c r="J37" s="65">
        <f>DADOS.GERAL!$I37-DADOS.GERAL!$H37</f>
        <v>5</v>
      </c>
      <c r="L37" s="62" t="s">
        <v>202</v>
      </c>
      <c r="M37" s="63" t="s">
        <v>51</v>
      </c>
      <c r="N37" s="63" t="s">
        <v>107</v>
      </c>
      <c r="O37" s="63" t="s">
        <v>54</v>
      </c>
      <c r="P37" s="64">
        <v>100.0</v>
      </c>
      <c r="Q37" s="64">
        <v>80.0</v>
      </c>
      <c r="R37" s="65">
        <f>DADOS.GERAL!$Q37-DADOS.GERAL!$P37</f>
        <v>-20</v>
      </c>
      <c r="T37" s="63" t="s">
        <v>53</v>
      </c>
      <c r="U37" s="66" t="s">
        <v>203</v>
      </c>
      <c r="V37" s="66" t="s">
        <v>204</v>
      </c>
      <c r="W37" s="67">
        <v>29.9</v>
      </c>
      <c r="X37" s="64">
        <v>29.9</v>
      </c>
      <c r="Y37" s="64">
        <f>DADOS.GERAL!$X37-DADOS.GERAL!$W37</f>
        <v>0</v>
      </c>
    </row>
    <row r="38" ht="15.75" customHeight="1">
      <c r="B38" s="62">
        <v>948.0</v>
      </c>
      <c r="C38" s="63" t="s">
        <v>205</v>
      </c>
      <c r="D38" s="63" t="s">
        <v>87</v>
      </c>
      <c r="E38" s="63" t="s">
        <v>105</v>
      </c>
      <c r="F38" s="63" t="s">
        <v>157</v>
      </c>
      <c r="G38" s="63" t="s">
        <v>50</v>
      </c>
      <c r="H38" s="64">
        <v>125.0</v>
      </c>
      <c r="I38" s="64">
        <v>122.5</v>
      </c>
      <c r="J38" s="65">
        <f>DADOS.GERAL!$I38-DADOS.GERAL!$H38</f>
        <v>-2.5</v>
      </c>
      <c r="L38" s="62" t="s">
        <v>206</v>
      </c>
      <c r="M38" s="63" t="s">
        <v>51</v>
      </c>
      <c r="N38" s="63" t="s">
        <v>207</v>
      </c>
      <c r="O38" s="63" t="s">
        <v>54</v>
      </c>
      <c r="P38" s="64">
        <v>80.0</v>
      </c>
      <c r="Q38" s="64">
        <v>99.0</v>
      </c>
      <c r="R38" s="65">
        <f>DADOS.GERAL!$Q38-DADOS.GERAL!$P38</f>
        <v>19</v>
      </c>
      <c r="T38" s="63" t="s">
        <v>59</v>
      </c>
      <c r="U38" s="66" t="s">
        <v>128</v>
      </c>
      <c r="V38" s="66" t="s">
        <v>204</v>
      </c>
      <c r="W38" s="64">
        <v>39.9</v>
      </c>
      <c r="X38" s="64">
        <v>39.9</v>
      </c>
      <c r="Y38" s="64">
        <f>DADOS.GERAL!$X38-DADOS.GERAL!$W38</f>
        <v>0</v>
      </c>
    </row>
    <row r="39" ht="15.75" customHeight="1">
      <c r="B39" s="62">
        <v>1126.0</v>
      </c>
      <c r="C39" s="63" t="s">
        <v>208</v>
      </c>
      <c r="D39" s="63" t="s">
        <v>92</v>
      </c>
      <c r="E39" s="63" t="s">
        <v>105</v>
      </c>
      <c r="F39" s="63" t="s">
        <v>129</v>
      </c>
      <c r="G39" s="63" t="s">
        <v>50</v>
      </c>
      <c r="H39" s="64">
        <v>125.0</v>
      </c>
      <c r="I39" s="64">
        <v>130.0</v>
      </c>
      <c r="J39" s="65">
        <f>DADOS.GERAL!$I39-DADOS.GERAL!$H39</f>
        <v>5</v>
      </c>
      <c r="L39" s="62" t="s">
        <v>202</v>
      </c>
      <c r="M39" s="63" t="s">
        <v>51</v>
      </c>
      <c r="N39" s="63" t="s">
        <v>209</v>
      </c>
      <c r="O39" s="63" t="s">
        <v>60</v>
      </c>
      <c r="P39" s="64">
        <v>284.9</v>
      </c>
      <c r="Q39" s="64">
        <v>299.9</v>
      </c>
      <c r="R39" s="65">
        <f>DADOS.GERAL!$Q39-DADOS.GERAL!$P39</f>
        <v>15</v>
      </c>
      <c r="T39" s="63" t="s">
        <v>59</v>
      </c>
      <c r="U39" s="66" t="s">
        <v>130</v>
      </c>
      <c r="V39" s="66" t="s">
        <v>204</v>
      </c>
      <c r="W39" s="64">
        <v>39.9</v>
      </c>
      <c r="X39" s="64">
        <v>39.9</v>
      </c>
      <c r="Y39" s="64">
        <f>DADOS.GERAL!$X39-DADOS.GERAL!$W39</f>
        <v>0</v>
      </c>
    </row>
    <row r="40" ht="15.75" customHeight="1">
      <c r="B40" s="62">
        <v>926.0</v>
      </c>
      <c r="C40" s="63" t="s">
        <v>210</v>
      </c>
      <c r="D40" s="63" t="s">
        <v>51</v>
      </c>
      <c r="E40" s="63" t="s">
        <v>105</v>
      </c>
      <c r="F40" s="63" t="s">
        <v>157</v>
      </c>
      <c r="G40" s="63" t="s">
        <v>50</v>
      </c>
      <c r="H40" s="64">
        <v>150.0</v>
      </c>
      <c r="I40" s="64">
        <v>200.0</v>
      </c>
      <c r="J40" s="65">
        <f>DADOS.GERAL!$I40-DADOS.GERAL!$H40</f>
        <v>50</v>
      </c>
      <c r="L40" s="32" t="s">
        <v>211</v>
      </c>
      <c r="M40" s="68" t="s">
        <v>51</v>
      </c>
      <c r="N40" s="68" t="s">
        <v>192</v>
      </c>
      <c r="O40" s="68" t="s">
        <v>60</v>
      </c>
      <c r="P40" s="34">
        <v>249.9</v>
      </c>
      <c r="Q40" s="69">
        <v>239.9</v>
      </c>
      <c r="R40" s="70">
        <f>DADOS.GERAL!$Q40-DADOS.GERAL!$P40</f>
        <v>-10</v>
      </c>
    </row>
    <row r="41" ht="15.75" customHeight="1">
      <c r="B41" s="62">
        <v>921.0</v>
      </c>
      <c r="C41" s="63" t="s">
        <v>212</v>
      </c>
      <c r="D41" s="63" t="s">
        <v>51</v>
      </c>
      <c r="E41" s="63" t="s">
        <v>105</v>
      </c>
      <c r="F41" s="63" t="s">
        <v>157</v>
      </c>
      <c r="G41" s="63" t="s">
        <v>50</v>
      </c>
      <c r="H41" s="64">
        <v>180.0</v>
      </c>
      <c r="I41" s="64">
        <v>200.0</v>
      </c>
      <c r="J41" s="65">
        <f>DADOS.GERAL!$I41-DADOS.GERAL!$H41</f>
        <v>20</v>
      </c>
      <c r="L41" s="66" t="s">
        <v>213</v>
      </c>
      <c r="M41" s="66" t="s">
        <v>51</v>
      </c>
      <c r="N41" s="66" t="s">
        <v>192</v>
      </c>
      <c r="O41" s="66" t="s">
        <v>214</v>
      </c>
      <c r="P41" s="69">
        <v>239.9</v>
      </c>
      <c r="Q41" s="69">
        <v>229.9</v>
      </c>
      <c r="R41" s="70">
        <f>DADOS.GERAL!$Q41-DADOS.GERAL!$P41</f>
        <v>-10</v>
      </c>
    </row>
    <row r="42" ht="15.75" customHeight="1">
      <c r="B42" s="62">
        <v>806.0</v>
      </c>
      <c r="C42" s="63" t="s">
        <v>215</v>
      </c>
      <c r="D42" s="63" t="s">
        <v>49</v>
      </c>
      <c r="E42" s="63" t="s">
        <v>113</v>
      </c>
      <c r="F42" s="63" t="s">
        <v>157</v>
      </c>
      <c r="G42" s="63" t="s">
        <v>74</v>
      </c>
      <c r="H42" s="64">
        <v>129.9</v>
      </c>
      <c r="I42" s="64">
        <v>150.9</v>
      </c>
      <c r="J42" s="65">
        <f>DADOS.GERAL!$I42-DADOS.GERAL!$H42</f>
        <v>21</v>
      </c>
    </row>
    <row r="43" ht="15.75" customHeight="1">
      <c r="B43" s="62">
        <v>519.0</v>
      </c>
      <c r="C43" s="63" t="s">
        <v>216</v>
      </c>
      <c r="D43" s="63" t="s">
        <v>83</v>
      </c>
      <c r="E43" s="63" t="s">
        <v>105</v>
      </c>
      <c r="F43" s="63" t="s">
        <v>68</v>
      </c>
      <c r="G43" s="63" t="s">
        <v>65</v>
      </c>
      <c r="H43" s="64">
        <v>150.0</v>
      </c>
      <c r="I43" s="64">
        <v>189.9</v>
      </c>
      <c r="J43" s="65">
        <f>DADOS.GERAL!$I43-DADOS.GERAL!$H43</f>
        <v>39.9</v>
      </c>
    </row>
    <row r="44" ht="15.75" customHeight="1">
      <c r="B44" s="62">
        <v>93.0</v>
      </c>
      <c r="C44" s="63" t="s">
        <v>217</v>
      </c>
      <c r="D44" s="63" t="s">
        <v>80</v>
      </c>
      <c r="E44" s="63" t="s">
        <v>113</v>
      </c>
      <c r="F44" s="63" t="s">
        <v>117</v>
      </c>
      <c r="G44" s="63" t="s">
        <v>60</v>
      </c>
      <c r="H44" s="64">
        <v>159.9</v>
      </c>
      <c r="I44" s="64">
        <v>175.22</v>
      </c>
      <c r="J44" s="65">
        <f>DADOS.GERAL!$I44-DADOS.GERAL!$H44</f>
        <v>15.32</v>
      </c>
    </row>
    <row r="45" ht="15.75" customHeight="1">
      <c r="B45" s="32">
        <v>94.0</v>
      </c>
      <c r="C45" s="68" t="s">
        <v>218</v>
      </c>
      <c r="D45" s="68" t="s">
        <v>80</v>
      </c>
      <c r="E45" s="68" t="s">
        <v>113</v>
      </c>
      <c r="F45" s="68" t="s">
        <v>117</v>
      </c>
      <c r="G45" s="68" t="s">
        <v>60</v>
      </c>
      <c r="H45" s="34">
        <v>129.9</v>
      </c>
      <c r="I45" s="34">
        <v>134.9</v>
      </c>
      <c r="J45" s="70">
        <f>DADOS.GERAL!$I45-DADOS.GERAL!$H45</f>
        <v>5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B1:J2"/>
    <mergeCell ref="L1:R2"/>
    <mergeCell ref="T1:Y2"/>
  </mergeCells>
  <printOptions/>
  <pageMargins bottom="0.787401575" footer="0.0" header="0.0" left="0.511811024" right="0.511811024" top="0.787401575"/>
  <pageSetup paperSize="9" orientation="portrait"/>
  <drawing r:id="rId1"/>
  <tableParts count="3">
    <tablePart r:id="rId5"/>
    <tablePart r:id="rId6"/>
    <tablePart r:id="rId7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2022-06-07T20:07:14Z</dcterms:created>
  <dc:creator>Vitor Fernandes</dc:creator>
</cp:coreProperties>
</file>