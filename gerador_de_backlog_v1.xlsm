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vitor.fernandes\Downloads\"/>
    </mc:Choice>
  </mc:AlternateContent>
  <xr:revisionPtr revIDLastSave="0" documentId="13_ncr:1_{A314371B-098C-4F10-900F-41860E219304}" xr6:coauthVersionLast="47" xr6:coauthVersionMax="47" xr10:uidLastSave="{00000000-0000-0000-0000-000000000000}"/>
  <bookViews>
    <workbookView xWindow="2730" yWindow="2730" windowWidth="21600" windowHeight="11385" activeTab="3" xr2:uid="{00000000-000D-0000-FFFF-FFFF00000000}"/>
  </bookViews>
  <sheets>
    <sheet name="Sydle-Seed" sheetId="2" r:id="rId1"/>
    <sheet name="GLPI-CSTI" sheetId="3" r:id="rId2"/>
    <sheet name="GLPI-M.I" sheetId="4" r:id="rId3"/>
    <sheet name="Backlog" sheetId="5" r:id="rId4"/>
  </sheets>
  <calcPr calcId="191029"/>
  <pivotCaches>
    <pivotCache cacheId="5" r:id="rId5"/>
    <pivotCache cacheId="8" r:id="rId6"/>
    <pivotCache cacheId="1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4" l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</calcChain>
</file>

<file path=xl/sharedStrings.xml><?xml version="1.0" encoding="utf-8"?>
<sst xmlns="http://schemas.openxmlformats.org/spreadsheetml/2006/main" count="1285" uniqueCount="116">
  <si>
    <t>Aging</t>
  </si>
  <si>
    <t>Atividade</t>
  </si>
  <si>
    <t>Data de criação</t>
  </si>
  <si>
    <t>Data de última atualização</t>
  </si>
  <si>
    <t>Aging Mod</t>
  </si>
  <si>
    <t>Título</t>
  </si>
  <si>
    <t>Data de abertura</t>
  </si>
  <si>
    <t>Última atualização</t>
  </si>
  <si>
    <t>Tipo</t>
  </si>
  <si>
    <t>Aprovação - Aprovação</t>
  </si>
  <si>
    <t>Total Geral</t>
  </si>
  <si>
    <t>Máx de Aging</t>
  </si>
  <si>
    <t>Contagem de Atividade</t>
  </si>
  <si>
    <t>Máx de Aging Mod</t>
  </si>
  <si>
    <t>Sydle - Seed</t>
  </si>
  <si>
    <t>Contagem de Título</t>
  </si>
  <si>
    <t>CSTI - Suporte Remoto</t>
  </si>
  <si>
    <t>M.I - Suporte Campo</t>
  </si>
  <si>
    <t>CSTI - Instalar e configurar scanner para Secretaria Acadêmica Digital e Provas Digitais</t>
  </si>
  <si>
    <t>Vitor Fernandes</t>
  </si>
  <si>
    <t>CSTI - Requisição do Certificado Digital</t>
  </si>
  <si>
    <t>Privilégios de acesso - CSTI</t>
  </si>
  <si>
    <t>Requisição</t>
  </si>
  <si>
    <t>Esperando por uma validação</t>
  </si>
  <si>
    <t>E-mail Office 365 - Falha</t>
  </si>
  <si>
    <t>Incidente</t>
  </si>
  <si>
    <t>Não está sujeita a aprovação</t>
  </si>
  <si>
    <t>Privilégio de acesso - Portal Ead/App</t>
  </si>
  <si>
    <t>Concedida</t>
  </si>
  <si>
    <t>Privilégio de acesso - Portal de solicitações de materiais</t>
  </si>
  <si>
    <t>Intranet - Credencial de acesso</t>
  </si>
  <si>
    <t>E-mail - Google - Redefinir senha</t>
  </si>
  <si>
    <t>Lista de distribuição - Office365 - Alterar</t>
  </si>
  <si>
    <t>Portal Ead/APP - Credencial de acesso</t>
  </si>
  <si>
    <t>Privilégio de acesso - Lyceum</t>
  </si>
  <si>
    <t>Lyceum - Credencial de acesso</t>
  </si>
  <si>
    <t>E-mail Office 365 - Alteração</t>
  </si>
  <si>
    <t>E-mail Office 365 - Credencial de acesso</t>
  </si>
  <si>
    <t>Sistemas / Portal Mundo Azul - Falha</t>
  </si>
  <si>
    <t>VPN - Falha</t>
  </si>
  <si>
    <t>Pasta V: - Privilégios de acesso</t>
  </si>
  <si>
    <t>[EXTERNO]Admissão Unicesumar</t>
  </si>
  <si>
    <t>VPN - Criar</t>
  </si>
  <si>
    <t>Habilitar Usuário - Colaborador Unicesumar</t>
  </si>
  <si>
    <t>Portal de solicitações - Credencial de acesso</t>
  </si>
  <si>
    <t>Impressora - PIN</t>
  </si>
  <si>
    <t>Privilégio de acesso - Intranet</t>
  </si>
  <si>
    <t>Programas - Instalação</t>
  </si>
  <si>
    <t>Internet - Falha</t>
  </si>
  <si>
    <t>Pasta V - Falha</t>
  </si>
  <si>
    <t>Folha de Pagamento - Convenios RH diversos</t>
  </si>
  <si>
    <t>E-mail Office 365 - Redefinir senha</t>
  </si>
  <si>
    <t>E-mail Vitru - Redefinir senha</t>
  </si>
  <si>
    <t>Sistemas / Outros sistemas - Falha</t>
  </si>
  <si>
    <t>Acesso à internet - Site bloqueado</t>
  </si>
  <si>
    <t>Usuário terceirizado - Criar</t>
  </si>
  <si>
    <t>E-mail - Lista de Distribuição - Office365 - Falha</t>
  </si>
  <si>
    <t>Acesso à internet - Privilégio de acesso</t>
  </si>
  <si>
    <t>SPO - Redefinir senha</t>
  </si>
  <si>
    <t>Desabilitar / Bloquear usuário - Colaborador Unicesumar</t>
  </si>
  <si>
    <t>Privilégio de acesso - SPO</t>
  </si>
  <si>
    <t>Privilégio de acesso - Desktop</t>
  </si>
  <si>
    <t>Privilégio de acesso - OutbuyCenter</t>
  </si>
  <si>
    <t>OutbuyCenter - Credencial de acesso</t>
  </si>
  <si>
    <t>Sistemas / Intranet - Módulos - Diário Eletrônico - Falha</t>
  </si>
  <si>
    <t>Sistemas / Lyceum - Falha</t>
  </si>
  <si>
    <t>Aplicativo - Atualizar</t>
  </si>
  <si>
    <t>Programas - Falha</t>
  </si>
  <si>
    <t>Portal Ead/APP - Bloqueio</t>
  </si>
  <si>
    <t>E-mail Office 365 - Suspender acesso</t>
  </si>
  <si>
    <t>E-mail - Google - Credencial de acesso</t>
  </si>
  <si>
    <t>Sistemas / Portal de solicitações de materiais - Solicitação de melhoria</t>
  </si>
  <si>
    <t>Recusado</t>
  </si>
  <si>
    <t>Programas - Atualização</t>
  </si>
  <si>
    <t>Sistemas / OutbuyCenter - Solicitação de melhoria</t>
  </si>
  <si>
    <t>Sistemas operacionais - Instalar</t>
  </si>
  <si>
    <t>CSTI - Solicitação de Melhorias</t>
  </si>
  <si>
    <t>Teams - Incluir</t>
  </si>
  <si>
    <t>Programas - Licenças de software - Transferir licença</t>
  </si>
  <si>
    <t>E-mail - Office 365 - Conta - Backup</t>
  </si>
  <si>
    <t>Notebook - Formatar</t>
  </si>
  <si>
    <t>Hardware - Impressoras - Troca de suprimentos</t>
  </si>
  <si>
    <t>Hardware - Impressoras - Falha</t>
  </si>
  <si>
    <t>Hardware - Scanner - Instalação</t>
  </si>
  <si>
    <t>Hardware - Impressoras - Instalação</t>
  </si>
  <si>
    <t>Hardware - Periféricos/Dispositivos e Acessórios - Aquisição</t>
  </si>
  <si>
    <t>Desktop - Formatar</t>
  </si>
  <si>
    <t>Hardware - Periféricos/Dispositivos e Acessórios - Empréstimo</t>
  </si>
  <si>
    <t>Desktop - Instalar</t>
  </si>
  <si>
    <t>Hardware - Impressoras - Configuração</t>
  </si>
  <si>
    <t>Desktop - Falha</t>
  </si>
  <si>
    <t>Notebook - Falha</t>
  </si>
  <si>
    <t>Hardware - Impressoras - Aquisição</t>
  </si>
  <si>
    <t>Notebook - Aquisição</t>
  </si>
  <si>
    <t>Eventos - Alocação de Equipe</t>
  </si>
  <si>
    <t>Equipamentos - Notebook - Falha</t>
  </si>
  <si>
    <t>Notebook - Configurar</t>
  </si>
  <si>
    <t>Desktop - Substituir</t>
  </si>
  <si>
    <t>Desktop - Configurar</t>
  </si>
  <si>
    <t>E-mail - Configuração do e-mail no celular</t>
  </si>
  <si>
    <t>Desktop - Movimentar</t>
  </si>
  <si>
    <t>Ferramenta - Firewall - Antivírus - Configurar</t>
  </si>
  <si>
    <t>Hardware - Impressoras - Movimentação</t>
  </si>
  <si>
    <t>Usuário - Efetivo - Falha</t>
  </si>
  <si>
    <t>Hardware - Periféricos/Dispositivos e Acessórios - Falha</t>
  </si>
  <si>
    <t>Ferramenta - Firewall - VPN - Ativar</t>
  </si>
  <si>
    <t>Desktop - Emprestar</t>
  </si>
  <si>
    <t>Hardware - Scanner - Falha</t>
  </si>
  <si>
    <t>Desktop - Recolher</t>
  </si>
  <si>
    <t>Hardware - Periféricos/Dispositivos e Acessórios - Instalação</t>
  </si>
  <si>
    <t>Hardware - Periféricos/Dispositivos e Acessórios - Movimentação</t>
  </si>
  <si>
    <t>Notebook - Substituir</t>
  </si>
  <si>
    <t>Equipamentos - Desktop - Falha</t>
  </si>
  <si>
    <t>Chromebook - Substituir</t>
  </si>
  <si>
    <t>Criado por</t>
  </si>
  <si>
    <t xml:space="preserve">Criado por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</si>
</sst>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\ h:mm"/>
    <numFmt numFmtId="165" formatCode="m/d/yyyy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Protection="1"/>
    <xf numFmtId="14" fontId="0" fillId="0" borderId="0" xfId="0" applyNumberFormat="1" applyProtection="1"/>
    <xf numFmtId="165" fontId="0" fillId="0" borderId="1" xfId="0" applyNumberFormat="1" applyBorder="1" applyProtection="1"/>
    <xf numFmtId="165" fontId="0" fillId="0" borderId="5" xfId="0" applyNumberFormat="1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1" fillId="0" borderId="0" xfId="0" applyFont="1" applyAlignment="1" applyProtection="1">
      <alignment horizontal="right"/>
    </xf>
    <xf numFmtId="14" fontId="1" fillId="0" borderId="0" xfId="0" applyNumberFormat="1" applyFont="1" applyAlignment="1" applyProtection="1">
      <alignment horizontal="right"/>
    </xf>
    <xf numFmtId="0" fontId="0" fillId="0" borderId="3" xfId="0" applyBorder="1" applyAlignment="1" applyProtection="1"/>
    <xf numFmtId="0" fontId="0" fillId="0" borderId="4" xfId="0" applyBorder="1" applyAlignment="1" applyProtection="1"/>
    <xf numFmtId="164" fontId="0" fillId="0" borderId="1" xfId="0" applyNumberFormat="1" applyBorder="1" applyAlignment="1" applyProtection="1"/>
    <xf numFmtId="164" fontId="0" fillId="0" borderId="5" xfId="0" applyNumberFormat="1" applyBorder="1" applyAlignment="1" applyProtection="1"/>
    <xf numFmtId="22" fontId="0" fillId="0" borderId="0" xfId="0" applyNumberFormat="1" applyProtection="1"/>
    <xf numFmtId="164" fontId="0" fillId="0" borderId="1" xfId="0" applyNumberFormat="1" applyBorder="1" applyAlignment="1" applyProtection="1">
      <alignment wrapText="1"/>
    </xf>
    <xf numFmtId="0" fontId="0" fillId="0" borderId="1" xfId="0" pivotButton="1" applyBorder="1" applyProtection="1"/>
    <xf numFmtId="0" fontId="0" fillId="0" borderId="1" xfId="0" applyBorder="1" applyProtection="1"/>
    <xf numFmtId="0" fontId="0" fillId="0" borderId="1" xfId="0" applyBorder="1" applyAlignment="1" applyProtection="1">
      <alignment horizontal="left"/>
    </xf>
    <xf numFmtId="0" fontId="0" fillId="0" borderId="1" xfId="0" applyNumberFormat="1" applyBorder="1" applyProtection="1"/>
    <xf numFmtId="1" fontId="0" fillId="0" borderId="1" xfId="0" applyNumberFormat="1" applyBorder="1" applyProtection="1"/>
    <xf numFmtId="0" fontId="1" fillId="0" borderId="0" xfId="0" applyFont="1" applyProtection="1"/>
    <xf numFmtId="14" fontId="1" fillId="0" borderId="0" xfId="0" applyNumberFormat="1" applyFont="1" applyProtection="1"/>
  </cellXfs>
  <cellStyles count="1">
    <cellStyle name="Normal" xfId="0" builtinId="0"/>
  </cellStyles>
  <dxfs count="73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numFmt numFmtId="164" formatCode="m/d/yyyy\ h:mm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64" formatCode="m/d/yyyy\ h:mm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27" formatCode="dd/mm/yyyy\ hh:mm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7" formatCode="dd/mm/yyyy\ hh:mm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64" formatCode="m/d/yyyy\ h:mm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64" formatCode="m/d/yyyy\ h:mm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27" formatCode="dd/mm/yyyy\ hh:mm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7" formatCode="dd/mm/yyyy\ hh:mm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protection locked="1" hidden="0"/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numFmt numFmtId="165" formatCode="m/d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65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or Fernandes" refreshedDate="44888.785155092592" createdVersion="6" refreshedVersion="8" minRefreshableVersion="3" recordCount="52" xr:uid="{00000000-000A-0000-FFFF-FFFF15000000}">
  <cacheSource type="worksheet">
    <worksheetSource name="Tabela2"/>
  </cacheSource>
  <cacheFields count="5">
    <cacheField name="Atividade" numFmtId="0">
      <sharedItems containsBlank="1" count="14">
        <s v="CSTI - Instalar e configurar scanner para Secretaria Acadêmica Digital e Provas Digitais"/>
        <s v="CSTI - Requisição do Certificado Digital"/>
        <m u="1"/>
        <s v="CSTI - Regularizar acesso Mundo Azul" u="1"/>
        <s v="CSTI - Atender Dúvida" u="1"/>
        <s v="CSTI - Validar teste" u="1"/>
        <s v="CSTI - Alterar e-mail" u="1"/>
        <s v="CSTI - Criar e-mail para o colaborador" u="1"/>
        <s v="CSTI - Inserir/Alterar e-mail do colaborador no grupo de e-mail do polo" u="1"/>
        <s v="CSTI - Requisição do Certificado Digital (fluxo de instalação)" u="1"/>
        <s v="CSTI - Reavaliar teste" u="1"/>
        <s v="CSTI - Redefinir Senha" u="1"/>
        <s v="CSTI - Bloquear usuário" u="1"/>
        <s v="CSTI - Criar e-mail e associar ao grupo do Polo" u="1"/>
      </sharedItems>
    </cacheField>
    <cacheField name="Data de criação" numFmtId="14">
      <sharedItems containsSemiMixedTypes="0" containsNonDate="0" containsDate="1" containsString="0" minDate="2020-11-18T00:00:00" maxDate="2022-11-23T00:00:00"/>
    </cacheField>
    <cacheField name="Data de última atualização" numFmtId="14">
      <sharedItems containsSemiMixedTypes="0" containsNonDate="0" containsDate="1" containsString="0" minDate="2022-09-12T00:00:00" maxDate="2022-11-23T00:00:00"/>
    </cacheField>
    <cacheField name="Aging" numFmtId="165">
      <sharedItems containsSemiMixedTypes="0" containsNonDate="0" containsDate="1" containsString="0" minDate="1899-12-31T18:50:29" maxDate="1902-01-04T18:50:29"/>
    </cacheField>
    <cacheField name="Aging Mod" numFmtId="165">
      <sharedItems containsSemiMixedTypes="0" containsNonDate="0" containsDate="1" containsString="0" minDate="1899-12-31T18:50:29" maxDate="1900-03-12T18:50: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or Fernandes" refreshedDate="44888.785155671299" createdVersion="6" refreshedVersion="8" minRefreshableVersion="3" recordCount="185" xr:uid="{00000000-000A-0000-FFFF-FFFF18000000}">
  <cacheSource type="worksheet">
    <worksheetSource name="Tabela3"/>
  </cacheSource>
  <cacheFields count="7">
    <cacheField name="Título" numFmtId="0">
      <sharedItems containsBlank="1" count="189">
        <s v="Título"/>
        <s v="Privilégios de acesso - CSTI"/>
        <s v="E-mail Office 365 - Falha"/>
        <s v="Privilégio de acesso - Portal Ead/App"/>
        <s v="Privilégio de acesso - Portal de solicitações de materiais"/>
        <s v="Intranet - Credencial de acesso"/>
        <s v="E-mail - Google - Redefinir senha"/>
        <s v="Lista de distribuição - Office365 - Alterar"/>
        <s v="Portal Ead/APP - Credencial de acesso"/>
        <s v="Privilégio de acesso - Lyceum"/>
        <s v="Lyceum - Credencial de acesso"/>
        <s v="E-mail Office 365 - Alteração"/>
        <s v="E-mail Office 365 - Credencial de acesso"/>
        <s v="Sistemas / Portal Mundo Azul - Falha"/>
        <s v="VPN - Falha"/>
        <s v="Pasta V: - Privilégios de acesso"/>
        <s v="[EXTERNO]Admissão Unicesumar"/>
        <s v="VPN - Criar"/>
        <s v="Habilitar Usuário - Colaborador Unicesumar"/>
        <s v="Portal de solicitações - Credencial de acesso"/>
        <s v="Impressora - PIN"/>
        <s v="Privilégio de acesso - Intranet"/>
        <s v="Programas - Instalação"/>
        <s v="Internet - Falha"/>
        <s v="Pasta V - Falha"/>
        <s v="Folha de Pagamento - Convenios RH diversos"/>
        <s v="E-mail Office 365 - Redefinir senha"/>
        <s v="E-mail Vitru - Redefinir senha"/>
        <s v="Sistemas / Outros sistemas - Falha"/>
        <s v="Acesso à internet - Site bloqueado"/>
        <s v="Usuário terceirizado - Criar"/>
        <s v="E-mail - Lista de Distribuição - Office365 - Falha"/>
        <s v="Acesso à internet - Privilégio de acesso"/>
        <s v="SPO - Redefinir senha"/>
        <s v="Desabilitar / Bloquear usuário - Colaborador Unicesumar"/>
        <s v="Privilégio de acesso - SPO"/>
        <s v="Privilégio de acesso - Desktop"/>
        <s v="Privilégio de acesso - OutbuyCenter"/>
        <s v="OutbuyCenter - Credencial de acesso"/>
        <s v="Sistemas / Intranet - Módulos - Diário Eletrônico - Falha"/>
        <s v="Sistemas / Lyceum - Falha"/>
        <s v="Aplicativo - Atualizar"/>
        <s v="Programas - Falha"/>
        <s v="Portal Ead/APP - Bloqueio"/>
        <s v="E-mail Office 365 - Suspender acesso"/>
        <s v="E-mail - Google - Credencial de acesso"/>
        <s v="Sistemas / Portal de solicitações de materiais - Solicitação de melhoria"/>
        <s v="Programas - Atualização"/>
        <s v="Sistemas / OutbuyCenter - Solicitação de melhoria"/>
        <s v="Sistemas operacionais - Instalar"/>
        <s v="CSTI - Solicitação de Melhorias"/>
        <s v="Teams - Incluir"/>
        <s v="Programas - Licenças de software - Transferir licença"/>
        <s v="E-mail - Office 365 - Conta - Backup"/>
        <s v="Programas - Dúvidas na utilização" u="1"/>
        <m u="1"/>
        <s v="Hardware - Periféricos/Dispositivos e Acessórios - Instalação" u="1"/>
        <s v="Desktop - Instalar" u="1"/>
        <s v="Rede Dominio - Desktop - Incluir" u="1"/>
        <s v="Ferramenta - Firewall - VPN - Ativar" u="1"/>
        <s v="Sistemas / Intranet - Intranet Módulos - Projeto Cientifico - Criar" u="1"/>
        <s v="Sistemas / Intranet - Intranet Módulos - Banco de questões - Dúvidas" u="1"/>
        <s v="Desktop - Configurar" u="1"/>
        <s v="Sistemas / Intranet - Módulos - Painel Frequências - Falha" u="1"/>
        <s v="Notebook - Falha" u="1"/>
        <s v="Lista de distribuição - Office365 - Criar" u="1"/>
        <s v="Notebook - Recolher" u="1"/>
        <s v="Equipamentos - Notebook - Falha" u="1"/>
        <s v="Sistemas / Portal APP - Dúvida" u="1"/>
        <s v="Ferramenta - Firewall - VPN - Configurar" u="1"/>
        <s v="Desktop - Formatar" u="1"/>
        <s v="Sistemas / GID - Relatório pontual" u="1"/>
        <s v="E-mail - Office 365 - Conta - Restore" u="1"/>
        <s v="Centro de Custo - AD" u="1"/>
        <s v="AD - Grupos de compartilhamento - Configurar" u="1"/>
        <s v="Desktop - Movimentar" u="1"/>
        <s v="Usuário - Efetivo - Falha" u="1"/>
        <s v="E-mail - Anti-Spam - Microsoft - Liberar" u="1"/>
        <s v="Teams - Alterar" u="1"/>
        <s v="Sistemas / Lyceum - Financeiro - Processos" u="1"/>
        <s v="GID - Falha" u="1"/>
        <s v="Sistemas / SPO - Dúvida" u="1"/>
        <s v="Portal de solicitações - Redefinir senha" u="1"/>
        <s v="Notebook - Instalar" u="1"/>
        <s v="Sistemas / Intranet - Módulos - Plano de ensino - Relatórios - Falha" u="1"/>
        <s v="Aplicativo - Falha" u="1"/>
        <s v="Sistemas / Senior - Falha" u="1"/>
        <s v="Notebook - Substituir" u="1"/>
        <s v="Hardware - Scanner - Configuração" u="1"/>
        <s v="Senior - Credencial de acesso" u="1"/>
        <s v="Portal Mundo Azul - Credencial de acesso" u="1"/>
        <s v="Sistemas / Portal Ead - Módulos - Comercial - Processo Seletivo - Inscrições" u="1"/>
        <s v="Hardware - Impressoras - Configuração" u="1"/>
        <s v="CSTI - Falhas" u="1"/>
        <s v="Lista de distribuição - Office365 - Remover" u="1"/>
        <s v="Senior - Redefinir senha" u="1"/>
        <s v="AD - Falha" u="1"/>
        <s v="Hardware - Periféricos/Dispositivos e Acessórios - Remoção" u="1"/>
        <s v="Notebook - Configurar" u="1"/>
        <s v="Lyceum - Redefinir senha" u="1"/>
        <s v="Admissão Unicesumar" u="1"/>
        <s v="Hardware - Impressoras - Falha" u="1"/>
        <s v="E-mail - Lista de distribuição - Office365 - Criar" u="1"/>
        <s v="Sistemas / Lyceum - Financeiro - Pagamento - Falha" u="1"/>
        <s v="E-mail - Lista de distribuição - Office365 - Incluir" u="1"/>
        <s v="Tablet - Recolher" u="1"/>
        <s v="AD - Perfil de acesso - Falha" u="1"/>
        <s v="Desktop - Recolher" u="1"/>
        <s v="Portal de solicitações - Bloqueio" u="1"/>
        <s v="Sistemas / Lyceum - Serviços - Processos" u="1"/>
        <s v="Desktop - Emprestar" u="1"/>
        <s v="Notebook - Formatar" u="1"/>
        <s v="E-mail - Google - Conta - Falha" u="1"/>
        <s v="Privilégio de acesso - GID" u="1"/>
        <s v="Aplicativo - Instalar" u="1"/>
        <s v="Wifi-Voucher" u="1"/>
        <s v="Hardware - Impressoras - Troca de suprimentos" u="1"/>
        <s v="E-mail - Office 365 - Conta - Suspender acesso" u="1"/>
        <s v="Aplicativo - Configurar" u="1"/>
        <s v="Sistemas / Lyceum - Solicitação de melhoria" u="1"/>
        <s v="Sistemas / Portal Ead - Módulos - Comercial - Processo Seletivo - Campanhas" u="1"/>
        <s v="Hardware - Scanner - Instalação" u="1"/>
        <s v="AD - Configurar" u="1"/>
        <s v="Acesso à internet - Privilégio de acesso Wi-fi" u="1"/>
        <s v="E-mail - Lista de distribuição - Office365 - Remover" u="1"/>
        <s v="Intranet - Bloqueio" u="1"/>
        <s v="Pasta V: - Modificar acesso" u="1"/>
        <s v="E-mail - Lista de distribuição - Office365 - Alterar" u="1"/>
        <s v="Privilégio de acesso - Portal Mundo Azul" u="1"/>
        <s v="SPO - Bloqueio" u="1"/>
        <s v="Hardware - Periféricos/Dispositivos e Acessórios - Falha" u="1"/>
        <s v="Equipamentos - Desktop - Falha" u="1"/>
        <s v="Sistemas / Intranet - Intranet Módulos - Banco de questões - Alterar" u="1"/>
        <s v="Desktop - Falha" u="1"/>
        <s v="Salas de Reunião - Alterar" u="1"/>
        <s v="E-mail - Office365 - Conta - Falha" u="1"/>
        <s v="AD - Logs de acessos - Configurar" u="1"/>
        <s v="Sistemas operacionais - Configurar" u="1"/>
        <s v="Sistemas / Portal Ead - Módulos - Comercial - Negociação" u="1"/>
        <s v="VPN - Alterar" u="1"/>
        <s v="Notebook - Movimentar" u="1"/>
        <s v="Portal Ead/APP - Redefinir senha" u="1"/>
        <s v="Studeo - Web - GRADUAÇÃO EAD Dúvida" u="1"/>
        <s v="E-mail - Google - Conta - Credencial de acesso" u="1"/>
        <s v="Sistemas / Portal Ead - Falha" u="1"/>
        <s v="Sistemas / Intranet - Módulos - Cielo/Getnet - Falha" u="1"/>
        <s v="Sistemas / SPO - Falha" u="1"/>
        <s v="Portal de colaboradores - Acesso" u="1"/>
        <s v="Privilégio de acesso - Senior" u="1"/>
        <s v="Habilitar colaborador desligado" u="1"/>
        <s v="Lista de distribuição - Office365 - Incluir" u="1"/>
        <s v="Hardware - Scanner - Falha" u="1"/>
        <s v="Git - Usuário efetivo - Configurar" u="1"/>
        <s v="Privilégio de acesso - Totvs" u="1"/>
        <s v="Hardware - Periféricos/Dispositivos e Acessórios - Configuração" u="1"/>
        <s v="E-mail - Configuração do e-mail no celular" u="1"/>
        <s v="Intranet - Redefinir Senha" u="1"/>
        <s v="Sistemas / Intranet - Intranet Módulos - Acadêmico - Alterar" u="1"/>
        <s v="Totvs - Credencial de acesso" u="1"/>
        <s v="Hardware - Periféricos/Dispositivos e Acessórios - Aquisição" u="1"/>
        <s v="E-mail - Goole - Conta - Backup" u="1"/>
        <s v="Usuário - Genérico" u="1"/>
        <s v="Usuário - Efetivo" u="1"/>
        <s v="Hardware - Impressoras - Aquisição" u="1"/>
        <s v="Sistemas / Portal de solicitações de materiais - Dúvida" u="1"/>
        <s v="Sistemas / OutbuyCenter - Falha" u="1"/>
        <s v="E-mail - Google - Conta - Redefinir senha" u="1"/>
        <s v="E-mail - Office 365 - Conta - Redefinir senha" u="1"/>
        <s v="Hardware - Impressoras - Instalação" u="1"/>
        <s v="Sistemas / Portal APP - Falha" u="1"/>
        <s v="Hardware - Periféricos/Dispositivos e Acessórios - Movimentação" u="1"/>
        <s v="Sistemas / Intranet - Módulos - Banco de questões - Falha" u="1"/>
        <s v="E-mail - Office 365 - Conta - Credencial de acesso" u="1"/>
        <s v="Sistemas / Lyceum - Hades - Falha" u="1"/>
        <s v="Sistemas / Portal Ead - Módulos - Relatórios - Criar" u="1"/>
        <s v="Sistemas / Portal de solicitações - Falha" u="1"/>
        <s v="Totvs - Redefinir Senha" u="1"/>
        <s v="SPO - Credencial de acesso" u="1"/>
        <s v="Sistemas / Portal EAD - Módulos - Relatórios - Falha" u="1"/>
        <s v="AD - Perfil de acesso - Configurar" u="1"/>
        <s v="Notebook - Emprestar" u="1"/>
        <s v="Gid - Credencial de acesso" u="1"/>
        <s v="Desktop - Aquisição" u="1"/>
        <s v="Desktop - Substituir" u="1"/>
        <s v="Chromebook - Recolher" u="1"/>
        <s v="Hardware - Impressoras - Movimentação" u="1"/>
        <s v="Chromebook - Substituir" u="1"/>
        <s v="E-mail - Office 365 - Conta - Alteração" u="1"/>
        <s v="Atualização de Versão - Todos os módulos" u="1"/>
      </sharedItems>
    </cacheField>
    <cacheField name="Data de abertura" numFmtId="0">
      <sharedItems containsDate="1" containsMixedTypes="1" minDate="2022-09-22T15:49:00" maxDate="2022-11-22T19:31:00"/>
    </cacheField>
    <cacheField name="Última atualização" numFmtId="0">
      <sharedItems containsDate="1" containsMixedTypes="1" minDate="2022-10-04T11:41:00" maxDate="2022-11-22T19:31:00"/>
    </cacheField>
    <cacheField name="Tipo" numFmtId="0">
      <sharedItems/>
    </cacheField>
    <cacheField name="Aprovação - Aprovação" numFmtId="0">
      <sharedItems/>
    </cacheField>
    <cacheField name="Aging" numFmtId="164">
      <sharedItems containsDate="1" containsMixedTypes="1" minDate="1899-12-30T23:19:29" maxDate="1900-03-02T03:01:29"/>
    </cacheField>
    <cacheField name="Aging Mod" numFmtId="164">
      <sharedItems containsDate="1" containsMixedTypes="1" minDate="1899-12-30T23:19:29" maxDate="1900-02-18T07:09: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or Fernandes" refreshedDate="44888.78515625" createdVersion="6" refreshedVersion="8" minRefreshableVersion="3" recordCount="179" xr:uid="{00000000-000A-0000-FFFF-FFFF1B000000}">
  <cacheSource type="worksheet">
    <worksheetSource name="Tabela4"/>
  </cacheSource>
  <cacheFields count="12">
    <cacheField name="ID" numFmtId="0">
      <sharedItems/>
    </cacheField>
    <cacheField name="Título" numFmtId="0">
      <sharedItems containsBlank="1" count="160">
        <s v="Notebook - Formatar"/>
        <s v="Hardware - Impressoras - Troca de suprimentos"/>
        <s v="Hardware - Impressoras - Falha"/>
        <s v="Hardware - Scanner - Instalação"/>
        <s v="Hardware - Impressoras - Instalação"/>
        <s v="Hardware - Periféricos/Dispositivos e Acessórios - Aquisição"/>
        <s v="Desktop - Formatar"/>
        <s v="Hardware - Periféricos/Dispositivos e Acessórios - Empréstimo"/>
        <s v="Desktop - Instalar"/>
        <s v="Hardware - Impressoras - Configuração"/>
        <s v="Desktop - Falha"/>
        <s v="Notebook - Falha"/>
        <s v="Privilégio de acesso - Desktop"/>
        <s v="Hardware - Impressoras - Aquisição"/>
        <s v="Notebook - Aquisição"/>
        <s v="Eventos - Alocação de Equipe"/>
        <s v="Equipamentos - Notebook - Falha"/>
        <s v="Notebook - Configurar"/>
        <s v="VPN - Criar"/>
        <s v="Desktop - Substituir"/>
        <s v="E-mail - Office 365 - Conta - Backup"/>
        <s v="Desktop - Configurar"/>
        <s v="E-mail - Configuração do e-mail no celular"/>
        <s v="Desktop - Movimentar"/>
        <s v="Ferramenta - Firewall - Antivírus - Configurar"/>
        <s v="Sistemas / Outros sistemas - Falha"/>
        <s v="Acesso à internet - Site bloqueado"/>
        <s v="Hardware - Impressoras - Movimentação"/>
        <s v="Usuário - Efetivo - Falha"/>
        <s v="Hardware - Periféricos/Dispositivos e Acessórios - Falha"/>
        <s v="Sistemas operacionais - Instalar"/>
        <s v="Programas - Instalação"/>
        <s v="Ferramenta - Firewall - VPN - Ativar"/>
        <s v="E-mail Office 365 - Falha"/>
        <s v="Desktop - Emprestar"/>
        <s v="Hardware - Scanner - Falha"/>
        <s v="Desktop - Recolher"/>
        <s v="Programas - Falha"/>
        <s v="Hardware - Periféricos/Dispositivos e Acessórios - Instalação"/>
        <s v="Hardware - Periféricos/Dispositivos e Acessórios - Movimentação"/>
        <s v="Programas - Atualização"/>
        <s v="Internet - Falha"/>
        <s v="Notebook - Substituir"/>
        <s v="Equipamentos - Desktop - Falha"/>
        <s v="Chromebook - Substituir"/>
        <m u="1"/>
        <s v="Rede Dominio - Desktop - Incluir" u="1"/>
        <s v="Hardware - Scanner - Empréstimo" u="1"/>
        <s v="Sistemas / Intranet - Módulos - Painel Frequências - Falha" u="1"/>
        <s v="Notebook - Recolher" u="1"/>
        <s v="Sistemas / Portal APP - Dúvida" u="1"/>
        <s v="Ferramenta - Firewall - VPN - Configurar" u="1"/>
        <s v="Servidores - Backup" u="1"/>
        <s v="E-mail - Office 365 - Conta - Restore" u="1"/>
        <s v="Centro de Custo - AD" u="1"/>
        <s v="Portal Ead/APP - Bloqueio" u="1"/>
        <s v="Certificados - Instalar" u="1"/>
        <s v="Sistemas / Lyceum - Financeiro - Processos" u="1"/>
        <s v="GID - Falha" u="1"/>
        <s v="Chromebook - Instalar" u="1"/>
        <s v="Sistemas / SPO - Dúvida" u="1"/>
        <s v="Notebook - Instalar" u="1"/>
        <s v="Sistemas / Intranet - Módulos - Plano de ensino - Relatórios - Falha" u="1"/>
        <s v="Usuário terceirizado - Criar" u="1"/>
        <s v="Aplicativo - Falha" u="1"/>
        <s v="Sistemas / Senior - Falha" u="1"/>
        <s v="Hardware - Scanner - Configuração" u="1"/>
        <s v="Senior - Credencial de acesso" u="1"/>
        <s v="Portal Mundo Azul - Credencial de acesso" u="1"/>
        <s v="Pasta V: - Privilégios de acesso" u="1"/>
        <s v="Lyceum - Credencial de acesso" u="1"/>
        <s v="CSTI - Falhas" u="1"/>
        <s v="Privilégio de acesso - SPO" u="1"/>
        <s v="Hardware - Periféricos/Dispositivos e Acessórios - Remoção" u="1"/>
        <s v="Lyceum - Redefinir senha" u="1"/>
        <s v="Admissão Unicesumar" u="1"/>
        <s v="VPN - Falha" u="1"/>
        <s v="Portal Ead/APP - Credencial de acesso" u="1"/>
        <s v="E-mail - Lista de distribuição - Office365 - Criar" u="1"/>
        <s v="Sistemas / Lyceum - Financeiro - Pagamento - Falha" u="1"/>
        <s v="Privilégio de acesso - Portal Ead/App" u="1"/>
        <s v="E-mail - Lista de distribuição - Office365 - Incluir" u="1"/>
        <s v="Programas - Licenças de software - Transferir licença" u="1"/>
        <s v="Tablet - Recolher" u="1"/>
        <s v="E-mail - Lista de Distribuição - Office365 - Falha" u="1"/>
        <s v="Sistemas / Lyceum - Serviços - Processos" u="1"/>
        <s v="E-mail - Google - Conta - Falha" u="1"/>
        <s v="Programas - Licenças de software - Aquisição de software" u="1"/>
        <s v="Privilégio de acesso - GID" u="1"/>
        <s v="Aplicativo - Instalar" u="1"/>
        <s v="Wifi-Voucher" u="1"/>
        <s v="Privilégios de acesso - CSTI" u="1"/>
        <s v="E-mail - Office 365 - Conta - Suspender acesso" u="1"/>
        <s v="Hardware - Impressoras - Remoção" u="1"/>
        <s v="Aplicativo - Configurar" u="1"/>
        <s v="Sistemas / Lyceum - Solicitação de melhoria" u="1"/>
        <s v="Impressora - PIN" u="1"/>
        <s v="Sistemas / Portal Ead - Módulos - Comercial - Processo Seletivo - Campanhas" u="1"/>
        <s v="AD - Configurar" u="1"/>
        <s v="Acesso à internet - Privilégio de acesso Wi-fi" u="1"/>
        <s v="Pasta V - Falha" u="1"/>
        <s v="Teams - Incluir" u="1"/>
        <s v="Pasta V: - Modificar acesso" u="1"/>
        <s v="Ferramenta - Firewall - Antivírus - Ativar" u="1"/>
        <s v="Privilégio de acesso - Portal de solicitações de materiais" u="1"/>
        <s v="E-mail - Lista de distribuição - Office365 - Alterar" u="1"/>
        <s v="Privilégio de acesso - Portal Mundo Azul" u="1"/>
        <s v="Sistemas / Intranet - Intranet Módulos - Banco de questões - Alterar" u="1"/>
        <s v="Salas de Reunião - Alterar" u="1"/>
        <s v="E-mail - Office365 - Conta - Falha" u="1"/>
        <s v="Programas - Licenças de software - Renovar licença" u="1"/>
        <s v="Sistemas / Lyceum - Falha" u="1"/>
        <s v="Privilégio de acesso - Intranet" u="1"/>
        <s v="Sistemas operacionais - Configurar" u="1"/>
        <s v="Hardware - Scanner - Movimentação" u="1"/>
        <s v="Acesso à internet - Privilégio de acesso" u="1"/>
        <s v="VPN - Alterar" u="1"/>
        <s v="Notebook - Movimentar" u="1"/>
        <s v="Portal Ead/APP - Redefinir senha" u="1"/>
        <s v="Sistemas / Portal de solicitações de materiais - Solicitação de melhoria" u="1"/>
        <s v="Studeo - Web - GRADUAÇÃO EAD Falha" u="1"/>
        <s v="Privilégio de acesso - Lyceum" u="1"/>
        <s v="E-mail - Google - Conta - Credencial de acesso" u="1"/>
        <s v="Sistemas / Portal Ead - Falha" u="1"/>
        <s v="Portal de colaboradores - Acesso" u="1"/>
        <s v="Privilégio de acesso - Senior" u="1"/>
        <s v="Habilitar colaborador desligado" u="1"/>
        <s v="Privilégio de acesso - OutbuyCenter" u="1"/>
        <s v="Sistemas / Portal Mundo Azul - Falha" u="1"/>
        <s v="Equipamentos - Tablet - Falha" u="1"/>
        <s v="Privilégio de acesso - Totvs" u="1"/>
        <s v="Hardware - Periféricos/Dispositivos e Acessórios - Configuração" u="1"/>
        <s v="Intranet - Redefinir Senha" u="1"/>
        <s v="Totvs - Credencial de acesso" u="1"/>
        <s v="Desabilitar / Bloquear usuário - Colaborador Unicesumar" u="1"/>
        <s v="E-mail - Goole - Conta - Backup" u="1"/>
        <s v="Usuário - Genérico" u="1"/>
        <s v="Intranet - Credencial de acesso" u="1"/>
        <s v="Tablet - Aquisição" u="1"/>
        <s v="Certificados - Atualizar" u="1"/>
        <s v="E-mail - Google - Conta - Redefinir senha" u="1"/>
        <s v="E-mail - Office 365 - Conta - Redefinir senha" u="1"/>
        <s v="Portal de solicitações - Credencial de acesso" u="1"/>
        <s v="Sistemas / Portal APP - Falha" u="1"/>
        <s v="Sistemas / Intranet - Módulos - Banco de questões - Falha" u="1"/>
        <s v="E-mail - Office 365 - Conta - Credencial de acesso" u="1"/>
        <s v="Sistemas / Portal Ead - Módulos - Relatórios - Criar" u="1"/>
        <s v="Sistemas / Portal de solicitações - Falha" u="1"/>
        <s v="Totvs - Redefinir Senha" u="1"/>
        <s v="SPO - Credencial de acesso" u="1"/>
        <s v="Folha de Pagamento - Convenios RH diversos" u="1"/>
        <s v="AD - Perfil de acesso - Configurar" u="1"/>
        <s v="Notebook - Emprestar" u="1"/>
        <s v="Gid - Credencial de acesso" u="1"/>
        <s v="Desktop - Aquisição" u="1"/>
        <s v="Hardware - Impressoras - Empréstimo" u="1"/>
        <s v="Chromebook - Recolher" u="1"/>
        <s v="Aplicativo - Atualizar" u="1"/>
        <s v="E-mail - Office 365 - Conta - Alteração" u="1"/>
        <s v="Atualização de Versão - Todos os módulos" u="1"/>
      </sharedItems>
    </cacheField>
    <cacheField name="Status" numFmtId="0">
      <sharedItems/>
    </cacheField>
    <cacheField name="Data de abertura" numFmtId="22">
      <sharedItems containsSemiMixedTypes="0" containsNonDate="0" containsDate="1" containsString="0" minDate="2022-04-12T11:34:00" maxDate="2022-11-22T14:54:00"/>
    </cacheField>
    <cacheField name="Requerente - Grupo requerente" numFmtId="0">
      <sharedItems containsBlank="1"/>
    </cacheField>
    <cacheField name="Atribuído para - Grupo técnico" numFmtId="0">
      <sharedItems/>
    </cacheField>
    <cacheField name="Última atualização" numFmtId="22">
      <sharedItems containsSemiMixedTypes="0" containsNonDate="0" containsDate="1" containsString="0" minDate="2022-08-30T15:01:00" maxDate="2022-11-22T15:00:00"/>
    </cacheField>
    <cacheField name="Tipo" numFmtId="0">
      <sharedItems/>
    </cacheField>
    <cacheField name="Aprovação - Aprovação" numFmtId="0">
      <sharedItems/>
    </cacheField>
    <cacheField name="Prioridade" numFmtId="0">
      <sharedItems/>
    </cacheField>
    <cacheField name="Aging" numFmtId="164">
      <sharedItems containsSemiMixedTypes="0" containsNonDate="0" containsDate="1" containsString="0" minDate="1899-12-31T03:56:29" maxDate="1900-08-12T07:16:29"/>
    </cacheField>
    <cacheField name="Aging Mod" numFmtId="164">
      <sharedItems containsSemiMixedTypes="0" containsNonDate="0" containsDate="1" containsString="0" minDate="1899-12-31T03:50:29" maxDate="1900-03-25T03:49: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x v="0"/>
    <d v="2022-08-11T00:00:00"/>
    <d v="2022-09-28T00:00:00"/>
    <d v="1900-04-13T18:50:29"/>
    <d v="1900-02-24T18:50:29"/>
  </r>
  <r>
    <x v="0"/>
    <d v="2022-08-26T00:00:00"/>
    <d v="2022-09-13T00:00:00"/>
    <d v="1900-03-29T18:50:29"/>
    <d v="1900-03-11T18:50:29"/>
  </r>
  <r>
    <x v="0"/>
    <d v="2022-09-05T00:00:00"/>
    <d v="2022-11-17T00:00:00"/>
    <d v="1900-03-19T18:50:29"/>
    <d v="1900-01-05T18:50:29"/>
  </r>
  <r>
    <x v="0"/>
    <d v="2022-09-08T00:00:00"/>
    <d v="2022-11-17T00:00:00"/>
    <d v="1900-03-16T18:50:29"/>
    <d v="1900-01-05T18:50:29"/>
  </r>
  <r>
    <x v="0"/>
    <d v="2022-09-09T00:00:00"/>
    <d v="2022-11-17T00:00:00"/>
    <d v="1900-03-15T18:50:29"/>
    <d v="1900-01-05T18:50:29"/>
  </r>
  <r>
    <x v="0"/>
    <d v="2022-09-12T00:00:00"/>
    <d v="2022-10-03T00:00:00"/>
    <d v="1900-03-12T18:50:29"/>
    <d v="1900-02-19T18:50:29"/>
  </r>
  <r>
    <x v="0"/>
    <d v="2022-09-12T00:00:00"/>
    <d v="2022-09-12T00:00:00"/>
    <d v="1900-03-12T18:50:29"/>
    <d v="1900-03-12T18:50:29"/>
  </r>
  <r>
    <x v="0"/>
    <d v="2022-09-12T00:00:00"/>
    <d v="2022-09-12T00:00:00"/>
    <d v="1900-03-12T18:50:29"/>
    <d v="1900-03-12T18:50:29"/>
  </r>
  <r>
    <x v="0"/>
    <d v="2022-09-13T00:00:00"/>
    <d v="2022-09-13T00:00:00"/>
    <d v="1900-03-11T18:50:29"/>
    <d v="1900-03-11T18:50:29"/>
  </r>
  <r>
    <x v="0"/>
    <d v="2022-09-14T00:00:00"/>
    <d v="2022-09-14T00:00:00"/>
    <d v="1900-03-10T18:50:29"/>
    <d v="1900-03-10T18:50:29"/>
  </r>
  <r>
    <x v="0"/>
    <d v="2022-09-15T00:00:00"/>
    <d v="2022-09-15T00:00:00"/>
    <d v="1900-03-09T18:50:29"/>
    <d v="1900-03-09T18:50:29"/>
  </r>
  <r>
    <x v="0"/>
    <d v="2022-09-17T00:00:00"/>
    <d v="2022-09-17T00:00:00"/>
    <d v="1900-03-07T18:50:29"/>
    <d v="1900-03-07T18:50:29"/>
  </r>
  <r>
    <x v="0"/>
    <d v="2022-09-19T00:00:00"/>
    <d v="2022-09-19T00:00:00"/>
    <d v="1900-03-05T18:50:29"/>
    <d v="1900-03-05T18:50:29"/>
  </r>
  <r>
    <x v="0"/>
    <d v="2022-09-20T00:00:00"/>
    <d v="2022-09-20T00:00:00"/>
    <d v="1900-03-04T18:50:29"/>
    <d v="1900-03-04T18:50:29"/>
  </r>
  <r>
    <x v="0"/>
    <d v="2022-09-22T00:00:00"/>
    <d v="2022-09-22T00:00:00"/>
    <d v="1900-03-02T18:50:29"/>
    <d v="1900-03-02T18:50:29"/>
  </r>
  <r>
    <x v="0"/>
    <d v="2022-09-28T00:00:00"/>
    <d v="2022-09-28T00:00:00"/>
    <d v="1900-02-24T18:50:29"/>
    <d v="1900-02-24T18:50:29"/>
  </r>
  <r>
    <x v="0"/>
    <d v="2022-09-29T00:00:00"/>
    <d v="2022-09-29T00:00:00"/>
    <d v="1900-02-23T18:50:29"/>
    <d v="1900-02-23T18:50:29"/>
  </r>
  <r>
    <x v="0"/>
    <d v="2022-09-29T00:00:00"/>
    <d v="2022-09-29T00:00:00"/>
    <d v="1900-02-23T18:50:29"/>
    <d v="1900-02-23T18:50:29"/>
  </r>
  <r>
    <x v="0"/>
    <d v="2022-09-29T00:00:00"/>
    <d v="2022-09-29T00:00:00"/>
    <d v="1900-02-23T18:50:29"/>
    <d v="1900-02-23T18:50:29"/>
  </r>
  <r>
    <x v="0"/>
    <d v="2022-09-30T00:00:00"/>
    <d v="2022-09-30T00:00:00"/>
    <d v="1900-02-22T18:50:29"/>
    <d v="1900-02-22T18:50:29"/>
  </r>
  <r>
    <x v="0"/>
    <d v="2022-09-30T00:00:00"/>
    <d v="2022-09-30T00:00:00"/>
    <d v="1900-02-22T18:50:29"/>
    <d v="1900-02-22T18:50:29"/>
  </r>
  <r>
    <x v="0"/>
    <d v="2022-09-30T00:00:00"/>
    <d v="2022-09-30T00:00:00"/>
    <d v="1900-02-22T18:50:29"/>
    <d v="1900-02-22T18:50:29"/>
  </r>
  <r>
    <x v="0"/>
    <d v="2022-10-07T00:00:00"/>
    <d v="2022-10-07T00:00:00"/>
    <d v="1900-02-15T18:50:29"/>
    <d v="1900-02-15T18:50:29"/>
  </r>
  <r>
    <x v="0"/>
    <d v="2022-10-10T00:00:00"/>
    <d v="2022-10-10T00:00:00"/>
    <d v="1900-02-12T18:50:29"/>
    <d v="1900-02-12T18:50:29"/>
  </r>
  <r>
    <x v="0"/>
    <d v="2022-10-10T00:00:00"/>
    <d v="2022-10-10T00:00:00"/>
    <d v="1900-02-12T18:50:29"/>
    <d v="1900-02-12T18:50:29"/>
  </r>
  <r>
    <x v="0"/>
    <d v="2022-10-11T00:00:00"/>
    <d v="2022-10-11T00:00:00"/>
    <d v="1900-02-11T18:50:29"/>
    <d v="1900-02-11T18:50:29"/>
  </r>
  <r>
    <x v="0"/>
    <d v="2022-10-11T00:00:00"/>
    <d v="2022-10-11T00:00:00"/>
    <d v="1900-02-11T18:50:29"/>
    <d v="1900-02-11T18:50:29"/>
  </r>
  <r>
    <x v="0"/>
    <d v="2022-10-11T00:00:00"/>
    <d v="2022-10-11T00:00:00"/>
    <d v="1900-02-11T18:50:29"/>
    <d v="1900-02-11T18:50:29"/>
  </r>
  <r>
    <x v="0"/>
    <d v="2022-10-18T00:00:00"/>
    <d v="2022-10-18T00:00:00"/>
    <d v="1900-02-04T18:50:29"/>
    <d v="1900-02-04T18:50:29"/>
  </r>
  <r>
    <x v="0"/>
    <d v="2022-10-20T00:00:00"/>
    <d v="2022-10-20T00:00:00"/>
    <d v="1900-02-02T18:50:29"/>
    <d v="1900-02-02T18:50:29"/>
  </r>
  <r>
    <x v="0"/>
    <d v="2022-10-26T00:00:00"/>
    <d v="2022-11-16T00:00:00"/>
    <d v="1900-01-27T18:50:29"/>
    <d v="1900-01-06T18:50:29"/>
  </r>
  <r>
    <x v="0"/>
    <d v="2022-10-26T00:00:00"/>
    <d v="2022-10-26T00:00:00"/>
    <d v="1900-01-27T18:50:29"/>
    <d v="1900-01-27T18:50:29"/>
  </r>
  <r>
    <x v="0"/>
    <d v="2022-10-26T00:00:00"/>
    <d v="2022-10-26T00:00:00"/>
    <d v="1900-01-27T18:50:29"/>
    <d v="1900-01-27T18:50:29"/>
  </r>
  <r>
    <x v="0"/>
    <d v="2022-10-28T00:00:00"/>
    <d v="2022-10-28T00:00:00"/>
    <d v="1900-01-25T18:50:29"/>
    <d v="1900-01-25T18:50:29"/>
  </r>
  <r>
    <x v="0"/>
    <d v="2022-11-03T00:00:00"/>
    <d v="2022-11-03T00:00:00"/>
    <d v="1900-01-19T18:50:29"/>
    <d v="1900-01-19T18:50:29"/>
  </r>
  <r>
    <x v="0"/>
    <d v="2022-11-03T00:00:00"/>
    <d v="2022-11-03T00:00:00"/>
    <d v="1900-01-19T18:50:29"/>
    <d v="1900-01-19T18:50:29"/>
  </r>
  <r>
    <x v="0"/>
    <d v="2022-11-07T00:00:00"/>
    <d v="2022-11-07T00:00:00"/>
    <d v="1900-01-15T18:50:29"/>
    <d v="1900-01-15T18:50:29"/>
  </r>
  <r>
    <x v="0"/>
    <d v="2022-11-09T00:00:00"/>
    <d v="2022-11-09T00:00:00"/>
    <d v="1900-01-13T18:50:29"/>
    <d v="1900-01-13T18:50:29"/>
  </r>
  <r>
    <x v="0"/>
    <d v="2022-11-09T00:00:00"/>
    <d v="2022-11-09T00:00:00"/>
    <d v="1900-01-13T18:50:29"/>
    <d v="1900-01-13T18:50:29"/>
  </r>
  <r>
    <x v="0"/>
    <d v="2022-11-11T00:00:00"/>
    <d v="2022-11-11T00:00:00"/>
    <d v="1900-01-11T18:50:29"/>
    <d v="1900-01-11T18:50:29"/>
  </r>
  <r>
    <x v="0"/>
    <d v="2022-11-16T00:00:00"/>
    <d v="2022-11-16T00:00:00"/>
    <d v="1900-01-06T18:50:29"/>
    <d v="1900-01-06T18:50:29"/>
  </r>
  <r>
    <x v="0"/>
    <d v="2022-11-17T00:00:00"/>
    <d v="2022-11-17T00:00:00"/>
    <d v="1900-01-05T18:50:29"/>
    <d v="1900-01-05T18:50:29"/>
  </r>
  <r>
    <x v="0"/>
    <d v="2022-11-22T00:00:00"/>
    <d v="2022-11-22T00:00:00"/>
    <d v="1899-12-31T18:50:29"/>
    <d v="1899-12-31T18:50:29"/>
  </r>
  <r>
    <x v="1"/>
    <d v="2020-11-18T00:00:00"/>
    <d v="2022-10-21T00:00:00"/>
    <d v="1902-01-04T18:50:29"/>
    <d v="1900-02-01T18:50:29"/>
  </r>
  <r>
    <x v="1"/>
    <d v="2022-10-10T00:00:00"/>
    <d v="2022-10-10T00:00:00"/>
    <d v="1900-02-12T18:50:29"/>
    <d v="1900-02-12T18:50:29"/>
  </r>
  <r>
    <x v="1"/>
    <d v="2022-10-18T00:00:00"/>
    <d v="2022-10-18T00:00:00"/>
    <d v="1900-02-04T18:50:29"/>
    <d v="1900-02-04T18:50:29"/>
  </r>
  <r>
    <x v="1"/>
    <d v="2022-10-20T00:00:00"/>
    <d v="2022-10-20T00:00:00"/>
    <d v="1900-02-02T18:50:29"/>
    <d v="1900-02-02T18:50:29"/>
  </r>
  <r>
    <x v="1"/>
    <d v="2022-10-26T00:00:00"/>
    <d v="2022-10-26T00:00:00"/>
    <d v="1900-01-27T18:50:29"/>
    <d v="1900-01-27T18:50:29"/>
  </r>
  <r>
    <x v="1"/>
    <d v="2022-10-26T00:00:00"/>
    <d v="2022-10-26T00:00:00"/>
    <d v="1900-01-27T18:50:29"/>
    <d v="1900-01-27T18:50:29"/>
  </r>
  <r>
    <x v="1"/>
    <d v="2022-10-26T00:00:00"/>
    <d v="2022-10-26T00:00:00"/>
    <d v="1900-01-27T18:50:29"/>
    <d v="1900-01-27T18:50:29"/>
  </r>
  <r>
    <x v="1"/>
    <d v="2022-11-14T00:00:00"/>
    <d v="2022-11-14T00:00:00"/>
    <d v="1900-01-08T18:50:29"/>
    <d v="1900-01-08T18:50:29"/>
  </r>
  <r>
    <x v="1"/>
    <d v="2022-11-14T00:00:00"/>
    <d v="2022-11-14T00:00:00"/>
    <d v="1900-01-08T18:50:29"/>
    <d v="1900-01-08T18:50:2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5">
  <r>
    <x v="0"/>
    <s v="Data de abertura"/>
    <s v="Última atualização"/>
    <s v="Tipo"/>
    <s v="Aprovação - Aprovação"/>
    <e v="#VALUE!"/>
    <e v="#VALUE!"/>
  </r>
  <r>
    <x v="1"/>
    <d v="2022-11-22T19:31:00"/>
    <d v="2022-11-22T19:31:00"/>
    <s v="Requisição"/>
    <s v="Esperando por uma validação"/>
    <d v="1899-12-30T23:19:29"/>
    <d v="1899-12-30T23:19:29"/>
  </r>
  <r>
    <x v="2"/>
    <d v="2022-11-22T18:57:00"/>
    <d v="2022-11-22T18:57:00"/>
    <s v="Incidente"/>
    <s v="Não está sujeita a aprovação"/>
    <d v="1899-12-30T23:53:29"/>
    <d v="1899-12-30T23:53:29"/>
  </r>
  <r>
    <x v="3"/>
    <d v="2022-11-21T18:17:00"/>
    <d v="2022-11-22T17:33:00"/>
    <s v="Requisição"/>
    <s v="Concedida"/>
    <d v="1900-01-01T00:33:29"/>
    <d v="1899-12-31T01:17:29"/>
  </r>
  <r>
    <x v="4"/>
    <d v="2022-11-22T17:24:00"/>
    <d v="2022-11-22T17:24:00"/>
    <s v="Requisição"/>
    <s v="Esperando por uma validação"/>
    <d v="1899-12-31T01:26:29"/>
    <d v="1899-12-31T01:26:29"/>
  </r>
  <r>
    <x v="5"/>
    <d v="2022-11-10T10:17:00"/>
    <d v="2022-11-22T16:46:00"/>
    <s v="Requisição"/>
    <s v="Concedida"/>
    <d v="1900-01-12T08:33:29"/>
    <d v="1899-12-31T02:04:29"/>
  </r>
  <r>
    <x v="6"/>
    <d v="2022-11-22T16:28:00"/>
    <d v="2022-11-22T16:28:00"/>
    <s v="Requisição"/>
    <s v="Não está sujeita a aprovação"/>
    <d v="1899-12-31T02:22:29"/>
    <d v="1899-12-31T02:22:29"/>
  </r>
  <r>
    <x v="7"/>
    <d v="2022-11-22T16:17:00"/>
    <d v="2022-11-22T16:17:00"/>
    <s v="Requisição"/>
    <s v="Não está sujeita a aprovação"/>
    <d v="1899-12-31T02:33:29"/>
    <d v="1899-12-31T02:33:29"/>
  </r>
  <r>
    <x v="8"/>
    <d v="2022-11-22T14:55:00"/>
    <d v="2022-11-22T16:15:00"/>
    <s v="Requisição"/>
    <s v="Concedida"/>
    <d v="1899-12-31T03:55:29"/>
    <d v="1899-12-31T02:35:29"/>
  </r>
  <r>
    <x v="8"/>
    <d v="2022-11-22T15:00:00"/>
    <d v="2022-11-22T16:14:00"/>
    <s v="Requisição"/>
    <s v="Concedida"/>
    <d v="1899-12-31T03:50:29"/>
    <d v="1899-12-31T02:36:29"/>
  </r>
  <r>
    <x v="3"/>
    <d v="2022-11-22T10:41:00"/>
    <d v="2022-11-22T16:10:00"/>
    <s v="Requisição"/>
    <s v="Concedida"/>
    <d v="1899-12-31T08:09:29"/>
    <d v="1899-12-31T02:40:29"/>
  </r>
  <r>
    <x v="9"/>
    <d v="2022-11-22T12:27:00"/>
    <d v="2022-11-22T15:44:00"/>
    <s v="Requisição"/>
    <s v="Concedida"/>
    <d v="1899-12-31T06:23:29"/>
    <d v="1899-12-31T03:06:29"/>
  </r>
  <r>
    <x v="5"/>
    <d v="2022-11-22T15:10:00"/>
    <d v="2022-11-22T15:22:00"/>
    <s v="Requisição"/>
    <s v="Concedida"/>
    <d v="1899-12-31T03:40:29"/>
    <d v="1899-12-31T03:28:29"/>
  </r>
  <r>
    <x v="10"/>
    <d v="2022-11-22T15:08:00"/>
    <d v="2022-11-22T15:11:00"/>
    <s v="Requisição"/>
    <s v="Concedida"/>
    <d v="1899-12-31T03:42:29"/>
    <d v="1899-12-31T03:39:29"/>
  </r>
  <r>
    <x v="11"/>
    <d v="2022-11-18T09:02:00"/>
    <d v="2022-11-22T14:56:00"/>
    <s v="Requisição"/>
    <s v="Não está sujeita a aprovação"/>
    <d v="1900-01-04T09:48:29"/>
    <d v="1899-12-31T03:54:29"/>
  </r>
  <r>
    <x v="9"/>
    <d v="2022-11-21T09:05:00"/>
    <d v="2022-11-22T14:38:00"/>
    <s v="Requisição"/>
    <s v="Concedida"/>
    <d v="1900-01-01T09:45:29"/>
    <d v="1899-12-31T04:12:29"/>
  </r>
  <r>
    <x v="9"/>
    <d v="2022-11-21T09:12:00"/>
    <d v="2022-11-22T14:32:00"/>
    <s v="Requisição"/>
    <s v="Concedida"/>
    <d v="1900-01-01T09:38:29"/>
    <d v="1899-12-31T04:18:29"/>
  </r>
  <r>
    <x v="12"/>
    <d v="2022-11-18T17:35:00"/>
    <d v="2022-11-22T14:31:00"/>
    <s v="Requisição"/>
    <s v="Esperando por uma validação"/>
    <d v="1900-01-04T01:15:29"/>
    <d v="1899-12-31T04:19:29"/>
  </r>
  <r>
    <x v="13"/>
    <d v="2022-11-22T14:17:00"/>
    <d v="2022-11-22T14:17:00"/>
    <s v="Incidente"/>
    <s v="Não está sujeita a aprovação"/>
    <d v="1899-12-31T04:33:29"/>
    <d v="1899-12-31T04:33:29"/>
  </r>
  <r>
    <x v="13"/>
    <d v="2022-11-22T14:12:00"/>
    <d v="2022-11-22T14:12:00"/>
    <s v="Incidente"/>
    <s v="Não está sujeita a aprovação"/>
    <d v="1899-12-31T04:38:29"/>
    <d v="1899-12-31T04:38:29"/>
  </r>
  <r>
    <x v="14"/>
    <d v="2022-11-22T14:03:00"/>
    <d v="2022-11-22T14:04:00"/>
    <s v="Incidente"/>
    <s v="Não está sujeita a aprovação"/>
    <d v="1899-12-31T04:47:29"/>
    <d v="1899-12-31T04:46:29"/>
  </r>
  <r>
    <x v="3"/>
    <d v="2022-11-22T14:01:00"/>
    <d v="2022-11-22T14:01:00"/>
    <s v="Requisição"/>
    <s v="Não está sujeita a aprovação"/>
    <d v="1899-12-31T04:49:29"/>
    <d v="1899-12-31T04:49:29"/>
  </r>
  <r>
    <x v="9"/>
    <d v="2022-11-18T14:24:00"/>
    <d v="2022-11-22T13:54:00"/>
    <s v="Requisição"/>
    <s v="Concedida"/>
    <d v="1900-01-04T04:26:29"/>
    <d v="1899-12-31T04:56:29"/>
  </r>
  <r>
    <x v="8"/>
    <d v="2022-11-17T10:09:00"/>
    <d v="2022-11-22T13:38:00"/>
    <s v="Requisição"/>
    <s v="Concedida"/>
    <d v="1900-01-05T08:41:29"/>
    <d v="1899-12-31T05:12:29"/>
  </r>
  <r>
    <x v="8"/>
    <d v="2022-11-17T10:11:00"/>
    <d v="2022-11-22T13:37:00"/>
    <s v="Requisição"/>
    <s v="Esperando por uma validação"/>
    <d v="1900-01-05T08:39:29"/>
    <d v="1899-12-31T05:13:29"/>
  </r>
  <r>
    <x v="15"/>
    <d v="2022-11-22T13:18:00"/>
    <d v="2022-11-22T13:18:00"/>
    <s v="Requisição"/>
    <s v="Não está sujeita a aprovação"/>
    <d v="1899-12-31T05:32:29"/>
    <d v="1899-12-31T05:32:29"/>
  </r>
  <r>
    <x v="7"/>
    <d v="2022-11-22T12:19:00"/>
    <d v="2022-11-22T12:19:00"/>
    <s v="Requisição"/>
    <s v="Não está sujeita a aprovação"/>
    <d v="1899-12-31T06:31:29"/>
    <d v="1899-12-31T06:31:29"/>
  </r>
  <r>
    <x v="3"/>
    <d v="2022-11-22T10:58:00"/>
    <d v="2022-11-22T12:15:00"/>
    <s v="Requisição"/>
    <s v="Concedida"/>
    <d v="1899-12-31T07:52:29"/>
    <d v="1899-12-31T06:35:29"/>
  </r>
  <r>
    <x v="8"/>
    <d v="2022-11-17T10:05:00"/>
    <d v="2022-11-22T12:02:00"/>
    <s v="Requisição"/>
    <s v="Esperando por uma validação"/>
    <d v="1900-01-05T08:45:29"/>
    <d v="1899-12-31T06:48:29"/>
  </r>
  <r>
    <x v="16"/>
    <d v="2022-11-22T12:00:00"/>
    <d v="2022-11-22T12:00:00"/>
    <s v="Requisição"/>
    <s v="Não está sujeita a aprovação"/>
    <d v="1899-12-31T06:50:29"/>
    <d v="1899-12-31T06:50:29"/>
  </r>
  <r>
    <x v="17"/>
    <d v="2022-11-18T17:48:00"/>
    <d v="2022-11-22T11:47:00"/>
    <s v="Requisição"/>
    <s v="Concedida"/>
    <d v="1900-01-04T01:02:29"/>
    <d v="1899-12-31T07:03:29"/>
  </r>
  <r>
    <x v="3"/>
    <d v="2022-11-22T09:49:00"/>
    <d v="2022-11-22T11:32:00"/>
    <s v="Requisição"/>
    <s v="Não está sujeita a aprovação"/>
    <d v="1899-12-31T09:01:29"/>
    <d v="1899-12-31T07:18:29"/>
  </r>
  <r>
    <x v="18"/>
    <d v="2022-11-22T11:19:00"/>
    <d v="2022-11-22T11:19:00"/>
    <s v="Requisição"/>
    <s v="Não está sujeita a aprovação"/>
    <d v="1899-12-31T07:31:29"/>
    <d v="1899-12-31T07:31:29"/>
  </r>
  <r>
    <x v="3"/>
    <d v="2022-11-22T09:52:00"/>
    <d v="2022-11-22T11:15:00"/>
    <s v="Requisição"/>
    <s v="Não está sujeita a aprovação"/>
    <d v="1899-12-31T08:58:29"/>
    <d v="1899-12-31T07:35:29"/>
  </r>
  <r>
    <x v="3"/>
    <d v="2022-11-22T10:06:00"/>
    <d v="2022-11-22T11:15:00"/>
    <s v="Requisição"/>
    <s v="Não está sujeita a aprovação"/>
    <d v="1899-12-31T08:44:29"/>
    <d v="1899-12-31T07:35:29"/>
  </r>
  <r>
    <x v="19"/>
    <d v="2022-11-21T17:12:00"/>
    <d v="2022-11-22T11:04:00"/>
    <s v="Requisição"/>
    <s v="Concedida"/>
    <d v="1900-01-01T01:38:29"/>
    <d v="1899-12-31T07:46:29"/>
  </r>
  <r>
    <x v="20"/>
    <d v="2022-11-22T11:04:00"/>
    <d v="2022-11-22T11:04:00"/>
    <s v="Requisição"/>
    <s v="Não está sujeita a aprovação"/>
    <d v="1899-12-31T07:46:29"/>
    <d v="1899-12-31T07:46:29"/>
  </r>
  <r>
    <x v="21"/>
    <d v="2022-11-11T16:56:00"/>
    <d v="2022-11-22T10:53:00"/>
    <s v="Requisição"/>
    <s v="Não está sujeita a aprovação"/>
    <d v="1900-01-11T01:54:29"/>
    <d v="1899-12-31T07:57:29"/>
  </r>
  <r>
    <x v="8"/>
    <d v="2022-11-21T11:48:00"/>
    <d v="2022-11-22T10:51:00"/>
    <s v="Requisição"/>
    <s v="Concedida"/>
    <d v="1900-01-01T07:02:29"/>
    <d v="1899-12-31T07:59:29"/>
  </r>
  <r>
    <x v="19"/>
    <d v="2022-11-22T10:44:00"/>
    <d v="2022-11-22T10:44:00"/>
    <s v="Requisição"/>
    <s v="Esperando por uma validação"/>
    <d v="1899-12-31T08:06:29"/>
    <d v="1899-12-31T08:06:29"/>
  </r>
  <r>
    <x v="2"/>
    <d v="2022-11-22T10:34:00"/>
    <d v="2022-11-22T10:34:00"/>
    <s v="Incidente"/>
    <s v="Não está sujeita a aprovação"/>
    <d v="1899-12-31T08:16:29"/>
    <d v="1899-12-31T08:16:29"/>
  </r>
  <r>
    <x v="22"/>
    <d v="2022-11-22T10:04:00"/>
    <d v="2022-11-22T10:04:00"/>
    <s v="Requisição"/>
    <s v="Concedida"/>
    <d v="1899-12-31T08:46:29"/>
    <d v="1899-12-31T08:46:29"/>
  </r>
  <r>
    <x v="8"/>
    <d v="2022-11-17T10:07:00"/>
    <d v="2022-11-22T09:50:00"/>
    <s v="Requisição"/>
    <s v="Esperando por uma validação"/>
    <d v="1900-01-05T08:43:29"/>
    <d v="1899-12-31T09:00:29"/>
  </r>
  <r>
    <x v="19"/>
    <d v="2022-11-07T14:15:00"/>
    <d v="2022-11-22T08:59:00"/>
    <s v="Requisição"/>
    <s v="Concedida"/>
    <d v="1900-01-15T04:35:29"/>
    <d v="1899-12-31T09:51:29"/>
  </r>
  <r>
    <x v="8"/>
    <d v="2022-11-14T17:46:00"/>
    <d v="2022-11-22T08:53:00"/>
    <s v="Requisição"/>
    <s v="Concedida"/>
    <d v="1900-01-08T01:04:29"/>
    <d v="1899-12-31T09:57:29"/>
  </r>
  <r>
    <x v="23"/>
    <d v="2022-11-22T08:49:00"/>
    <d v="2022-11-22T08:49:00"/>
    <s v="Incidente"/>
    <s v="Não está sujeita a aprovação"/>
    <d v="1899-12-31T10:01:29"/>
    <d v="1899-12-31T10:01:29"/>
  </r>
  <r>
    <x v="20"/>
    <d v="2022-11-22T08:28:00"/>
    <d v="2022-11-22T08:28:00"/>
    <s v="Requisição"/>
    <s v="Não está sujeita a aprovação"/>
    <d v="1899-12-31T10:22:29"/>
    <d v="1899-12-31T10:22:29"/>
  </r>
  <r>
    <x v="9"/>
    <d v="2022-11-18T11:48:00"/>
    <d v="2022-11-22T08:04:00"/>
    <s v="Requisição"/>
    <s v="Concedida"/>
    <d v="1900-01-04T07:02:29"/>
    <d v="1899-12-31T10:46:29"/>
  </r>
  <r>
    <x v="9"/>
    <d v="2022-11-18T11:52:00"/>
    <d v="2022-11-22T08:04:00"/>
    <s v="Requisição"/>
    <s v="Concedida"/>
    <d v="1900-01-04T06:58:29"/>
    <d v="1899-12-31T10:46:29"/>
  </r>
  <r>
    <x v="9"/>
    <d v="2022-11-18T11:55:00"/>
    <d v="2022-11-22T08:04:00"/>
    <s v="Requisição"/>
    <s v="Concedida"/>
    <d v="1900-01-04T06:55:29"/>
    <d v="1899-12-31T10:46:29"/>
  </r>
  <r>
    <x v="9"/>
    <d v="2022-11-18T11:46:00"/>
    <d v="2022-11-22T08:03:00"/>
    <s v="Requisição"/>
    <s v="Concedida"/>
    <d v="1900-01-04T07:04:29"/>
    <d v="1899-12-31T10:47:29"/>
  </r>
  <r>
    <x v="9"/>
    <d v="2022-11-18T11:44:00"/>
    <d v="2022-11-22T08:03:00"/>
    <s v="Requisição"/>
    <s v="Concedida"/>
    <d v="1900-01-04T07:06:29"/>
    <d v="1899-12-31T10:47:29"/>
  </r>
  <r>
    <x v="10"/>
    <d v="2022-11-18T14:38:00"/>
    <d v="2022-11-22T07:58:00"/>
    <s v="Requisição"/>
    <s v="Não está sujeita a aprovação"/>
    <d v="1900-01-04T04:12:29"/>
    <d v="1899-12-31T10:52:29"/>
  </r>
  <r>
    <x v="24"/>
    <d v="2022-11-21T17:12:00"/>
    <d v="2022-11-21T17:18:00"/>
    <s v="Incidente"/>
    <s v="Não está sujeita a aprovação"/>
    <d v="1900-01-01T01:38:29"/>
    <d v="1900-01-01T01:32:29"/>
  </r>
  <r>
    <x v="25"/>
    <d v="2022-11-21T14:51:00"/>
    <d v="2022-11-21T16:54:00"/>
    <s v="Requisição"/>
    <s v="Não está sujeita a aprovação"/>
    <d v="1900-01-01T03:59:29"/>
    <d v="1900-01-01T01:56:29"/>
  </r>
  <r>
    <x v="26"/>
    <d v="2022-11-17T16:14:00"/>
    <d v="2022-11-21T16:53:00"/>
    <s v="Requisição"/>
    <s v="Não está sujeita a aprovação"/>
    <d v="1900-01-05T02:36:29"/>
    <d v="1900-01-01T01:57:29"/>
  </r>
  <r>
    <x v="27"/>
    <d v="2022-11-21T15:56:00"/>
    <d v="2022-11-21T15:56:00"/>
    <s v="Requisição"/>
    <s v="Não está sujeita a aprovação"/>
    <d v="1900-01-01T02:54:29"/>
    <d v="1900-01-01T02:54:29"/>
  </r>
  <r>
    <x v="28"/>
    <d v="2022-11-21T14:54:00"/>
    <d v="2022-11-21T14:54:00"/>
    <s v="Incidente"/>
    <s v="Não está sujeita a aprovação"/>
    <d v="1900-01-01T03:56:29"/>
    <d v="1900-01-01T03:56:29"/>
  </r>
  <r>
    <x v="21"/>
    <d v="2022-11-21T09:08:00"/>
    <d v="2022-11-21T13:55:00"/>
    <s v="Requisição"/>
    <s v="Concedida"/>
    <d v="1900-01-01T09:42:29"/>
    <d v="1900-01-01T04:55:29"/>
  </r>
  <r>
    <x v="21"/>
    <d v="2022-11-21T09:13:00"/>
    <d v="2022-11-21T13:54:00"/>
    <s v="Requisição"/>
    <s v="Concedida"/>
    <d v="1900-01-01T09:37:29"/>
    <d v="1900-01-01T04:56:29"/>
  </r>
  <r>
    <x v="17"/>
    <d v="2022-11-21T13:52:00"/>
    <d v="2022-11-21T13:52:00"/>
    <s v="Requisição"/>
    <s v="Não está sujeita a aprovação"/>
    <d v="1900-01-01T04:58:29"/>
    <d v="1900-01-01T04:58:29"/>
  </r>
  <r>
    <x v="29"/>
    <d v="2022-11-21T11:01:00"/>
    <d v="2022-11-21T12:36:00"/>
    <s v="Requisição"/>
    <s v="Não está sujeita a aprovação"/>
    <d v="1900-01-01T07:49:29"/>
    <d v="1900-01-01T06:14:29"/>
  </r>
  <r>
    <x v="10"/>
    <d v="2022-11-11T15:34:00"/>
    <d v="2022-11-21T12:34:00"/>
    <s v="Requisição"/>
    <s v="Concedida"/>
    <d v="1900-01-11T03:16:29"/>
    <d v="1900-01-01T06:16:29"/>
  </r>
  <r>
    <x v="30"/>
    <d v="2022-11-21T08:53:00"/>
    <d v="2022-11-21T12:28:00"/>
    <s v="Requisição"/>
    <s v="Esperando por uma validação"/>
    <d v="1900-01-01T09:57:29"/>
    <d v="1900-01-01T06:22:29"/>
  </r>
  <r>
    <x v="31"/>
    <d v="2022-11-21T11:05:00"/>
    <d v="2022-11-21T11:05:00"/>
    <s v="Incidente"/>
    <s v="Não está sujeita a aprovação"/>
    <d v="1900-01-01T07:45:29"/>
    <d v="1900-01-01T07:45:29"/>
  </r>
  <r>
    <x v="32"/>
    <d v="2022-11-21T09:57:00"/>
    <d v="2022-11-21T10:54:00"/>
    <s v="Requisição"/>
    <s v="Concedida"/>
    <d v="1900-01-01T08:53:29"/>
    <d v="1900-01-01T07:56:29"/>
  </r>
  <r>
    <x v="1"/>
    <d v="2022-11-21T09:04:00"/>
    <d v="2022-11-21T10:37:00"/>
    <s v="Requisição"/>
    <s v="Concedida"/>
    <d v="1900-01-01T09:46:29"/>
    <d v="1900-01-01T08:13:29"/>
  </r>
  <r>
    <x v="33"/>
    <d v="2022-11-16T16:47:00"/>
    <d v="2022-11-21T10:27:00"/>
    <s v="Requisição"/>
    <s v="Não está sujeita a aprovação"/>
    <d v="1900-01-06T02:03:29"/>
    <d v="1900-01-01T08:23:29"/>
  </r>
  <r>
    <x v="1"/>
    <d v="2022-11-17T08:53:00"/>
    <d v="2022-11-21T10:11:00"/>
    <s v="Requisição"/>
    <s v="Concedida"/>
    <d v="1900-01-05T09:57:29"/>
    <d v="1900-01-01T08:39:29"/>
  </r>
  <r>
    <x v="34"/>
    <d v="2022-11-07T15:28:00"/>
    <d v="2022-11-21T09:57:00"/>
    <s v="Requisição"/>
    <s v="Não está sujeita a aprovação"/>
    <d v="1900-01-15T03:22:29"/>
    <d v="1900-01-01T08:53:29"/>
  </r>
  <r>
    <x v="2"/>
    <d v="2022-11-21T09:42:00"/>
    <d v="2022-11-21T09:42:00"/>
    <s v="Incidente"/>
    <s v="Não está sujeita a aprovação"/>
    <d v="1900-01-01T09:08:29"/>
    <d v="1900-01-01T09:08:29"/>
  </r>
  <r>
    <x v="22"/>
    <d v="2022-11-21T09:25:00"/>
    <d v="2022-11-21T09:26:00"/>
    <s v="Requisição"/>
    <s v="Concedida"/>
    <d v="1900-01-01T09:25:29"/>
    <d v="1900-01-01T09:24:29"/>
  </r>
  <r>
    <x v="35"/>
    <d v="2022-11-21T09:08:00"/>
    <d v="2022-11-21T09:20:00"/>
    <s v="Requisição"/>
    <s v="Concedida"/>
    <d v="1900-01-01T09:42:29"/>
    <d v="1900-01-01T09:30:29"/>
  </r>
  <r>
    <x v="28"/>
    <d v="2022-11-21T08:24:00"/>
    <d v="2022-11-21T08:24:00"/>
    <s v="Incidente"/>
    <s v="Não está sujeita a aprovação"/>
    <d v="1900-01-01T10:26:29"/>
    <d v="1900-01-01T10:26:29"/>
  </r>
  <r>
    <x v="2"/>
    <d v="2022-11-21T08:16:00"/>
    <d v="2022-11-21T08:16:00"/>
    <s v="Incidente"/>
    <s v="Não está sujeita a aprovação"/>
    <d v="1900-01-01T10:34:29"/>
    <d v="1900-01-01T10:34:29"/>
  </r>
  <r>
    <x v="8"/>
    <d v="2022-11-08T13:17:00"/>
    <d v="2022-11-21T08:05:00"/>
    <s v="Requisição"/>
    <s v="Esperando por uma validação"/>
    <d v="1900-01-14T05:33:29"/>
    <d v="1900-01-01T10:45:29"/>
  </r>
  <r>
    <x v="21"/>
    <d v="2022-11-14T16:04:00"/>
    <d v="2022-11-19T12:37:00"/>
    <s v="Requisição"/>
    <s v="Concedida"/>
    <d v="1900-01-08T02:46:29"/>
    <d v="1900-01-03T06:13:29"/>
  </r>
  <r>
    <x v="36"/>
    <d v="2022-10-04T16:06:00"/>
    <d v="2022-11-19T10:56:00"/>
    <s v="Requisição"/>
    <s v="Esperando por uma validação"/>
    <d v="1900-02-18T02:44:29"/>
    <d v="1900-01-03T07:54:29"/>
  </r>
  <r>
    <x v="2"/>
    <d v="2022-11-18T16:39:00"/>
    <d v="2022-11-18T16:39:00"/>
    <s v="Incidente"/>
    <s v="Não está sujeita a aprovação"/>
    <d v="1900-01-04T02:11:29"/>
    <d v="1900-01-04T02:11:29"/>
  </r>
  <r>
    <x v="37"/>
    <d v="2022-11-18T15:24:00"/>
    <d v="2022-11-18T15:27:00"/>
    <s v="Requisição"/>
    <s v="Concedida"/>
    <d v="1900-01-04T03:26:29"/>
    <d v="1900-01-04T03:23:29"/>
  </r>
  <r>
    <x v="9"/>
    <d v="2022-11-18T12:07:00"/>
    <d v="2022-11-18T14:08:00"/>
    <s v="Requisição"/>
    <s v="Concedida"/>
    <d v="1900-01-04T06:43:29"/>
    <d v="1900-01-04T04:42:29"/>
  </r>
  <r>
    <x v="10"/>
    <d v="2022-11-11T15:28:00"/>
    <d v="2022-11-18T12:03:00"/>
    <s v="Requisição"/>
    <s v="Esperando por uma validação"/>
    <d v="1900-01-11T03:22:29"/>
    <d v="1900-01-04T06:47:29"/>
  </r>
  <r>
    <x v="10"/>
    <d v="2022-11-18T11:29:00"/>
    <d v="2022-11-18T12:02:00"/>
    <s v="Requisição"/>
    <s v="Não está sujeita a aprovação"/>
    <d v="1900-01-04T07:21:29"/>
    <d v="1900-01-04T06:48:29"/>
  </r>
  <r>
    <x v="10"/>
    <d v="2022-11-18T10:58:00"/>
    <d v="2022-11-18T10:58:00"/>
    <s v="Requisição"/>
    <s v="Não está sujeita a aprovação"/>
    <d v="1900-01-04T07:52:29"/>
    <d v="1900-01-04T07:52:29"/>
  </r>
  <r>
    <x v="28"/>
    <d v="2022-11-18T10:19:00"/>
    <d v="2022-11-18T10:19:00"/>
    <s v="Incidente"/>
    <s v="Não está sujeita a aprovação"/>
    <d v="1900-01-04T08:31:29"/>
    <d v="1900-01-04T08:31:29"/>
  </r>
  <r>
    <x v="38"/>
    <d v="2022-11-18T08:34:00"/>
    <d v="2022-11-18T09:41:00"/>
    <s v="Requisição"/>
    <s v="Concedida"/>
    <d v="1900-01-04T10:16:29"/>
    <d v="1900-01-04T09:09:29"/>
  </r>
  <r>
    <x v="39"/>
    <d v="2022-10-06T10:23:00"/>
    <d v="2022-11-18T07:36:00"/>
    <s v="Incidente"/>
    <s v="Não está sujeita a aprovação"/>
    <d v="1900-02-16T08:27:29"/>
    <d v="1900-01-04T11:14:29"/>
  </r>
  <r>
    <x v="9"/>
    <d v="2022-11-10T11:17:00"/>
    <d v="2022-11-18T07:35:00"/>
    <s v="Requisição"/>
    <s v="Concedida"/>
    <d v="1900-01-12T07:33:29"/>
    <d v="1900-01-04T11:15:29"/>
  </r>
  <r>
    <x v="18"/>
    <d v="2022-11-17T17:43:00"/>
    <d v="2022-11-17T17:43:00"/>
    <s v="Requisição"/>
    <s v="Não está sujeita a aprovação"/>
    <d v="1900-01-05T01:07:29"/>
    <d v="1900-01-05T01:07:29"/>
  </r>
  <r>
    <x v="40"/>
    <d v="2022-11-17T13:57:00"/>
    <d v="2022-11-17T16:52:00"/>
    <s v="Incidente"/>
    <s v="Não está sujeita a aprovação"/>
    <d v="1900-01-05T04:53:29"/>
    <d v="1900-01-05T01:58:29"/>
  </r>
  <r>
    <x v="2"/>
    <d v="2022-11-17T13:58:00"/>
    <d v="2022-11-17T13:58:00"/>
    <s v="Incidente"/>
    <s v="Não está sujeita a aprovação"/>
    <d v="1900-01-05T04:52:29"/>
    <d v="1900-01-05T04:52:29"/>
  </r>
  <r>
    <x v="41"/>
    <d v="2022-11-17T12:11:00"/>
    <d v="2022-11-17T12:11:00"/>
    <s v="Requisição"/>
    <s v="Não está sujeita a aprovação"/>
    <d v="1900-01-05T06:39:29"/>
    <d v="1900-01-05T06:39:29"/>
  </r>
  <r>
    <x v="11"/>
    <d v="2022-11-17T11:50:00"/>
    <d v="2022-11-17T11:50:00"/>
    <s v="Requisição"/>
    <s v="Não está sujeita a aprovação"/>
    <d v="1900-01-05T07:00:29"/>
    <d v="1900-01-05T07:00:29"/>
  </r>
  <r>
    <x v="13"/>
    <d v="2022-11-17T11:29:00"/>
    <d v="2022-11-17T11:29:00"/>
    <s v="Incidente"/>
    <s v="Não está sujeita a aprovação"/>
    <d v="1900-01-05T07:21:29"/>
    <d v="1900-01-05T07:21:29"/>
  </r>
  <r>
    <x v="1"/>
    <d v="2022-11-17T11:17:00"/>
    <d v="2022-11-17T11:17:00"/>
    <s v="Requisição"/>
    <s v="Não está sujeita a aprovação"/>
    <d v="1900-01-05T07:33:29"/>
    <d v="1900-01-05T07:33:29"/>
  </r>
  <r>
    <x v="42"/>
    <d v="2022-11-17T11:15:00"/>
    <d v="2022-11-17T11:15:00"/>
    <s v="Incidente"/>
    <s v="Não está sujeita a aprovação"/>
    <d v="1900-01-05T07:35:29"/>
    <d v="1900-01-05T07:35:29"/>
  </r>
  <r>
    <x v="1"/>
    <d v="2022-11-17T09:30:00"/>
    <d v="2022-11-17T10:01:00"/>
    <s v="Requisição"/>
    <s v="Concedida"/>
    <d v="1900-01-05T09:20:29"/>
    <d v="1900-01-05T08:49:29"/>
  </r>
  <r>
    <x v="1"/>
    <d v="2022-11-17T09:08:00"/>
    <d v="2022-11-17T09:38:00"/>
    <s v="Requisição"/>
    <s v="Concedida"/>
    <d v="1900-01-05T09:42:29"/>
    <d v="1900-01-05T09:12:29"/>
  </r>
  <r>
    <x v="10"/>
    <d v="2022-11-16T08:38:00"/>
    <d v="2022-11-17T09:21:00"/>
    <s v="Requisição"/>
    <s v="Concedida"/>
    <d v="1900-01-06T10:12:29"/>
    <d v="1900-01-05T09:29:29"/>
  </r>
  <r>
    <x v="10"/>
    <d v="2022-11-17T08:24:00"/>
    <d v="2022-11-17T08:24:00"/>
    <s v="Requisição"/>
    <s v="Não está sujeita a aprovação"/>
    <d v="1900-01-05T10:26:29"/>
    <d v="1900-01-05T10:26:29"/>
  </r>
  <r>
    <x v="1"/>
    <d v="2022-11-17T08:21:00"/>
    <d v="2022-11-17T08:21:00"/>
    <s v="Requisição"/>
    <s v="Não está sujeita a aprovação"/>
    <d v="1900-01-05T10:29:29"/>
    <d v="1900-01-05T10:29:29"/>
  </r>
  <r>
    <x v="22"/>
    <d v="2022-11-16T17:52:00"/>
    <d v="2022-11-16T17:52:00"/>
    <s v="Requisição"/>
    <s v="Não está sujeita a aprovação"/>
    <d v="1900-01-06T00:58:29"/>
    <d v="1900-01-06T00:58:29"/>
  </r>
  <r>
    <x v="32"/>
    <d v="2022-11-16T17:24:00"/>
    <d v="2022-11-16T17:38:00"/>
    <s v="Requisição"/>
    <s v="Concedida"/>
    <d v="1900-01-06T01:26:29"/>
    <d v="1900-01-06T01:12:29"/>
  </r>
  <r>
    <x v="13"/>
    <d v="2022-11-16T17:05:00"/>
    <d v="2022-11-16T17:05:00"/>
    <s v="Incidente"/>
    <s v="Não está sujeita a aprovação"/>
    <d v="1900-01-06T01:45:29"/>
    <d v="1900-01-06T01:45:29"/>
  </r>
  <r>
    <x v="10"/>
    <d v="2022-11-16T15:55:00"/>
    <d v="2022-11-16T16:42:00"/>
    <s v="Requisição"/>
    <s v="Concedida"/>
    <d v="1900-01-06T02:55:29"/>
    <d v="1900-01-06T02:08:29"/>
  </r>
  <r>
    <x v="43"/>
    <d v="2022-10-31T16:18:00"/>
    <d v="2022-11-16T16:41:00"/>
    <s v="Requisição"/>
    <s v="Não está sujeita a aprovação"/>
    <d v="1900-01-22T02:32:29"/>
    <d v="1900-01-06T02:09:29"/>
  </r>
  <r>
    <x v="43"/>
    <d v="2022-11-08T16:06:00"/>
    <d v="2022-11-16T16:41:00"/>
    <s v="Requisição"/>
    <s v="Não está sujeita a aprovação"/>
    <d v="1900-01-14T02:44:29"/>
    <d v="1900-01-06T02:09:29"/>
  </r>
  <r>
    <x v="43"/>
    <d v="2022-11-08T16:12:00"/>
    <d v="2022-11-16T16:41:00"/>
    <s v="Requisição"/>
    <s v="Não está sujeita a aprovação"/>
    <d v="1900-01-14T02:38:29"/>
    <d v="1900-01-06T02:09:29"/>
  </r>
  <r>
    <x v="43"/>
    <d v="2022-11-08T16:14:00"/>
    <d v="2022-11-16T16:41:00"/>
    <s v="Requisição"/>
    <s v="Não está sujeita a aprovação"/>
    <d v="1900-01-14T02:36:29"/>
    <d v="1900-01-06T02:09:29"/>
  </r>
  <r>
    <x v="43"/>
    <d v="2022-11-08T16:23:00"/>
    <d v="2022-11-16T16:41:00"/>
    <s v="Requisição"/>
    <s v="Não está sujeita a aprovação"/>
    <d v="1900-01-14T02:27:29"/>
    <d v="1900-01-06T02:09:29"/>
  </r>
  <r>
    <x v="43"/>
    <d v="2022-11-11T09:50:00"/>
    <d v="2022-11-16T16:41:00"/>
    <s v="Requisição"/>
    <s v="Não está sujeita a aprovação"/>
    <d v="1900-01-11T09:00:29"/>
    <d v="1900-01-06T02:09:29"/>
  </r>
  <r>
    <x v="44"/>
    <d v="2022-11-16T15:55:00"/>
    <d v="2022-11-16T15:55:00"/>
    <s v="Requisição"/>
    <s v="Esperando por uma validação"/>
    <d v="1900-01-06T02:55:29"/>
    <d v="1900-01-06T02:55:29"/>
  </r>
  <r>
    <x v="37"/>
    <d v="2022-11-16T14:34:00"/>
    <d v="2022-11-16T14:35:00"/>
    <s v="Requisição"/>
    <s v="Concedida"/>
    <d v="1900-01-06T04:16:29"/>
    <d v="1900-01-06T04:15:29"/>
  </r>
  <r>
    <x v="13"/>
    <d v="2022-11-16T11:56:00"/>
    <d v="2022-11-16T11:56:00"/>
    <s v="Incidente"/>
    <s v="Não está sujeita a aprovação"/>
    <d v="1900-01-06T06:54:29"/>
    <d v="1900-01-06T06:54:29"/>
  </r>
  <r>
    <x v="30"/>
    <d v="2022-11-16T08:34:00"/>
    <d v="2022-11-16T10:49:00"/>
    <s v="Requisição"/>
    <s v="Não está sujeita a aprovação"/>
    <d v="1900-01-06T10:16:29"/>
    <d v="1900-01-06T08:01:29"/>
  </r>
  <r>
    <x v="27"/>
    <d v="2022-11-14T14:21:00"/>
    <d v="2022-11-16T09:44:00"/>
    <s v="Requisição"/>
    <s v="Não está sujeita a aprovação"/>
    <d v="1900-01-08T04:29:29"/>
    <d v="1900-01-06T09:06:29"/>
  </r>
  <r>
    <x v="22"/>
    <d v="2022-10-19T15:20:00"/>
    <d v="2022-11-16T08:55:00"/>
    <s v="Requisição"/>
    <s v="Concedida"/>
    <d v="1900-02-03T03:30:29"/>
    <d v="1900-01-06T09:55:29"/>
  </r>
  <r>
    <x v="12"/>
    <d v="2022-11-10T16:01:00"/>
    <d v="2022-11-16T07:57:00"/>
    <s v="Requisição"/>
    <s v="Esperando por uma validação"/>
    <d v="1900-01-12T02:49:29"/>
    <d v="1900-01-06T10:53:29"/>
  </r>
  <r>
    <x v="42"/>
    <d v="2022-11-14T15:49:00"/>
    <d v="2022-11-14T15:49:00"/>
    <s v="Incidente"/>
    <s v="Não está sujeita a aprovação"/>
    <d v="1900-01-08T03:01:29"/>
    <d v="1900-01-08T03:01:29"/>
  </r>
  <r>
    <x v="45"/>
    <d v="2022-11-14T13:19:00"/>
    <d v="2022-11-14T14:07:00"/>
    <s v="Requisição"/>
    <s v="Concedida"/>
    <d v="1900-01-08T05:31:29"/>
    <d v="1900-01-08T04:43:29"/>
  </r>
  <r>
    <x v="1"/>
    <d v="2022-11-14T14:06:00"/>
    <d v="2022-11-14T14:06:00"/>
    <s v="Requisição"/>
    <s v="Concedida"/>
    <d v="1900-01-08T04:44:29"/>
    <d v="1900-01-08T04:44:29"/>
  </r>
  <r>
    <x v="17"/>
    <d v="2022-11-14T09:04:00"/>
    <d v="2022-11-14T09:08:00"/>
    <s v="Requisição"/>
    <s v="Concedida"/>
    <d v="1900-01-08T09:46:29"/>
    <d v="1900-01-08T09:42:29"/>
  </r>
  <r>
    <x v="46"/>
    <d v="2022-11-11T17:01:00"/>
    <d v="2022-11-14T08:17:00"/>
    <s v="Requisição"/>
    <s v="Concedida"/>
    <d v="1900-01-11T01:49:29"/>
    <d v="1900-01-08T10:33:29"/>
  </r>
  <r>
    <x v="10"/>
    <d v="2022-11-07T13:41:00"/>
    <d v="2022-11-12T10:55:00"/>
    <s v="Requisição"/>
    <s v="Concedida"/>
    <d v="1900-01-15T05:09:29"/>
    <d v="1900-01-10T07:55:29"/>
  </r>
  <r>
    <x v="10"/>
    <d v="2022-11-11T15:27:00"/>
    <d v="2022-11-12T10:54:00"/>
    <s v="Requisição"/>
    <s v="Concedida"/>
    <d v="1900-01-11T03:23:29"/>
    <d v="1900-01-10T07:56:29"/>
  </r>
  <r>
    <x v="9"/>
    <d v="2022-11-07T13:49:00"/>
    <d v="2022-11-12T10:54:00"/>
    <s v="Requisição"/>
    <s v="Concedida"/>
    <d v="1900-01-15T05:01:29"/>
    <d v="1900-01-10T07:56:29"/>
  </r>
  <r>
    <x v="2"/>
    <d v="2022-11-11T18:06:00"/>
    <d v="2022-11-11T18:06:00"/>
    <s v="Incidente"/>
    <s v="Não está sujeita a aprovação"/>
    <d v="1900-01-11T00:44:29"/>
    <d v="1900-01-11T00:44:29"/>
  </r>
  <r>
    <x v="22"/>
    <d v="2022-11-10T11:54:00"/>
    <d v="2022-11-11T17:14:00"/>
    <s v="Requisição"/>
    <s v="Concedida"/>
    <d v="1900-01-12T06:56:29"/>
    <d v="1900-01-11T01:36:29"/>
  </r>
  <r>
    <x v="1"/>
    <d v="2022-11-11T08:26:00"/>
    <d v="2022-11-11T17:05:00"/>
    <s v="Requisição"/>
    <s v="Concedida"/>
    <d v="1900-01-11T10:24:29"/>
    <d v="1900-01-11T01:45:29"/>
  </r>
  <r>
    <x v="2"/>
    <d v="2022-11-01T16:31:00"/>
    <d v="2022-11-11T15:57:00"/>
    <s v="Incidente"/>
    <s v="Recusado"/>
    <d v="1900-01-21T02:19:29"/>
    <d v="1900-01-11T02:53:29"/>
  </r>
  <r>
    <x v="14"/>
    <d v="2022-09-26T11:13:00"/>
    <d v="2022-11-11T15:53:00"/>
    <s v="Incidente"/>
    <s v="Não está sujeita a aprovação"/>
    <d v="1900-02-26T07:37:29"/>
    <d v="1900-01-11T02:57:29"/>
  </r>
  <r>
    <x v="21"/>
    <d v="2022-11-11T15:39:00"/>
    <d v="2022-11-11T15:39:00"/>
    <s v="Requisição"/>
    <s v="Não está sujeita a aprovação"/>
    <d v="1900-01-11T03:11:29"/>
    <d v="1900-01-11T03:11:29"/>
  </r>
  <r>
    <x v="17"/>
    <d v="2022-11-04T14:04:00"/>
    <d v="2022-11-11T14:09:00"/>
    <s v="Requisição"/>
    <s v="Concedida"/>
    <d v="1900-01-18T04:46:29"/>
    <d v="1900-01-11T04:41:29"/>
  </r>
  <r>
    <x v="11"/>
    <d v="2022-11-11T09:03:00"/>
    <d v="2022-11-11T13:28:00"/>
    <s v="Requisição"/>
    <s v="Não está sujeita a aprovação"/>
    <d v="1900-01-11T09:47:29"/>
    <d v="1900-01-11T05:22:29"/>
  </r>
  <r>
    <x v="17"/>
    <d v="2022-11-01T17:48:00"/>
    <d v="2022-11-11T10:20:00"/>
    <s v="Requisição"/>
    <s v="Concedida"/>
    <d v="1900-01-21T01:02:29"/>
    <d v="1900-01-11T08:30:29"/>
  </r>
  <r>
    <x v="38"/>
    <d v="2022-11-09T17:11:00"/>
    <d v="2022-11-10T16:27:00"/>
    <s v="Requisição"/>
    <s v="Concedida"/>
    <d v="1900-01-13T01:39:29"/>
    <d v="1900-01-12T02:23:29"/>
  </r>
  <r>
    <x v="22"/>
    <d v="2022-11-10T14:57:00"/>
    <d v="2022-11-10T14:57:00"/>
    <s v="Requisição"/>
    <s v="Não está sujeita a aprovação"/>
    <d v="1900-01-12T03:53:29"/>
    <d v="1900-01-12T03:53:29"/>
  </r>
  <r>
    <x v="22"/>
    <d v="2022-10-28T10:03:00"/>
    <d v="2022-11-10T14:04:00"/>
    <s v="Requisição"/>
    <s v="Esperando por uma validação"/>
    <d v="1900-01-25T08:47:29"/>
    <d v="1900-01-12T04:46:29"/>
  </r>
  <r>
    <x v="47"/>
    <d v="2022-11-03T15:13:00"/>
    <d v="2022-11-10T14:04:00"/>
    <s v="Requisição"/>
    <s v="Esperando por uma validação"/>
    <d v="1900-01-19T03:37:29"/>
    <d v="1900-01-12T04:46:29"/>
  </r>
  <r>
    <x v="9"/>
    <d v="2022-11-04T11:38:00"/>
    <d v="2022-11-10T14:04:00"/>
    <s v="Requisição"/>
    <s v="Esperando por uma validação"/>
    <d v="1900-01-18T07:12:29"/>
    <d v="1900-01-12T04:46:29"/>
  </r>
  <r>
    <x v="18"/>
    <d v="2022-11-10T11:23:00"/>
    <d v="2022-11-10T11:23:00"/>
    <s v="Requisição"/>
    <s v="Não está sujeita a aprovação"/>
    <d v="1900-01-12T07:27:29"/>
    <d v="1900-01-12T07:27:29"/>
  </r>
  <r>
    <x v="22"/>
    <d v="2022-11-10T11:05:00"/>
    <d v="2022-11-10T11:13:00"/>
    <s v="Requisição"/>
    <s v="Concedida"/>
    <d v="1900-01-12T07:45:29"/>
    <d v="1900-01-12T07:37:29"/>
  </r>
  <r>
    <x v="22"/>
    <d v="2022-11-01T14:10:00"/>
    <d v="2022-11-10T10:46:00"/>
    <s v="Requisição"/>
    <s v="Concedida"/>
    <d v="1900-01-21T04:40:29"/>
    <d v="1900-01-12T08:04:29"/>
  </r>
  <r>
    <x v="21"/>
    <d v="2022-11-10T10:03:00"/>
    <d v="2022-11-10T10:18:00"/>
    <s v="Requisição"/>
    <s v="Concedida"/>
    <d v="1900-01-12T08:47:29"/>
    <d v="1900-01-12T08:32:29"/>
  </r>
  <r>
    <x v="42"/>
    <d v="2022-11-10T08:12:00"/>
    <d v="2022-11-10T08:12:00"/>
    <s v="Incidente"/>
    <s v="Não está sujeita a aprovação"/>
    <d v="1900-01-12T10:38:29"/>
    <d v="1900-01-12T10:38:29"/>
  </r>
  <r>
    <x v="22"/>
    <d v="2022-11-09T14:58:00"/>
    <d v="2022-11-09T14:58:00"/>
    <s v="Requisição"/>
    <s v="Não está sujeita a aprovação"/>
    <d v="1900-01-13T03:52:29"/>
    <d v="1900-01-13T03:52:29"/>
  </r>
  <r>
    <x v="45"/>
    <d v="2022-11-08T08:52:00"/>
    <d v="2022-11-09T14:20:00"/>
    <s v="Requisição"/>
    <s v="Não está sujeita a aprovação"/>
    <d v="1900-01-14T09:58:29"/>
    <d v="1900-01-13T04:30:29"/>
  </r>
  <r>
    <x v="22"/>
    <d v="2022-10-26T08:13:00"/>
    <d v="2022-11-09T10:57:00"/>
    <s v="Requisição"/>
    <s v="Concedida"/>
    <d v="1900-01-27T10:37:29"/>
    <d v="1900-01-13T07:53:29"/>
  </r>
  <r>
    <x v="22"/>
    <d v="2022-11-04T19:03:00"/>
    <d v="2022-11-09T10:04:00"/>
    <s v="Requisição"/>
    <s v="Concedida"/>
    <d v="1900-01-17T23:47:29"/>
    <d v="1900-01-13T08:46:29"/>
  </r>
  <r>
    <x v="48"/>
    <d v="2022-11-09T08:53:00"/>
    <d v="2022-11-09T09:56:00"/>
    <s v="Requisição"/>
    <s v="Concedida"/>
    <d v="1900-01-13T09:57:29"/>
    <d v="1900-01-13T08:54:29"/>
  </r>
  <r>
    <x v="21"/>
    <d v="2022-11-08T14:31:00"/>
    <d v="2022-11-09T09:29:00"/>
    <s v="Requisição"/>
    <s v="Concedida"/>
    <d v="1900-01-14T04:19:29"/>
    <d v="1900-01-13T09:21:29"/>
  </r>
  <r>
    <x v="21"/>
    <d v="2022-11-08T14:30:00"/>
    <d v="2022-11-09T09:29:00"/>
    <s v="Requisição"/>
    <s v="Concedida"/>
    <d v="1900-01-14T04:20:29"/>
    <d v="1900-01-13T09:21:29"/>
  </r>
  <r>
    <x v="42"/>
    <d v="2022-11-07T16:57:00"/>
    <d v="2022-11-09T09:14:00"/>
    <s v="Incidente"/>
    <s v="Não está sujeita a aprovação"/>
    <d v="1900-01-15T01:53:29"/>
    <d v="1900-01-13T09:36:29"/>
  </r>
  <r>
    <x v="17"/>
    <d v="2022-11-09T07:11:00"/>
    <d v="2022-11-09T07:11:00"/>
    <s v="Requisição"/>
    <s v="Não está sujeita a aprovação"/>
    <d v="1900-01-13T11:39:29"/>
    <d v="1900-01-13T11:39:29"/>
  </r>
  <r>
    <x v="40"/>
    <d v="2022-11-08T14:51:00"/>
    <d v="2022-11-08T15:20:00"/>
    <s v="Incidente"/>
    <s v="Não está sujeita a aprovação"/>
    <d v="1900-01-14T03:59:29"/>
    <d v="1900-01-14T03:30:29"/>
  </r>
  <r>
    <x v="17"/>
    <d v="2022-11-08T15:18:00"/>
    <d v="2022-11-08T15:18:00"/>
    <s v="Requisição"/>
    <s v="Não está sujeita a aprovação"/>
    <d v="1900-01-14T03:32:29"/>
    <d v="1900-01-14T03:32:29"/>
  </r>
  <r>
    <x v="22"/>
    <d v="2022-10-27T14:31:00"/>
    <d v="2022-11-08T10:33:00"/>
    <s v="Requisição"/>
    <s v="Concedida"/>
    <d v="1900-01-26T04:19:29"/>
    <d v="1900-01-14T08:17:29"/>
  </r>
  <r>
    <x v="4"/>
    <d v="2022-11-08T09:59:00"/>
    <d v="2022-11-08T10:02:00"/>
    <s v="Requisição"/>
    <s v="Concedida"/>
    <d v="1900-01-14T08:51:29"/>
    <d v="1900-01-14T08:48:29"/>
  </r>
  <r>
    <x v="37"/>
    <d v="2022-11-08T09:39:00"/>
    <d v="2022-11-08T09:41:00"/>
    <s v="Requisição"/>
    <s v="Concedida"/>
    <d v="1900-01-14T09:11:29"/>
    <d v="1900-01-14T09:09:29"/>
  </r>
  <r>
    <x v="17"/>
    <d v="2022-11-08T08:37:00"/>
    <d v="2022-11-08T09:35:00"/>
    <s v="Requisição"/>
    <s v="Concedida"/>
    <d v="1900-01-14T10:13:29"/>
    <d v="1900-01-14T09:15:29"/>
  </r>
  <r>
    <x v="17"/>
    <d v="2022-11-08T08:40:00"/>
    <d v="2022-11-08T09:34:00"/>
    <s v="Requisição"/>
    <s v="Concedida"/>
    <d v="1900-01-14T10:10:29"/>
    <d v="1900-01-14T09:16:29"/>
  </r>
  <r>
    <x v="17"/>
    <d v="2022-11-08T09:21:00"/>
    <d v="2022-11-08T09:27:00"/>
    <s v="Requisição"/>
    <s v="Concedida"/>
    <d v="1900-01-14T09:29:29"/>
    <d v="1900-01-14T09:23:29"/>
  </r>
  <r>
    <x v="49"/>
    <d v="2022-11-07T11:38:00"/>
    <d v="2022-11-07T20:01:00"/>
    <s v="Requisição"/>
    <s v="Não está sujeita a aprovação"/>
    <d v="1900-01-15T07:12:29"/>
    <d v="1900-01-14T22:49:29"/>
  </r>
  <r>
    <x v="27"/>
    <d v="2022-11-07T15:49:00"/>
    <d v="2022-11-07T15:49:00"/>
    <s v="Requisição"/>
    <s v="Não está sujeita a aprovação"/>
    <d v="1900-01-15T03:01:29"/>
    <d v="1900-01-15T03:01:29"/>
  </r>
  <r>
    <x v="34"/>
    <d v="2022-11-07T15:06:00"/>
    <d v="2022-11-07T15:31:00"/>
    <s v="Requisição"/>
    <s v="Não está sujeita a aprovação"/>
    <d v="1900-01-15T03:44:29"/>
    <d v="1900-01-15T03:19:29"/>
  </r>
  <r>
    <x v="21"/>
    <d v="2022-11-07T15:16:00"/>
    <d v="2022-11-07T15:24:00"/>
    <s v="Requisição"/>
    <s v="Concedida"/>
    <d v="1900-01-15T03:34:29"/>
    <d v="1900-01-15T03:26:29"/>
  </r>
  <r>
    <x v="22"/>
    <d v="2022-11-04T10:05:00"/>
    <d v="2022-11-07T14:28:00"/>
    <s v="Requisição"/>
    <s v="Concedida"/>
    <d v="1900-01-18T08:45:29"/>
    <d v="1900-01-15T04:22:29"/>
  </r>
  <r>
    <x v="45"/>
    <d v="2022-11-07T08:05:00"/>
    <d v="2022-11-07T08:05:00"/>
    <s v="Requisição"/>
    <s v="Não está sujeita a aprovação"/>
    <d v="1900-01-15T10:45:29"/>
    <d v="1900-01-15T10:45:29"/>
  </r>
  <r>
    <x v="22"/>
    <d v="2022-11-04T07:54:00"/>
    <d v="2022-11-04T10:16:00"/>
    <s v="Requisição"/>
    <s v="Concedida"/>
    <d v="1900-01-18T10:56:29"/>
    <d v="1900-01-18T08:34:29"/>
  </r>
  <r>
    <x v="40"/>
    <d v="2022-11-03T16:01:00"/>
    <d v="2022-11-03T18:17:00"/>
    <s v="Incidente"/>
    <s v="Não está sujeita a aprovação"/>
    <d v="1900-01-19T02:49:29"/>
    <d v="1900-01-19T00:33:29"/>
  </r>
  <r>
    <x v="21"/>
    <d v="2022-11-03T17:01:00"/>
    <d v="2022-11-03T17:01:00"/>
    <s v="Requisição"/>
    <s v="Não está sujeita a aprovação"/>
    <d v="1900-01-19T01:49:29"/>
    <d v="1900-01-19T01:49:29"/>
  </r>
  <r>
    <x v="22"/>
    <d v="2022-11-03T09:54:00"/>
    <d v="2022-11-03T09:59:00"/>
    <s v="Requisição"/>
    <s v="Concedida"/>
    <d v="1900-01-19T08:56:29"/>
    <d v="1900-01-19T08:51:29"/>
  </r>
  <r>
    <x v="22"/>
    <d v="2022-11-01T11:06:00"/>
    <d v="2022-11-01T16:15:00"/>
    <s v="Requisição"/>
    <s v="Concedida"/>
    <d v="1900-01-21T07:44:29"/>
    <d v="1900-01-21T02:35:29"/>
  </r>
  <r>
    <x v="50"/>
    <d v="2022-11-01T14:41:00"/>
    <d v="2022-11-01T14:41:00"/>
    <s v="Requisição"/>
    <s v="Não está sujeita a aprovação"/>
    <d v="1900-01-21T04:09:29"/>
    <d v="1900-01-21T04:09:29"/>
  </r>
  <r>
    <x v="51"/>
    <d v="2022-10-28T15:20:00"/>
    <d v="2022-11-01T11:19:00"/>
    <s v="Requisição"/>
    <s v="Não está sujeita a aprovação"/>
    <d v="1900-01-25T03:30:29"/>
    <d v="1900-01-21T07:31:29"/>
  </r>
  <r>
    <x v="22"/>
    <d v="2022-10-31T15:52:00"/>
    <d v="2022-10-31T20:13:00"/>
    <s v="Requisição"/>
    <s v="Concedida"/>
    <d v="1900-01-22T02:58:29"/>
    <d v="1900-01-21T22:37:29"/>
  </r>
  <r>
    <x v="52"/>
    <d v="2022-10-28T14:35:00"/>
    <d v="2022-10-31T14:05:00"/>
    <s v="Requisição"/>
    <s v="Concedida"/>
    <d v="1900-01-25T04:15:29"/>
    <d v="1900-01-22T04:45:29"/>
  </r>
  <r>
    <x v="22"/>
    <d v="2022-10-27T15:59:00"/>
    <d v="2022-10-31T09:04:00"/>
    <s v="Requisição"/>
    <s v="Concedida"/>
    <d v="1900-01-26T02:51:29"/>
    <d v="1900-01-22T09:46:29"/>
  </r>
  <r>
    <x v="22"/>
    <d v="2022-10-27T10:13:00"/>
    <d v="2022-10-27T12:58:00"/>
    <s v="Requisição"/>
    <s v="Concedida"/>
    <d v="1900-01-26T08:37:29"/>
    <d v="1900-01-26T05:52:29"/>
  </r>
  <r>
    <x v="17"/>
    <d v="2022-10-11T16:07:00"/>
    <d v="2022-10-27T08:09:00"/>
    <s v="Requisição"/>
    <s v="Não está sujeita a aprovação"/>
    <d v="1900-02-11T02:43:29"/>
    <d v="1900-01-26T10:41:29"/>
  </r>
  <r>
    <x v="22"/>
    <d v="2022-10-25T08:28:00"/>
    <d v="2022-10-25T09:55:00"/>
    <s v="Requisição"/>
    <s v="Concedida"/>
    <d v="1900-01-28T10:22:29"/>
    <d v="1900-01-28T08:55:29"/>
  </r>
  <r>
    <x v="2"/>
    <d v="2022-10-18T08:37:00"/>
    <d v="2022-10-20T16:29:00"/>
    <s v="Incidente"/>
    <s v="Não está sujeita a aprovação"/>
    <d v="1900-02-04T10:13:29"/>
    <d v="1900-02-02T02:21:29"/>
  </r>
  <r>
    <x v="53"/>
    <d v="2022-10-18T09:54:00"/>
    <d v="2022-10-18T16:25:00"/>
    <s v="Incidente"/>
    <s v="Não está sujeita a aprovação"/>
    <d v="1900-02-04T08:56:29"/>
    <d v="1900-02-04T02:25:29"/>
  </r>
  <r>
    <x v="17"/>
    <d v="2022-09-22T15:49:00"/>
    <d v="2022-10-14T18:24:00"/>
    <s v="Requisição"/>
    <s v="Concedida"/>
    <d v="1900-03-02T03:01:29"/>
    <d v="1900-02-08T00:26:29"/>
  </r>
  <r>
    <x v="2"/>
    <d v="2022-09-30T09:02:00"/>
    <d v="2022-10-04T11:41:00"/>
    <s v="Incidente"/>
    <s v="Não está sujeita a aprovação"/>
    <d v="1900-02-22T09:48:29"/>
    <d v="1900-02-18T07:09:2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9">
  <r>
    <s v="47 960"/>
    <x v="0"/>
    <s v="Processando (atribuído)"/>
    <d v="2022-11-22T14:54:00"/>
    <s v="CSTI Requerente"/>
    <s v="Diretoria - TI &gt; Infraestrutura &gt; Sup. Campo"/>
    <d v="2022-11-22T15:00:00"/>
    <s v="Requisição"/>
    <s v="Não está sujeita a aprovação"/>
    <s v="Baixa"/>
    <d v="1899-12-31T03:56:29"/>
    <d v="1899-12-31T03:50:29"/>
  </r>
  <r>
    <s v="46 548"/>
    <x v="0"/>
    <s v="Processando (atribuído)"/>
    <d v="2022-10-28T14:30:00"/>
    <s v="CSTI Requerente"/>
    <s v="Diretoria - TI &gt; Infraestrutura &gt; Sup. Campo"/>
    <d v="2022-11-22T14:50:00"/>
    <s v="Requisição"/>
    <s v="Não está sujeita a aprovação"/>
    <s v="Baixa"/>
    <d v="1900-01-25T04:20:29"/>
    <d v="1899-12-31T04:00:29"/>
  </r>
  <r>
    <s v="47 234"/>
    <x v="0"/>
    <s v="Processando (atribuído)"/>
    <d v="2022-11-08T16:29:00"/>
    <s v="CSTI Requerente_x000a_Colaborador - Comum"/>
    <s v="Diretoria - TI &gt; Infraestrutura &gt; Sup. Campo"/>
    <d v="2022-11-22T14:48:00"/>
    <s v="Requisição"/>
    <s v="Não está sujeita a aprovação"/>
    <s v="Baixa"/>
    <d v="1900-01-14T02:21:29"/>
    <d v="1899-12-31T04:02:29"/>
  </r>
  <r>
    <s v="46 549"/>
    <x v="0"/>
    <s v="Processando (atribuído)"/>
    <d v="2022-10-28T14:35:00"/>
    <s v="CSTI Requerente"/>
    <s v="Diretoria - TI &gt; Infraestrutura &gt; Sup. Campo"/>
    <d v="2022-11-22T14:44:00"/>
    <s v="Requisição"/>
    <s v="Não está sujeita a aprovação"/>
    <s v="Baixa"/>
    <d v="1900-01-25T04:15:29"/>
    <d v="1899-12-31T04:06:29"/>
  </r>
  <r>
    <s v="46 544"/>
    <x v="0"/>
    <s v="Processando (atribuído)"/>
    <d v="2022-10-28T14:23:00"/>
    <s v="CSTI Requerente"/>
    <s v="Diretoria - TI &gt; Infraestrutura &gt; Sup. Campo"/>
    <d v="2022-11-22T14:41:00"/>
    <s v="Requisição"/>
    <s v="Não está sujeita a aprovação"/>
    <s v="Baixa"/>
    <d v="1900-01-25T04:27:29"/>
    <d v="1899-12-31T04:09:29"/>
  </r>
  <r>
    <s v="46 554"/>
    <x v="0"/>
    <s v="Processando (atribuído)"/>
    <d v="2022-10-28T14:42:00"/>
    <s v="CSTI Requerente"/>
    <s v="Diretoria - TI &gt; Infraestrutura &gt; Sup. Campo"/>
    <d v="2022-11-22T14:40:00"/>
    <s v="Requisição"/>
    <s v="Não está sujeita a aprovação"/>
    <s v="Baixa"/>
    <d v="1900-01-25T04:08:29"/>
    <d v="1899-12-31T04:10:29"/>
  </r>
  <r>
    <s v="46 207"/>
    <x v="1"/>
    <s v="Processando (atribuído)"/>
    <d v="2022-10-24T10:42:00"/>
    <s v="CSTI Requerente"/>
    <s v="Diretoria - TI &gt; Infraestrutura &gt; Sup. Campo"/>
    <d v="2022-11-22T14:39:00"/>
    <s v="Requisição"/>
    <s v="Não está sujeita a aprovação"/>
    <s v="Baixa"/>
    <d v="1900-01-29T08:08:29"/>
    <d v="1899-12-31T04:11:29"/>
  </r>
  <r>
    <s v="45 828"/>
    <x v="2"/>
    <s v="Processando (atribuído)"/>
    <d v="2022-10-17T14:23:00"/>
    <s v="CSTI Requerente"/>
    <s v="Diretoria - TI &gt; Infraestrutura &gt; Sup. Campo"/>
    <d v="2022-11-22T14:30:00"/>
    <s v="Incidente"/>
    <s v="Não está sujeita a aprovação"/>
    <s v="Baixa"/>
    <d v="1900-02-05T04:27:29"/>
    <d v="1899-12-31T04:20:29"/>
  </r>
  <r>
    <s v="46 924"/>
    <x v="3"/>
    <s v="Novo"/>
    <d v="2022-11-04T15:02:00"/>
    <s v="CSTI Requerente"/>
    <s v="Diretoria - TI &gt; Infraestrutura &gt; Sup. Campo"/>
    <d v="2022-11-22T14:18:00"/>
    <s v="Requisição"/>
    <s v="Não está sujeita a aprovação"/>
    <s v="Baixa"/>
    <d v="1900-01-18T03:48:29"/>
    <d v="1899-12-31T04:32:29"/>
  </r>
  <r>
    <s v="46 291"/>
    <x v="1"/>
    <s v="Processando (atribuído)"/>
    <d v="2022-10-25T10:51:00"/>
    <s v="CSTI Requerente"/>
    <s v="Diretoria - TI &gt; Infraestrutura &gt; Sup. Campo"/>
    <d v="2022-11-22T14:17:00"/>
    <s v="Requisição"/>
    <s v="Não está sujeita a aprovação"/>
    <s v="Baixa"/>
    <d v="1900-01-28T07:59:29"/>
    <d v="1899-12-31T04:33:29"/>
  </r>
  <r>
    <s v="47 903"/>
    <x v="4"/>
    <s v="Novo"/>
    <d v="2022-11-21T18:55:00"/>
    <s v="CSTI Requerente"/>
    <s v="Diretoria - TI &gt; Infraestrutura &gt; Sup. Campo"/>
    <d v="2022-11-22T14:16:00"/>
    <s v="Requisição"/>
    <s v="Não está sujeita a aprovação"/>
    <s v="Baixa"/>
    <d v="1899-12-31T23:55:29"/>
    <d v="1899-12-31T04:34:29"/>
  </r>
  <r>
    <s v="47 933"/>
    <x v="5"/>
    <s v="Processando (atribuído)"/>
    <d v="2022-11-22T10:51:00"/>
    <s v="CSTI Requerente"/>
    <s v="Diretoria - TI &gt; Infraestrutura &gt; Sup. Campo"/>
    <d v="2022-11-22T14:04:00"/>
    <s v="Requisição"/>
    <s v="Esperando por uma validação"/>
    <s v="Baixa"/>
    <d v="1899-12-31T07:59:29"/>
    <d v="1899-12-31T04:46:29"/>
  </r>
  <r>
    <s v="47 384"/>
    <x v="6"/>
    <s v="Processando (atribuído)"/>
    <d v="2022-11-10T15:39:00"/>
    <s v="CSTI Requerente_x000a_Diretoria - TI &gt; Sistemas &gt; Medicina"/>
    <s v="Diretoria - TI &gt; Infraestrutura &gt; Sup. Campo"/>
    <d v="2022-11-22T11:53:00"/>
    <s v="Requisição"/>
    <s v="Não está sujeita a aprovação"/>
    <s v="Baixa"/>
    <d v="1900-01-12T03:11:29"/>
    <d v="1899-12-31T06:57:29"/>
  </r>
  <r>
    <s v="47 944"/>
    <x v="7"/>
    <s v="Novo"/>
    <d v="2022-11-22T11:48:00"/>
    <s v="CSTI Requerente"/>
    <s v="Diretoria - TI &gt; Infraestrutura &gt; Sup. Campo"/>
    <d v="2022-11-22T11:48:00"/>
    <s v="Requisição"/>
    <s v="Não está sujeita a aprovação"/>
    <s v="Baixa"/>
    <d v="1899-12-31T07:02:29"/>
    <d v="1899-12-31T07:02:29"/>
  </r>
  <r>
    <s v="47 344"/>
    <x v="6"/>
    <s v="Processando (atribuído)"/>
    <d v="2022-11-10T10:06:00"/>
    <s v="CSTI Requerente"/>
    <s v="Diretoria - TI &gt; Infraestrutura &gt; Sup. Campo"/>
    <d v="2022-11-22T11:48:00"/>
    <s v="Requisição"/>
    <s v="Não está sujeita a aprovação"/>
    <s v="Baixa"/>
    <d v="1900-01-12T08:44:29"/>
    <d v="1899-12-31T07:02:29"/>
  </r>
  <r>
    <s v="47 040"/>
    <x v="8"/>
    <s v="Processando (atribuído)"/>
    <d v="2022-11-07T12:47:00"/>
    <s v="CSTI Requerente"/>
    <s v="Diretoria - TI &gt; Infraestrutura &gt; Sup. Campo"/>
    <d v="2022-11-22T11:46:00"/>
    <s v="Requisição"/>
    <s v="Não está sujeita a aprovação"/>
    <s v="Baixa"/>
    <d v="1900-01-15T06:03:29"/>
    <d v="1899-12-31T07:04:29"/>
  </r>
  <r>
    <s v="47 731"/>
    <x v="5"/>
    <s v="Processando (atribuído)"/>
    <d v="2022-11-17T17:13:00"/>
    <s v="CSTI Requerente"/>
    <s v="Diretoria - TI &gt; Infraestrutura &gt; Sup. Campo"/>
    <d v="2022-11-22T11:17:00"/>
    <s v="Requisição"/>
    <s v="Concedida"/>
    <s v="Baixa"/>
    <d v="1900-01-05T01:37:29"/>
    <d v="1899-12-31T07:33:29"/>
  </r>
  <r>
    <s v="47 932"/>
    <x v="2"/>
    <s v="Processando (atribuído)"/>
    <d v="2022-11-22T10:48:00"/>
    <s v="CSTI Requerente"/>
    <s v="Diretoria - TI &gt; Infraestrutura &gt; Sup. Campo"/>
    <d v="2022-11-22T10:53:00"/>
    <s v="Incidente"/>
    <s v="Não está sujeita a aprovação"/>
    <s v="Baixa"/>
    <d v="1899-12-31T08:02:29"/>
    <d v="1899-12-31T07:57:29"/>
  </r>
  <r>
    <s v="47 915"/>
    <x v="9"/>
    <s v="Novo"/>
    <d v="2022-11-22T09:44:00"/>
    <s v="CSTI Requerente"/>
    <s v="Diretoria - TI &gt; Infraestrutura &gt; Sup. Campo"/>
    <d v="2022-11-22T10:52:00"/>
    <s v="Requisição"/>
    <s v="Não está sujeita a aprovação"/>
    <s v="Baixa"/>
    <d v="1899-12-31T09:06:29"/>
    <d v="1899-12-31T07:58:29"/>
  </r>
  <r>
    <s v="47 892"/>
    <x v="6"/>
    <s v="Novo"/>
    <d v="2022-11-21T16:44:00"/>
    <s v="CSTI Requerente_x000a_Diretoria - TI &gt; Sistemas &gt; Medicina"/>
    <s v="Diretoria - TI &gt; Infraestrutura &gt; Sup. Campo"/>
    <d v="2022-11-21T16:44:00"/>
    <s v="Requisição"/>
    <s v="Não está sujeita a aprovação"/>
    <s v="Baixa"/>
    <d v="1900-01-01T02:06:29"/>
    <d v="1900-01-01T02:06:29"/>
  </r>
  <r>
    <s v="47 891"/>
    <x v="10"/>
    <s v="Novo"/>
    <d v="2022-11-21T16:14:00"/>
    <s v="CSTI Requerente"/>
    <s v="Diretoria - TI &gt; Infraestrutura &gt; Sup. Campo"/>
    <d v="2022-11-21T16:14:00"/>
    <s v="Incidente"/>
    <s v="Não está sujeita a aprovação"/>
    <s v="Baixa"/>
    <d v="1900-01-01T02:36:29"/>
    <d v="1900-01-01T02:36:29"/>
  </r>
  <r>
    <s v="40 063"/>
    <x v="11"/>
    <s v="Processando (atribuído)"/>
    <d v="2022-07-01T08:38:00"/>
    <s v="CSTI Requerente"/>
    <s v="Diretoria - TI &gt; Infraestrutura &gt; Sup. Campo"/>
    <d v="2022-11-21T15:50:00"/>
    <s v="Incidente"/>
    <s v="Não está sujeita a aprovação"/>
    <s v="Baixa"/>
    <d v="1900-05-24T10:12:29"/>
    <d v="1900-01-01T03:00:29"/>
  </r>
  <r>
    <s v="47 883"/>
    <x v="12"/>
    <s v="Pendente"/>
    <d v="2022-11-21T15:39:00"/>
    <s v="CSTI Requerente_x000a_Não possui aprovador"/>
    <s v="Diretoria - TI &gt; Infraestrutura &gt; Sup. Campo"/>
    <d v="2022-11-21T15:39:00"/>
    <s v="Requisição"/>
    <s v="Não está sujeita a aprovação"/>
    <s v="Baixa"/>
    <d v="1900-01-01T03:11:29"/>
    <d v="1900-01-01T03:11:29"/>
  </r>
  <r>
    <s v="46 449"/>
    <x v="0"/>
    <s v="Processando (atribuído)"/>
    <d v="2022-10-27T11:58:00"/>
    <s v="CSTI Requerente"/>
    <s v="Diretoria - TI &gt; Infraestrutura &gt; Sup. Campo"/>
    <d v="2022-11-21T14:32:00"/>
    <s v="Requisição"/>
    <s v="Não está sujeita a aprovação"/>
    <s v="Baixa"/>
    <d v="1900-01-26T06:52:29"/>
    <d v="1900-01-01T04:18:29"/>
  </r>
  <r>
    <s v="47 872"/>
    <x v="11"/>
    <s v="Processando (atribuído)"/>
    <d v="2022-11-21T13:54:00"/>
    <s v="CSTI Requerente"/>
    <s v="Diretoria - TI &gt; Infraestrutura &gt; Sup. Campo"/>
    <d v="2022-11-21T14:25:00"/>
    <s v="Incidente"/>
    <s v="Não está sujeita a aprovação"/>
    <s v="Baixa"/>
    <d v="1900-01-01T04:56:29"/>
    <d v="1900-01-01T04:25:29"/>
  </r>
  <r>
    <s v="47 873"/>
    <x v="10"/>
    <s v="Novo"/>
    <d v="2022-11-21T14:01:00"/>
    <s v="CSTI Requerente"/>
    <s v="Diretoria - TI &gt; Infraestrutura &gt; Sup. Campo"/>
    <d v="2022-11-21T14:01:00"/>
    <s v="Incidente"/>
    <s v="Não está sujeita a aprovação"/>
    <s v="Baixa"/>
    <d v="1900-01-01T04:49:29"/>
    <d v="1900-01-01T04:49:29"/>
  </r>
  <r>
    <s v="47 166"/>
    <x v="5"/>
    <s v="Pendente"/>
    <d v="2022-11-08T11:11:00"/>
    <s v="CSTI Requerente"/>
    <s v="Diretoria - TI &gt; Infraestrutura &gt; Sup. Campo"/>
    <d v="2022-11-21T11:04:00"/>
    <s v="Requisição"/>
    <s v="Concedida"/>
    <s v="Baixa"/>
    <d v="1900-01-14T07:39:29"/>
    <d v="1900-01-01T07:46:29"/>
  </r>
  <r>
    <s v="47 161"/>
    <x v="5"/>
    <s v="Pendente"/>
    <d v="2022-11-08T10:52:00"/>
    <s v="CSTI Requerente"/>
    <s v="Diretoria - TI &gt; Infraestrutura &gt; Sup. Campo"/>
    <d v="2022-11-21T11:03:00"/>
    <s v="Requisição"/>
    <s v="Não está sujeita a aprovação"/>
    <s v="Baixa"/>
    <d v="1900-01-14T07:58:29"/>
    <d v="1900-01-01T07:47:29"/>
  </r>
  <r>
    <s v="47 165"/>
    <x v="13"/>
    <s v="Pendente"/>
    <d v="2022-11-08T11:05:00"/>
    <s v="CSTI Requerente"/>
    <s v="Diretoria - TI &gt; Infraestrutura &gt; Sup. Campo"/>
    <d v="2022-11-21T11:02:00"/>
    <s v="Requisição"/>
    <s v="Concedida"/>
    <s v="Baixa"/>
    <d v="1900-01-14T07:45:29"/>
    <d v="1900-01-01T07:48:29"/>
  </r>
  <r>
    <s v="47 310"/>
    <x v="14"/>
    <s v="Processando (atribuído)"/>
    <d v="2022-11-09T17:23:00"/>
    <s v="CSTI Requerente"/>
    <s v="Diretoria - TI &gt; Infraestrutura &gt; Sup. Campo"/>
    <d v="2022-11-21T10:57:00"/>
    <s v="Requisição"/>
    <s v="Concedida"/>
    <s v="Baixa"/>
    <d v="1900-01-13T01:27:29"/>
    <d v="1900-01-01T07:53:29"/>
  </r>
  <r>
    <s v="47 321"/>
    <x v="14"/>
    <s v="Processando (atribuído)"/>
    <d v="2022-11-09T18:43:00"/>
    <s v="CSTI Requerente"/>
    <s v="Diretoria - TI &gt; Infraestrutura &gt; Sup. Campo"/>
    <d v="2022-11-21T10:56:00"/>
    <s v="Requisição"/>
    <s v="Não está sujeita a aprovação"/>
    <s v="Baixa"/>
    <d v="1900-01-13T00:07:29"/>
    <d v="1900-01-01T07:54:29"/>
  </r>
  <r>
    <s v="47 802"/>
    <x v="14"/>
    <s v="Pendente"/>
    <d v="2022-11-18T16:01:00"/>
    <s v="CSTI Requerente_x000a_Não possui aprovador"/>
    <s v="Diretoria - TI &gt; Infraestrutura &gt; Sup. Campo"/>
    <d v="2022-11-21T10:48:00"/>
    <s v="Requisição"/>
    <s v="Concedida"/>
    <s v="Baixa"/>
    <d v="1900-01-04T02:49:29"/>
    <d v="1900-01-01T08:02:29"/>
  </r>
  <r>
    <s v="47 613"/>
    <x v="5"/>
    <s v="Processando (atribuído)"/>
    <d v="2022-11-16T12:25:00"/>
    <s v="CSTI Requerente"/>
    <s v="Diretoria - TI &gt; Infraestrutura &gt; Sup. Campo"/>
    <d v="2022-11-21T10:43:00"/>
    <s v="Requisição"/>
    <s v="Concedida"/>
    <s v="Baixa"/>
    <d v="1900-01-06T06:25:29"/>
    <d v="1900-01-01T08:07:29"/>
  </r>
  <r>
    <s v="47 311"/>
    <x v="14"/>
    <s v="Processando (atribuído)"/>
    <d v="2022-11-09T17:25:00"/>
    <s v="CSTI Requerente"/>
    <s v="Diretoria - TI &gt; Infraestrutura &gt; Sup. Campo"/>
    <d v="2022-11-21T10:32:00"/>
    <s v="Requisição"/>
    <s v="Concedida"/>
    <s v="Baixa"/>
    <d v="1900-01-13T01:25:29"/>
    <d v="1900-01-01T08:18:29"/>
  </r>
  <r>
    <s v="47 398"/>
    <x v="5"/>
    <s v="Processando (atribuído)"/>
    <d v="2022-11-10T16:32:00"/>
    <s v="CSTI Requerente"/>
    <s v="Diretoria - TI &gt; Infraestrutura &gt; Sup. Campo"/>
    <d v="2022-11-21T10:30:00"/>
    <s v="Requisição"/>
    <s v="Concedida"/>
    <s v="Baixa"/>
    <d v="1900-01-12T02:18:29"/>
    <d v="1900-01-01T08:20:29"/>
  </r>
  <r>
    <s v="47 612"/>
    <x v="5"/>
    <s v="Processando (atribuído)"/>
    <d v="2022-11-16T12:15:00"/>
    <s v="CSTI Requerente"/>
    <s v="Diretoria - TI &gt; Infraestrutura &gt; Sup. Campo"/>
    <d v="2022-11-21T10:25:00"/>
    <s v="Requisição"/>
    <s v="Esperando por uma validação"/>
    <s v="Baixa"/>
    <d v="1900-01-06T06:35:29"/>
    <d v="1900-01-01T08:25:29"/>
  </r>
  <r>
    <s v="47 848"/>
    <x v="15"/>
    <s v="Pendente"/>
    <d v="2022-11-21T10:01:00"/>
    <s v="CSTI Requerente"/>
    <s v="Diretoria - TI &gt; Infraestrutura &gt; Sup. Campo"/>
    <d v="2022-11-21T10:01:00"/>
    <s v="Requisição"/>
    <s v="Esperando por uma validação"/>
    <s v="Baixa"/>
    <d v="1900-01-01T08:49:29"/>
    <d v="1900-01-01T08:49:29"/>
  </r>
  <r>
    <s v="44 699"/>
    <x v="0"/>
    <s v="Processando (atribuído)"/>
    <d v="2022-09-22T17:02:00"/>
    <s v="CSTI Requerente"/>
    <s v="Diretoria - TI &gt; Infraestrutura &gt; Sup. Campo"/>
    <d v="2022-11-21T09:26:00"/>
    <s v="Requisição"/>
    <s v="Não está sujeita a aprovação"/>
    <s v="Baixa"/>
    <d v="1900-03-02T01:48:29"/>
    <d v="1900-01-01T09:24:29"/>
  </r>
  <r>
    <s v="47 836"/>
    <x v="2"/>
    <s v="Novo"/>
    <d v="2022-11-21T09:11:00"/>
    <s v="CSTI Requerente"/>
    <s v="Diretoria - TI &gt; Infraestrutura &gt; Sup. Campo"/>
    <d v="2022-11-21T09:11:00"/>
    <s v="Incidente"/>
    <s v="Não está sujeita a aprovação"/>
    <s v="Baixa"/>
    <d v="1900-01-01T09:39:29"/>
    <d v="1900-01-01T09:39:29"/>
  </r>
  <r>
    <s v="47 825"/>
    <x v="16"/>
    <s v="Novo"/>
    <d v="2022-11-21T08:45:00"/>
    <s v="Diretoria - TI &gt; DADOS &gt; BI - DBA - DW - SQL_x000a_Diretoria - TI &gt; DADOS &gt; DBO_x000a_CSTI Requerente"/>
    <s v="Diretoria - TI &gt; Infraestrutura &gt; Sup. Campo"/>
    <d v="2022-11-21T08:45:00"/>
    <s v="Incidente"/>
    <s v="Não está sujeita a aprovação"/>
    <s v="Baixa"/>
    <d v="1900-01-01T10:05:29"/>
    <d v="1900-01-01T10:05:29"/>
  </r>
  <r>
    <s v="47 824"/>
    <x v="17"/>
    <s v="Novo"/>
    <d v="2022-11-21T08:45:00"/>
    <s v="Diretoria - TI &gt; DADOS &gt; BI - DBA - DW - SQL_x000a_CSTI Requerente"/>
    <s v="Diretoria - TI &gt; Infraestrutura &gt; Sup. Campo"/>
    <d v="2022-11-21T08:45:00"/>
    <s v="Requisição"/>
    <s v="Não está sujeita a aprovação"/>
    <s v="Baixa"/>
    <d v="1900-01-01T10:05:29"/>
    <d v="1900-01-01T10:05:29"/>
  </r>
  <r>
    <s v="46 450"/>
    <x v="6"/>
    <s v="Processando (atribuído)"/>
    <d v="2022-10-27T12:07:00"/>
    <s v="CSTI Requerente"/>
    <s v="Diretoria - TI &gt; Infraestrutura &gt; Sup. Campo"/>
    <d v="2022-11-21T08:00:00"/>
    <s v="Requisição"/>
    <s v="Não está sujeita a aprovação"/>
    <s v="Baixa"/>
    <d v="1900-01-26T06:43:29"/>
    <d v="1900-01-01T10:50:29"/>
  </r>
  <r>
    <s v="47 806"/>
    <x v="13"/>
    <s v="Pendente"/>
    <d v="2022-11-18T16:33:00"/>
    <s v="CSTI Requerente"/>
    <s v="Diretoria - TI &gt; Infraestrutura &gt; Sup. Campo"/>
    <d v="2022-11-18T17:10:00"/>
    <s v="Requisição"/>
    <s v="Concedida"/>
    <s v="Baixa"/>
    <d v="1900-01-04T02:17:29"/>
    <d v="1900-01-04T01:40:29"/>
  </r>
  <r>
    <s v="46 845"/>
    <x v="6"/>
    <s v="Processando (atribuído)"/>
    <d v="2022-11-03T17:01:00"/>
    <s v="CSTI Requerente"/>
    <s v="Diretoria - TI &gt; Infraestrutura &gt; Sup. Campo"/>
    <d v="2022-11-18T14:38:00"/>
    <s v="Requisição"/>
    <s v="Não está sujeita a aprovação"/>
    <s v="Baixa"/>
    <d v="1900-01-19T01:49:29"/>
    <d v="1900-01-04T04:12:29"/>
  </r>
  <r>
    <s v="47 111"/>
    <x v="18"/>
    <s v="Processando (atribuído)"/>
    <d v="2022-11-07T16:40:00"/>
    <m/>
    <s v="Diretoria - TI &gt; Infraestrutura &gt; Sup. Campo"/>
    <d v="2022-11-18T14:00:00"/>
    <s v="Requisição"/>
    <s v="Não está sujeita a aprovação"/>
    <s v="Baixa"/>
    <d v="1900-01-15T02:10:29"/>
    <d v="1900-01-04T04:50:29"/>
  </r>
  <r>
    <s v="47 773"/>
    <x v="6"/>
    <s v="Novo"/>
    <d v="2022-11-18T11:26:00"/>
    <s v="CSTI Requerente"/>
    <s v="Diretoria - TI &gt; Infraestrutura &gt; Sup. Campo"/>
    <d v="2022-11-18T11:26:00"/>
    <s v="Requisição"/>
    <s v="Não está sujeita a aprovação"/>
    <s v="Baixa"/>
    <d v="1900-01-04T07:24:29"/>
    <d v="1900-01-04T07:24:29"/>
  </r>
  <r>
    <s v="47 772"/>
    <x v="6"/>
    <s v="Novo"/>
    <d v="2022-11-18T11:24:00"/>
    <s v="CSTI Requerente"/>
    <s v="Diretoria - TI &gt; Infraestrutura &gt; Sup. Campo"/>
    <d v="2022-11-18T11:24:00"/>
    <s v="Requisição"/>
    <s v="Não está sujeita a aprovação"/>
    <s v="Baixa"/>
    <d v="1900-01-04T07:26:29"/>
    <d v="1900-01-04T07:26:29"/>
  </r>
  <r>
    <s v="47 758"/>
    <x v="10"/>
    <s v="Novo"/>
    <d v="2022-11-18T10:13:00"/>
    <s v="CSTI Requerente"/>
    <s v="Diretoria - TI &gt; Infraestrutura &gt; Sup. Campo"/>
    <d v="2022-11-18T10:13:00"/>
    <s v="Incidente"/>
    <s v="Não está sujeita a aprovação"/>
    <s v="Baixa"/>
    <d v="1900-01-04T08:37:29"/>
    <d v="1900-01-04T08:37:29"/>
  </r>
  <r>
    <s v="45 588"/>
    <x v="19"/>
    <s v="Processando (atribuído)"/>
    <d v="2022-10-11T11:46:00"/>
    <s v="CSTI Requerente"/>
    <s v="Diretoria - TI &gt; Infraestrutura &gt; Sup. Campo"/>
    <d v="2022-11-18T10:12:00"/>
    <s v="Requisição"/>
    <s v="Não está sujeita a aprovação"/>
    <s v="Baixa"/>
    <d v="1900-02-11T07:04:29"/>
    <d v="1900-01-04T08:38:29"/>
  </r>
  <r>
    <s v="47 254"/>
    <x v="4"/>
    <s v="Processando (atribuído)"/>
    <d v="2022-11-08T17:52:00"/>
    <s v="CSTI Requerente"/>
    <s v="Diretoria - TI &gt; Infraestrutura &gt; Sup. Campo"/>
    <d v="2022-11-18T10:06:00"/>
    <s v="Requisição"/>
    <s v="Não está sujeita a aprovação"/>
    <s v="Baixa"/>
    <d v="1900-01-14T00:58:29"/>
    <d v="1900-01-04T08:44:29"/>
  </r>
  <r>
    <s v="46 640"/>
    <x v="20"/>
    <s v="Processando (atribuído)"/>
    <d v="2022-11-01T08:10:00"/>
    <s v="CSTI Requerente"/>
    <s v="Diretoria - TI &gt; Infraestrutura &gt; Sup. Campo"/>
    <d v="2022-11-18T10:03:00"/>
    <s v="Incidente"/>
    <s v="Não está sujeita a aprovação"/>
    <s v="Baixa"/>
    <d v="1900-01-21T10:40:29"/>
    <d v="1900-01-04T08:47:29"/>
  </r>
  <r>
    <s v="47 530"/>
    <x v="0"/>
    <s v="Novo"/>
    <d v="2022-11-14T11:16:00"/>
    <s v="CSTI Requerente"/>
    <s v="Diretoria - TI &gt; Infraestrutura &gt; Sup. Campo"/>
    <d v="2022-11-18T08:53:00"/>
    <s v="Requisição"/>
    <s v="Não está sujeita a aprovação"/>
    <s v="Baixa"/>
    <d v="1900-01-08T07:34:29"/>
    <d v="1900-01-04T09:57:29"/>
  </r>
  <r>
    <s v="47 742"/>
    <x v="21"/>
    <s v="Novo"/>
    <d v="2022-11-18T08:08:00"/>
    <s v="CSTI Requerente"/>
    <s v="Diretoria - TI &gt; Infraestrutura &gt; Sup. Campo"/>
    <d v="2022-11-18T08:10:00"/>
    <s v="Requisição"/>
    <s v="Não está sujeita a aprovação"/>
    <s v="Baixa"/>
    <d v="1900-01-04T10:42:29"/>
    <d v="1900-01-04T10:40:29"/>
  </r>
  <r>
    <s v="47 668"/>
    <x v="1"/>
    <s v="Processando (atribuído)"/>
    <d v="2022-11-17T08:09:00"/>
    <s v="CSTI Requerente"/>
    <s v="Diretoria - TI &gt; Infraestrutura &gt; Sup. Campo"/>
    <d v="2022-11-18T07:11:00"/>
    <s v="Requisição"/>
    <s v="Não está sujeita a aprovação"/>
    <s v="Baixa"/>
    <d v="1900-01-05T10:41:29"/>
    <d v="1900-01-04T11:39:29"/>
  </r>
  <r>
    <s v="47 564"/>
    <x v="22"/>
    <s v="Novo"/>
    <d v="2022-11-14T16:10:00"/>
    <s v="CSTI Requerente"/>
    <s v="Diretoria - TI &gt; Infraestrutura &gt; Sup. Campo"/>
    <d v="2022-11-17T13:45:00"/>
    <s v="Requisição"/>
    <s v="Não está sujeita a aprovação"/>
    <s v="Baixa"/>
    <d v="1900-01-08T02:40:29"/>
    <d v="1900-01-05T05:05:29"/>
  </r>
  <r>
    <s v="47 715"/>
    <x v="23"/>
    <s v="Novo"/>
    <d v="2022-11-17T13:23:00"/>
    <s v="CSTI Requerente"/>
    <s v="Diretoria - TI &gt; Infraestrutura &gt; Sup. Campo"/>
    <d v="2022-11-17T13:23:00"/>
    <s v="Requisição"/>
    <s v="Não está sujeita a aprovação"/>
    <s v="Baixa"/>
    <d v="1900-01-05T05:27:29"/>
    <d v="1900-01-05T05:27:29"/>
  </r>
  <r>
    <s v="47 688"/>
    <x v="24"/>
    <s v="Processando (atribuído)"/>
    <d v="2022-11-17T09:38:00"/>
    <s v="CSTI Requerente"/>
    <s v="Diretoria - TI &gt; Infraestrutura &gt; Sup. Campo"/>
    <d v="2022-11-17T12:39:00"/>
    <s v="Requisição"/>
    <s v="Não está sujeita a aprovação"/>
    <s v="Baixa"/>
    <d v="1900-01-05T09:12:29"/>
    <d v="1900-01-05T06:11:29"/>
  </r>
  <r>
    <s v="47 677"/>
    <x v="0"/>
    <s v="Novo"/>
    <d v="2022-11-17T09:03:00"/>
    <s v="CSTI Requerente"/>
    <s v="Diretoria - TI &gt; Infraestrutura &gt; Sup. Campo"/>
    <d v="2022-11-17T09:03:00"/>
    <s v="Requisição"/>
    <s v="Não está sujeita a aprovação"/>
    <s v="Baixa"/>
    <d v="1900-01-05T09:47:29"/>
    <d v="1900-01-05T09:47:29"/>
  </r>
  <r>
    <s v="47 228"/>
    <x v="25"/>
    <s v="Processando (atribuído)"/>
    <d v="2022-11-08T16:05:00"/>
    <s v="CSTI Requerente"/>
    <s v="Diretoria - TI &gt; Infraestrutura &gt; Sup. Campo"/>
    <d v="2022-11-17T08:38:00"/>
    <s v="Incidente"/>
    <s v="Não está sujeita a aprovação"/>
    <s v="Baixa"/>
    <d v="1900-01-14T02:45:29"/>
    <d v="1900-01-05T10:12:29"/>
  </r>
  <r>
    <s v="47 158"/>
    <x v="26"/>
    <s v="Processando (atribuído)"/>
    <d v="2022-11-08T10:35:00"/>
    <s v="CSTI Requerente"/>
    <s v="Diretoria - TI &gt; Infraestrutura &gt; Sup. Campo"/>
    <d v="2022-11-17T08:28:00"/>
    <s v="Requisição"/>
    <s v="Não está sujeita a aprovação"/>
    <s v="Baixa"/>
    <d v="1900-01-14T08:15:29"/>
    <d v="1900-01-05T10:22:29"/>
  </r>
  <r>
    <s v="47 601"/>
    <x v="9"/>
    <s v="Processando (atribuído)"/>
    <d v="2022-11-16T10:50:00"/>
    <s v="CSTI Requerente"/>
    <s v="Diretoria - TI &gt; Infraestrutura &gt; Sup. Campo"/>
    <d v="2022-11-17T07:26:00"/>
    <s v="Requisição"/>
    <s v="Não está sujeita a aprovação"/>
    <s v="Baixa"/>
    <d v="1900-01-06T08:00:29"/>
    <d v="1900-01-05T11:24:29"/>
  </r>
  <r>
    <s v="47 607"/>
    <x v="9"/>
    <s v="Processando (atribuído)"/>
    <d v="2022-11-16T11:23:00"/>
    <s v="CSTI Requerente"/>
    <s v="Diretoria - TI &gt; Infraestrutura &gt; Sup. Campo"/>
    <d v="2022-11-17T07:23:00"/>
    <s v="Requisição"/>
    <s v="Não está sujeita a aprovação"/>
    <s v="Baixa"/>
    <d v="1900-01-06T07:27:29"/>
    <d v="1900-01-05T11:27:29"/>
  </r>
  <r>
    <s v="47 622"/>
    <x v="2"/>
    <s v="Novo"/>
    <d v="2022-11-16T14:55:00"/>
    <s v="CSTI Requerente"/>
    <s v="Diretoria - TI &gt; Infraestrutura &gt; Sup. Campo"/>
    <d v="2022-11-16T14:55:00"/>
    <s v="Incidente"/>
    <s v="Não está sujeita a aprovação"/>
    <s v="Baixa"/>
    <d v="1900-01-06T03:55:29"/>
    <d v="1900-01-06T03:55:29"/>
  </r>
  <r>
    <s v="45 549"/>
    <x v="8"/>
    <s v="Processando (atribuído)"/>
    <d v="2022-10-11T07:58:00"/>
    <s v="CSTI Requerente"/>
    <s v="Diretoria - TI &gt; Infraestrutura &gt; Sup. Campo"/>
    <d v="2022-11-16T14:32:00"/>
    <s v="Requisição"/>
    <s v="Não está sujeita a aprovação"/>
    <s v="Baixa"/>
    <d v="1900-02-11T10:52:29"/>
    <d v="1900-01-06T04:18:29"/>
  </r>
  <r>
    <s v="47 597"/>
    <x v="27"/>
    <s v="Novo"/>
    <d v="2022-11-16T10:37:00"/>
    <s v="CSTI Requerente"/>
    <s v="Diretoria - TI &gt; Infraestrutura &gt; Sup. Campo"/>
    <d v="2022-11-16T12:00:00"/>
    <s v="Requisição"/>
    <s v="Não está sujeita a aprovação"/>
    <s v="Baixa"/>
    <d v="1900-01-06T08:13:29"/>
    <d v="1900-01-06T06:50:29"/>
  </r>
  <r>
    <s v="47 587"/>
    <x v="0"/>
    <s v="Novo"/>
    <d v="2022-11-16T09:28:00"/>
    <s v="CSTI Requerente"/>
    <s v="Diretoria - TI &gt; Infraestrutura &gt; Sup. Campo"/>
    <d v="2022-11-16T09:28:00"/>
    <s v="Requisição"/>
    <s v="Não está sujeita a aprovação"/>
    <s v="Baixa"/>
    <d v="1900-01-06T09:22:29"/>
    <d v="1900-01-06T09:22:29"/>
  </r>
  <r>
    <s v="46 659"/>
    <x v="6"/>
    <s v="Processando (atribuído)"/>
    <d v="2022-11-01T11:04:00"/>
    <s v="CSTI Requerente"/>
    <s v="Diretoria - TI &gt; Infraestrutura &gt; Sup. Campo"/>
    <d v="2022-11-16T09:12:00"/>
    <s v="Requisição"/>
    <s v="Não está sujeita a aprovação"/>
    <s v="Baixa"/>
    <d v="1900-01-21T07:46:29"/>
    <d v="1900-01-06T09:38:29"/>
  </r>
  <r>
    <s v="47 579"/>
    <x v="0"/>
    <s v="Novo"/>
    <d v="2022-11-16T08:40:00"/>
    <s v="CSTI Requerente"/>
    <s v="Diretoria - TI &gt; Infraestrutura &gt; Sup. Campo"/>
    <d v="2022-11-16T08:40:00"/>
    <s v="Requisição"/>
    <s v="Não está sujeita a aprovação"/>
    <s v="Baixa"/>
    <d v="1900-01-06T10:10:29"/>
    <d v="1900-01-06T10:10:29"/>
  </r>
  <r>
    <s v="46 263"/>
    <x v="9"/>
    <s v="Processando (atribuído)"/>
    <d v="2022-10-24T18:26:00"/>
    <s v="CSTI Requerente"/>
    <s v="Diretoria - TI &gt; Infraestrutura &gt; Sup. Campo"/>
    <d v="2022-11-16T08:24:00"/>
    <s v="Requisição"/>
    <s v="Não está sujeita a aprovação"/>
    <s v="Baixa"/>
    <d v="1900-01-29T00:24:29"/>
    <d v="1900-01-06T10:26:29"/>
  </r>
  <r>
    <s v="47 513"/>
    <x v="28"/>
    <s v="Processando (atribuído)"/>
    <d v="2022-11-14T09:02:00"/>
    <s v="CSTI Requerente"/>
    <s v="Diretoria - TI &gt; Infraestrutura &gt; Sup. Campo"/>
    <d v="2022-11-14T17:15:00"/>
    <s v="Requisição"/>
    <s v="Não está sujeita a aprovação"/>
    <s v="Baixa"/>
    <d v="1900-01-08T09:48:29"/>
    <d v="1900-01-08T01:35:29"/>
  </r>
  <r>
    <s v="47 567"/>
    <x v="29"/>
    <s v="Novo"/>
    <d v="2022-11-14T17:04:00"/>
    <s v="CSTI Requerente"/>
    <s v="Diretoria - TI &gt; Infraestrutura &gt; Sup. Campo"/>
    <d v="2022-11-14T17:04:00"/>
    <s v="Incidente"/>
    <s v="Não está sujeita a aprovação"/>
    <s v="Baixa"/>
    <d v="1900-01-08T01:46:29"/>
    <d v="1900-01-08T01:46:29"/>
  </r>
  <r>
    <s v="44 586"/>
    <x v="2"/>
    <s v="Processando (atribuído)"/>
    <d v="2022-09-21T13:00:00"/>
    <s v="CSTI Requerente"/>
    <s v="Diretoria - TI &gt; Infraestrutura &gt; Sup. Campo"/>
    <d v="2022-11-14T16:31:00"/>
    <s v="Incidente"/>
    <s v="Não está sujeita a aprovação"/>
    <s v="Baixa"/>
    <d v="1900-03-03T05:50:29"/>
    <d v="1900-01-08T02:19:29"/>
  </r>
  <r>
    <s v="47 326"/>
    <x v="30"/>
    <s v="Processando (atribuído)"/>
    <d v="2022-11-10T08:21:00"/>
    <s v="CSTI Requerente"/>
    <s v="Diretoria - TI &gt; Infraestrutura &gt; Sup. Campo"/>
    <d v="2022-11-14T16:06:00"/>
    <s v="Requisição"/>
    <s v="Não está sujeita a aprovação"/>
    <s v="Baixa"/>
    <d v="1900-01-12T10:29:29"/>
    <d v="1900-01-08T02:44:29"/>
  </r>
  <r>
    <s v="47 562"/>
    <x v="10"/>
    <s v="Novo"/>
    <d v="2022-11-14T15:49:00"/>
    <s v="CSTI Requerente"/>
    <s v="Diretoria - TI &gt; Infraestrutura &gt; Sup. Campo"/>
    <d v="2022-11-14T15:49:00"/>
    <s v="Incidente"/>
    <s v="Não está sujeita a aprovação"/>
    <s v="Baixa"/>
    <d v="1900-01-08T03:01:29"/>
    <d v="1900-01-08T03:01:29"/>
  </r>
  <r>
    <s v="45 021"/>
    <x v="31"/>
    <s v="Processando (atribuído)"/>
    <d v="2022-09-28T16:07:00"/>
    <s v="CSTI Requerente"/>
    <s v="Diretoria - TI &gt; Infraestrutura &gt; Sup. Campo"/>
    <d v="2022-11-14T15:01:00"/>
    <s v="Requisição"/>
    <s v="Concedida"/>
    <s v="Baixa"/>
    <d v="1900-02-24T02:43:29"/>
    <d v="1900-01-08T03:49:29"/>
  </r>
  <r>
    <s v="47 023"/>
    <x v="31"/>
    <s v="Processando (atribuído)"/>
    <d v="2022-11-07T10:12:00"/>
    <s v="CSTI Requerente"/>
    <s v="Diretoria - TI &gt; Infraestrutura &gt; Sup. Campo"/>
    <d v="2022-11-14T14:57:00"/>
    <s v="Requisição"/>
    <s v="Não está sujeita a aprovação"/>
    <s v="Baixa"/>
    <d v="1900-01-15T08:38:29"/>
    <d v="1900-01-08T03:53:29"/>
  </r>
  <r>
    <s v="47 550"/>
    <x v="6"/>
    <s v="Novo"/>
    <d v="2022-11-14T14:32:00"/>
    <s v="CSTI Requerente"/>
    <s v="Diretoria - TI &gt; Infraestrutura &gt; Sup. Campo"/>
    <d v="2022-11-14T14:32:00"/>
    <s v="Requisição"/>
    <s v="Não está sujeita a aprovação"/>
    <s v="Baixa"/>
    <d v="1900-01-08T04:18:29"/>
    <d v="1900-01-08T04:18:29"/>
  </r>
  <r>
    <s v="46 926"/>
    <x v="31"/>
    <s v="Processando (atribuído)"/>
    <d v="2022-11-04T15:18:00"/>
    <s v="CSTI Requerente"/>
    <s v="Diretoria - TI &gt; Infraestrutura &gt; Sup. Campo"/>
    <d v="2022-11-11T15:04:00"/>
    <s v="Requisição"/>
    <s v="Concedida"/>
    <s v="Baixa"/>
    <d v="1900-01-18T03:32:29"/>
    <d v="1900-01-11T03:46:29"/>
  </r>
  <r>
    <s v="47 468"/>
    <x v="11"/>
    <s v="Novo"/>
    <d v="2022-11-11T14:31:00"/>
    <s v="CSTI Requerente"/>
    <s v="Diretoria - TI &gt; Infraestrutura &gt; Sup. Campo"/>
    <d v="2022-11-11T14:31:00"/>
    <s v="Incidente"/>
    <s v="Não está sujeita a aprovação"/>
    <s v="Baixa"/>
    <d v="1900-01-11T04:19:29"/>
    <d v="1900-01-11T04:19:29"/>
  </r>
  <r>
    <s v="47 457"/>
    <x v="19"/>
    <s v="Novo"/>
    <d v="2022-11-11T13:29:00"/>
    <s v="CSTI Requerente"/>
    <s v="Diretoria - TI &gt; Infraestrutura &gt; Sup. Campo"/>
    <d v="2022-11-11T13:29:00"/>
    <s v="Requisição"/>
    <s v="Não está sujeita a aprovação"/>
    <s v="Baixa"/>
    <d v="1900-01-11T05:21:29"/>
    <d v="1900-01-11T05:21:29"/>
  </r>
  <r>
    <s v="46 204"/>
    <x v="2"/>
    <s v="Novo"/>
    <d v="2022-10-24T10:17:00"/>
    <s v="CSTI Requerente_x000a_Diretoria - TI &gt; Sistemas &gt; Medicina"/>
    <s v="Diretoria - TI &gt; Infraestrutura &gt; Sup. Campo"/>
    <d v="2022-11-11T11:01:00"/>
    <s v="Incidente"/>
    <s v="Não está sujeita a aprovação"/>
    <s v="Baixa"/>
    <d v="1900-01-29T08:33:29"/>
    <d v="1900-01-11T07:49:29"/>
  </r>
  <r>
    <s v="46 211"/>
    <x v="32"/>
    <s v="Processando (atribuído)"/>
    <d v="2022-10-24T11:23:00"/>
    <s v="CSTI Requerente"/>
    <s v="Diretoria - TI &gt; Infraestrutura &gt; Sup. Campo"/>
    <d v="2022-11-11T10:11:00"/>
    <s v="Requisição"/>
    <s v="Não está sujeita a aprovação"/>
    <s v="Baixa"/>
    <d v="1900-01-29T07:27:29"/>
    <d v="1900-01-11T08:39:29"/>
  </r>
  <r>
    <s v="46 933"/>
    <x v="11"/>
    <s v="Processando (atribuído)"/>
    <d v="2022-11-04T15:47:00"/>
    <s v="CSTI Requerente"/>
    <s v="Diretoria - TI &gt; Infraestrutura &gt; Sup. Campo"/>
    <d v="2022-11-11T09:40:00"/>
    <s v="Incidente"/>
    <s v="Não está sujeita a aprovação"/>
    <s v="Baixa"/>
    <d v="1900-01-18T03:03:29"/>
    <d v="1900-01-11T09:10:29"/>
  </r>
  <r>
    <s v="47 116"/>
    <x v="25"/>
    <s v="Processando (atribuído)"/>
    <d v="2022-11-07T17:44:00"/>
    <s v="CSTI Requerente"/>
    <s v="Diretoria - TI &gt; Infraestrutura &gt; Sup. Campo"/>
    <d v="2022-11-11T08:47:00"/>
    <s v="Incidente"/>
    <s v="Não está sujeita a aprovação"/>
    <s v="Baixa"/>
    <d v="1900-01-15T01:06:29"/>
    <d v="1900-01-11T10:03:29"/>
  </r>
  <r>
    <s v="47 414"/>
    <x v="4"/>
    <s v="Novo"/>
    <d v="2022-11-11T08:15:00"/>
    <s v="CSTI Requerente"/>
    <s v="Diretoria - TI &gt; Infraestrutura &gt; Sup. Campo"/>
    <d v="2022-11-11T08:15:00"/>
    <s v="Requisição"/>
    <s v="Não está sujeita a aprovação"/>
    <s v="Baixa"/>
    <d v="1900-01-11T10:35:29"/>
    <d v="1900-01-11T10:35:29"/>
  </r>
  <r>
    <s v="47 413"/>
    <x v="10"/>
    <s v="Novo"/>
    <d v="2022-11-11T08:13:00"/>
    <s v="CSTI Requerente"/>
    <s v="Diretoria - TI &gt; Infraestrutura &gt; Sup. Campo"/>
    <d v="2022-11-11T08:13:00"/>
    <s v="Incidente"/>
    <s v="Não está sujeita a aprovação"/>
    <s v="Baixa"/>
    <d v="1900-01-11T10:37:29"/>
    <d v="1900-01-11T10:37:29"/>
  </r>
  <r>
    <s v="47 403"/>
    <x v="10"/>
    <s v="Novo"/>
    <d v="2022-11-10T17:46:00"/>
    <s v="VIPs_x000a_CSTI Requerente"/>
    <s v="Diretoria - TI &gt; Infraestrutura &gt; Sup. Campo"/>
    <d v="2022-11-10T17:46:00"/>
    <s v="Incidente"/>
    <s v="Não está sujeita a aprovação"/>
    <s v="Muito alta"/>
    <d v="1900-01-12T01:04:29"/>
    <d v="1900-01-12T01:04:29"/>
  </r>
  <r>
    <s v="47 365"/>
    <x v="6"/>
    <s v="Processando (atribuído)"/>
    <d v="2022-11-10T13:55:00"/>
    <s v="CSTI Requerente"/>
    <s v="Diretoria - TI &gt; Infraestrutura &gt; Sup. Campo"/>
    <d v="2022-11-10T16:20:00"/>
    <s v="Requisição"/>
    <s v="Não está sujeita a aprovação"/>
    <s v="Baixa"/>
    <d v="1900-01-12T04:55:29"/>
    <d v="1900-01-12T02:30:29"/>
  </r>
  <r>
    <s v="46 212"/>
    <x v="6"/>
    <s v="Processando (atribuído)"/>
    <d v="2022-10-24T11:31:00"/>
    <s v="CSTI Requerente"/>
    <s v="Diretoria - TI &gt; Infraestrutura &gt; Sup. Campo"/>
    <d v="2022-11-10T15:47:00"/>
    <s v="Requisição"/>
    <s v="Não está sujeita a aprovação"/>
    <s v="Baixa"/>
    <d v="1900-01-29T07:19:29"/>
    <d v="1900-01-12T03:03:29"/>
  </r>
  <r>
    <s v="47 381"/>
    <x v="10"/>
    <s v="Novo"/>
    <d v="2022-11-10T15:35:00"/>
    <s v="CSTI Requerente"/>
    <s v="Diretoria - TI &gt; Infraestrutura &gt; Sup. Campo"/>
    <d v="2022-11-10T15:35:00"/>
    <s v="Incidente"/>
    <s v="Não está sujeita a aprovação"/>
    <s v="Baixa"/>
    <d v="1900-01-12T03:15:29"/>
    <d v="1900-01-12T03:15:29"/>
  </r>
  <r>
    <s v="47 378"/>
    <x v="10"/>
    <s v="Novo"/>
    <d v="2022-11-10T14:54:00"/>
    <s v="CSTI Requerente"/>
    <s v="Diretoria - TI &gt; Infraestrutura &gt; Sup. Campo"/>
    <d v="2022-11-10T14:54:00"/>
    <s v="Incidente"/>
    <s v="Não está sujeita a aprovação"/>
    <s v="Baixa"/>
    <d v="1900-01-12T03:56:29"/>
    <d v="1900-01-12T03:56:29"/>
  </r>
  <r>
    <s v="45 846"/>
    <x v="6"/>
    <s v="Processando (atribuído)"/>
    <d v="2022-10-17T17:02:00"/>
    <s v="CSTI Requerente"/>
    <s v="Diretoria - TI &gt; Infraestrutura &gt; Sup. Campo"/>
    <d v="2022-11-10T14:36:00"/>
    <s v="Requisição"/>
    <s v="Não está sujeita a aprovação"/>
    <s v="Baixa"/>
    <d v="1900-02-05T01:48:29"/>
    <d v="1900-01-12T04:14:29"/>
  </r>
  <r>
    <s v="47 366"/>
    <x v="19"/>
    <s v="Novo"/>
    <d v="2022-11-10T13:59:00"/>
    <s v="CSTI Requerente"/>
    <s v="Diretoria - TI &gt; Infraestrutura &gt; Sup. Campo"/>
    <d v="2022-11-10T13:59:00"/>
    <s v="Requisição"/>
    <s v="Não está sujeita a aprovação"/>
    <s v="Baixa"/>
    <d v="1900-01-12T04:51:29"/>
    <d v="1900-01-12T04:51:29"/>
  </r>
  <r>
    <s v="47 357"/>
    <x v="3"/>
    <s v="Novo"/>
    <d v="2022-11-10T11:53:00"/>
    <s v="CSTI Requerente"/>
    <s v="Diretoria - TI &gt; Infraestrutura &gt; Sup. Campo"/>
    <d v="2022-11-10T11:53:00"/>
    <s v="Requisição"/>
    <s v="Não está sujeita a aprovação"/>
    <s v="Baixa"/>
    <d v="1900-01-12T06:57:29"/>
    <d v="1900-01-12T06:57:29"/>
  </r>
  <r>
    <s v="47 274"/>
    <x v="9"/>
    <s v="Processando (atribuído)"/>
    <d v="2022-11-09T09:29:00"/>
    <s v="CSTI Requerente"/>
    <s v="Diretoria - TI &gt; Infraestrutura &gt; Sup. Campo"/>
    <d v="2022-11-10T08:45:00"/>
    <s v="Requisição"/>
    <s v="Não está sujeita a aprovação"/>
    <s v="Baixa"/>
    <d v="1900-01-13T09:21:29"/>
    <d v="1900-01-12T10:05:29"/>
  </r>
  <r>
    <s v="47 299"/>
    <x v="29"/>
    <s v="Novo"/>
    <d v="2022-11-09T15:26:00"/>
    <s v="CSTI Requerente"/>
    <s v="Diretoria - TI &gt; Infraestrutura &gt; Sup. Campo"/>
    <d v="2022-11-09T15:26:00"/>
    <s v="Incidente"/>
    <s v="Não está sujeita a aprovação"/>
    <s v="Baixa"/>
    <d v="1900-01-13T03:24:29"/>
    <d v="1900-01-13T03:24:29"/>
  </r>
  <r>
    <s v="44 983"/>
    <x v="33"/>
    <s v="Processando (atribuído)"/>
    <d v="2022-09-28T12:46:00"/>
    <s v="CSTI Requerente"/>
    <s v="Diretoria - TI &gt; Infraestrutura &gt; Sup. Campo"/>
    <d v="2022-11-09T10:53:00"/>
    <s v="Incidente"/>
    <s v="Não está sujeita a aprovação"/>
    <s v="Baixa"/>
    <d v="1900-02-24T06:04:29"/>
    <d v="1900-01-13T07:57:29"/>
  </r>
  <r>
    <s v="44 450"/>
    <x v="31"/>
    <s v="Processando (atribuído)"/>
    <d v="2022-09-19T16:29:00"/>
    <s v="CSTI Requerente"/>
    <s v="Diretoria - TI &gt; Infraestrutura &gt; Sup. Campo"/>
    <d v="2022-11-09T10:53:00"/>
    <s v="Requisição"/>
    <s v="Concedida"/>
    <s v="Baixa"/>
    <d v="1900-03-05T02:21:29"/>
    <d v="1900-01-13T07:57:29"/>
  </r>
  <r>
    <s v="47 279"/>
    <x v="34"/>
    <s v="Novo"/>
    <d v="2022-11-09T10:16:00"/>
    <s v="CSTI Requerente"/>
    <s v="Diretoria - TI &gt; Infraestrutura &gt; Sup. Campo"/>
    <d v="2022-11-09T10:16:00"/>
    <s v="Requisição"/>
    <s v="Não está sujeita a aprovação"/>
    <s v="Baixa"/>
    <d v="1900-01-13T08:34:29"/>
    <d v="1900-01-13T08:34:29"/>
  </r>
  <r>
    <s v="47 003"/>
    <x v="12"/>
    <s v="Pendente"/>
    <d v="2022-11-07T09:14:00"/>
    <s v="CSTI Requerente"/>
    <s v="Diretoria - TI &gt; Infraestrutura &gt; Sup. Campo"/>
    <d v="2022-11-09T10:04:00"/>
    <s v="Requisição"/>
    <s v="Concedida"/>
    <s v="Baixa"/>
    <d v="1900-01-15T09:36:29"/>
    <d v="1900-01-13T08:46:29"/>
  </r>
  <r>
    <s v="47 268"/>
    <x v="35"/>
    <s v="Novo"/>
    <d v="2022-11-09T08:46:00"/>
    <s v="CSTI Requerente"/>
    <s v="Diretoria - TI &gt; Infraestrutura &gt; Sup. Campo"/>
    <d v="2022-11-09T08:46:00"/>
    <s v="Incidente"/>
    <s v="Não está sujeita a aprovação"/>
    <s v="Baixa"/>
    <d v="1900-01-13T10:04:29"/>
    <d v="1900-01-13T10:04:29"/>
  </r>
  <r>
    <s v="47 264"/>
    <x v="12"/>
    <s v="Pendente"/>
    <d v="2022-11-09T07:14:00"/>
    <s v="CSTI Requerente"/>
    <s v="Diretoria - TI &gt; Infraestrutura &gt; Sup. Campo"/>
    <d v="2022-11-09T07:14:00"/>
    <s v="Requisição"/>
    <s v="Não está sujeita a aprovação"/>
    <s v="Baixa"/>
    <d v="1900-01-13T11:36:29"/>
    <d v="1900-01-13T11:36:29"/>
  </r>
  <r>
    <s v="45 528"/>
    <x v="6"/>
    <s v="Processando (atribuído)"/>
    <d v="2022-10-10T15:39:00"/>
    <s v="CSTI Requerente"/>
    <s v="Diretoria - TI &gt; Infraestrutura &gt; Sup. Campo"/>
    <d v="2022-11-09T07:12:00"/>
    <s v="Requisição"/>
    <s v="Não está sujeita a aprovação"/>
    <s v="Baixa"/>
    <d v="1900-02-12T03:11:29"/>
    <d v="1900-01-13T11:38:29"/>
  </r>
  <r>
    <s v="44 806"/>
    <x v="10"/>
    <s v="Processando (atribuído)"/>
    <d v="2022-09-26T08:06:00"/>
    <s v="CSTI Requerente"/>
    <s v="Diretoria - TI &gt; Infraestrutura &gt; Sup. Campo"/>
    <d v="2022-11-08T16:56:00"/>
    <s v="Incidente"/>
    <s v="Não está sujeita a aprovação"/>
    <s v="Baixa"/>
    <d v="1900-02-26T10:44:29"/>
    <d v="1900-01-14T01:54:29"/>
  </r>
  <r>
    <s v="47 216"/>
    <x v="10"/>
    <s v="Processando (atribuído)"/>
    <d v="2022-11-08T15:23:00"/>
    <s v="CSTI Requerente"/>
    <s v="Diretoria - TI &gt; Infraestrutura &gt; Sup. Campo"/>
    <d v="2022-11-08T16:55:00"/>
    <s v="Incidente"/>
    <s v="Não está sujeita a aprovação"/>
    <s v="Baixa"/>
    <d v="1900-01-14T03:27:29"/>
    <d v="1900-01-14T01:55:29"/>
  </r>
  <r>
    <s v="44 886"/>
    <x v="10"/>
    <s v="Processando (atribuído)"/>
    <d v="2022-09-26T17:29:00"/>
    <s v="CSTI Requerente"/>
    <s v="Diretoria - TI &gt; Infraestrutura &gt; Sup. Campo"/>
    <d v="2022-11-08T15:35:00"/>
    <s v="Incidente"/>
    <s v="Não está sujeita a aprovação"/>
    <s v="Baixa"/>
    <d v="1900-02-26T01:21:29"/>
    <d v="1900-01-14T03:15:29"/>
  </r>
  <r>
    <s v="47 171"/>
    <x v="36"/>
    <s v="Novo"/>
    <d v="2022-11-08T12:05:00"/>
    <s v="CSTI Requerente"/>
    <s v="Diretoria - TI &gt; Infraestrutura &gt; Sup. Campo"/>
    <d v="2022-11-08T12:05:00"/>
    <s v="Requisição"/>
    <s v="Não está sujeita a aprovação"/>
    <s v="Baixa"/>
    <d v="1900-01-14T06:45:29"/>
    <d v="1900-01-14T06:45:29"/>
  </r>
  <r>
    <s v="47 115"/>
    <x v="3"/>
    <s v="Novo"/>
    <d v="2022-11-07T17:00:00"/>
    <s v="CSTI Requerente"/>
    <s v="Diretoria - TI &gt; Infraestrutura &gt; Sup. Campo"/>
    <d v="2022-11-08T07:14:00"/>
    <s v="Requisição"/>
    <s v="Não está sujeita a aprovação"/>
    <s v="Baixa"/>
    <d v="1900-01-15T01:50:29"/>
    <d v="1900-01-14T11:36:29"/>
  </r>
  <r>
    <s v="47 117"/>
    <x v="10"/>
    <s v="Novo"/>
    <d v="2022-11-07T18:06:00"/>
    <s v="CSTI Requerente"/>
    <s v="Diretoria - TI &gt; Infraestrutura &gt; Sup. Campo"/>
    <d v="2022-11-07T18:06:00"/>
    <s v="Incidente"/>
    <s v="Não está sujeita a aprovação"/>
    <s v="Baixa"/>
    <d v="1900-01-15T00:44:29"/>
    <d v="1900-01-15T00:44:29"/>
  </r>
  <r>
    <s v="47 072"/>
    <x v="0"/>
    <s v="Processando (atribuído)"/>
    <d v="2022-11-07T14:50:00"/>
    <s v="CSTI Requerente"/>
    <s v="Diretoria - TI &gt; Infraestrutura &gt; Sup. Campo"/>
    <d v="2022-11-07T16:40:00"/>
    <s v="Requisição"/>
    <s v="Não está sujeita a aprovação"/>
    <s v="Baixa"/>
    <d v="1900-01-15T04:00:29"/>
    <d v="1900-01-15T02:10:29"/>
  </r>
  <r>
    <s v="47 071"/>
    <x v="0"/>
    <s v="Processando (atribuído)"/>
    <d v="2022-11-07T14:49:00"/>
    <s v="CSTI Requerente"/>
    <s v="Diretoria - TI &gt; Infraestrutura &gt; Sup. Campo"/>
    <d v="2022-11-07T16:39:00"/>
    <s v="Requisição"/>
    <s v="Não está sujeita a aprovação"/>
    <s v="Baixa"/>
    <d v="1900-01-15T04:01:29"/>
    <d v="1900-01-15T02:11:29"/>
  </r>
  <r>
    <s v="47 084"/>
    <x v="6"/>
    <s v="Novo"/>
    <d v="2022-11-07T15:21:00"/>
    <s v="CSTI Requerente"/>
    <s v="Diretoria - TI &gt; Infraestrutura &gt; Sup. Campo"/>
    <d v="2022-11-07T15:21:00"/>
    <s v="Requisição"/>
    <s v="Não está sujeita a aprovação"/>
    <s v="Baixa"/>
    <d v="1900-01-15T03:29:29"/>
    <d v="1900-01-15T03:29:29"/>
  </r>
  <r>
    <s v="46 330"/>
    <x v="17"/>
    <s v="Processando (atribuído)"/>
    <d v="2022-10-25T16:10:00"/>
    <s v="Diretoria - TI &gt; Sistemas &gt; ACA_x000a_CSTI Requerente"/>
    <s v="Diretoria - TI &gt; Infraestrutura &gt; Sup. Campo"/>
    <d v="2022-11-07T14:04:00"/>
    <s v="Requisição"/>
    <s v="Não está sujeita a aprovação"/>
    <s v="Baixa"/>
    <d v="1900-01-28T02:40:29"/>
    <d v="1900-01-15T04:46:29"/>
  </r>
  <r>
    <s v="47 030"/>
    <x v="6"/>
    <s v="Novo"/>
    <d v="2022-11-07T11:05:00"/>
    <s v="CSTI Requerente"/>
    <s v="Diretoria - TI &gt; Infraestrutura &gt; Sup. Campo"/>
    <d v="2022-11-07T11:05:00"/>
    <s v="Requisição"/>
    <s v="Não está sujeita a aprovação"/>
    <s v="Baixa"/>
    <d v="1900-01-15T07:45:29"/>
    <d v="1900-01-15T07:45:29"/>
  </r>
  <r>
    <s v="47 020"/>
    <x v="0"/>
    <s v="Novo"/>
    <d v="2022-11-07T10:01:00"/>
    <s v="CSTI Requerente_x000a_Colaborador - Comum"/>
    <s v="Diretoria - TI &gt; Infraestrutura &gt; Sup. Campo"/>
    <d v="2022-11-07T10:01:00"/>
    <s v="Requisição"/>
    <s v="Não está sujeita a aprovação"/>
    <s v="Baixa"/>
    <d v="1900-01-15T08:49:29"/>
    <d v="1900-01-15T08:49:29"/>
  </r>
  <r>
    <s v="46 321"/>
    <x v="6"/>
    <s v="Processando (atribuído)"/>
    <d v="2022-10-25T14:46:00"/>
    <s v="CSTI Requerente"/>
    <s v="Diretoria - TI &gt; Infraestrutura &gt; Sup. Campo"/>
    <d v="2022-11-07T09:12:00"/>
    <s v="Requisição"/>
    <s v="Não está sujeita a aprovação"/>
    <s v="Baixa"/>
    <d v="1900-01-28T04:04:29"/>
    <d v="1900-01-15T09:38:29"/>
  </r>
  <r>
    <s v="46 996"/>
    <x v="7"/>
    <s v="Novo"/>
    <d v="2022-11-07T08:56:00"/>
    <s v="CSTI Requerente"/>
    <s v="Diretoria - TI &gt; Infraestrutura &gt; Sup. Campo"/>
    <d v="2022-11-07T08:56:00"/>
    <s v="Requisição"/>
    <s v="Não está sujeita a aprovação"/>
    <s v="Baixa"/>
    <d v="1900-01-15T09:54:29"/>
    <d v="1900-01-15T09:54:29"/>
  </r>
  <r>
    <s v="46 850"/>
    <x v="10"/>
    <s v="Processando (atribuído)"/>
    <d v="2022-11-03T17:35:00"/>
    <s v="CSTI Requerente"/>
    <s v="Diretoria - TI &gt; Infraestrutura &gt; Sup. Campo"/>
    <d v="2022-11-05T16:54:00"/>
    <s v="Incidente"/>
    <s v="Não está sujeita a aprovação"/>
    <s v="Baixa"/>
    <d v="1900-01-19T01:15:29"/>
    <d v="1900-01-17T01:56:29"/>
  </r>
  <r>
    <s v="45 564"/>
    <x v="11"/>
    <s v="Processando (atribuído)"/>
    <d v="2022-10-11T09:33:00"/>
    <s v="CSTI Requerente"/>
    <s v="Diretoria - TI &gt; Infraestrutura &gt; Sup. Campo"/>
    <d v="2022-11-05T16:54:00"/>
    <s v="Incidente"/>
    <s v="Não está sujeita a aprovação"/>
    <s v="Baixa"/>
    <d v="1900-02-11T09:17:29"/>
    <d v="1900-01-17T01:56:29"/>
  </r>
  <r>
    <s v="45 123"/>
    <x v="10"/>
    <s v="Processando (atribuído)"/>
    <d v="2022-09-30T16:22:00"/>
    <s v="CSTI Requerente"/>
    <s v="Diretoria - TI &gt; Infraestrutura &gt; Sup. Campo"/>
    <d v="2022-11-05T16:53:00"/>
    <s v="Incidente"/>
    <s v="Não está sujeita a aprovação"/>
    <s v="Baixa"/>
    <d v="1900-02-22T02:28:29"/>
    <d v="1900-01-17T01:57:29"/>
  </r>
  <r>
    <s v="45 079"/>
    <x v="21"/>
    <s v="Processando (atribuído)"/>
    <d v="2022-09-30T08:05:00"/>
    <s v="CSTI Requerente"/>
    <s v="Diretoria - TI &gt; Infraestrutura &gt; Sup. Campo"/>
    <d v="2022-11-05T16:53:00"/>
    <s v="Requisição"/>
    <s v="Não está sujeita a aprovação"/>
    <s v="Baixa"/>
    <d v="1900-02-22T10:45:29"/>
    <d v="1900-01-17T01:57:29"/>
  </r>
  <r>
    <s v="46 184"/>
    <x v="10"/>
    <s v="Processando (atribuído)"/>
    <d v="2022-10-22T10:14:00"/>
    <s v="CSTI Requerente"/>
    <s v="Diretoria - TI &gt; Infraestrutura &gt; Sup. Campo"/>
    <d v="2022-11-05T16:51:00"/>
    <s v="Incidente"/>
    <s v="Não está sujeita a aprovação"/>
    <s v="Baixa"/>
    <d v="1900-01-31T08:36:29"/>
    <d v="1900-01-17T01:59:29"/>
  </r>
  <r>
    <s v="45 577"/>
    <x v="10"/>
    <s v="Processando (atribuído)"/>
    <d v="2022-10-11T10:36:00"/>
    <s v="CSTI Requerente"/>
    <s v="Diretoria - TI &gt; Infraestrutura &gt; Sup. Campo"/>
    <d v="2022-11-05T16:50:00"/>
    <s v="Incidente"/>
    <s v="Não está sujeita a aprovação"/>
    <s v="Baixa"/>
    <d v="1900-02-11T08:14:29"/>
    <d v="1900-01-17T02:00:29"/>
  </r>
  <r>
    <s v="44 914"/>
    <x v="10"/>
    <s v="Processando (atribuído)"/>
    <d v="2022-09-27T11:10:00"/>
    <s v="CSTI Requerente"/>
    <s v="Diretoria - TI &gt; Infraestrutura &gt; Sup. Campo"/>
    <d v="2022-11-05T16:50:00"/>
    <s v="Incidente"/>
    <s v="Não está sujeita a aprovação"/>
    <s v="Baixa"/>
    <d v="1900-02-25T07:40:29"/>
    <d v="1900-01-17T02:00:29"/>
  </r>
  <r>
    <s v="46 358"/>
    <x v="1"/>
    <s v="Processando (atribuído)"/>
    <d v="2022-10-26T09:06:00"/>
    <s v="CSTI Requerente"/>
    <s v="Diretoria - TI &gt; Infraestrutura &gt; Sup. Campo"/>
    <d v="2022-11-04T20:11:00"/>
    <s v="Requisição"/>
    <s v="Não está sujeita a aprovação"/>
    <s v="Baixa"/>
    <d v="1900-01-27T09:44:29"/>
    <d v="1900-01-17T22:39:29"/>
  </r>
  <r>
    <s v="46 175"/>
    <x v="1"/>
    <s v="Processando (atribuído)"/>
    <d v="2022-10-21T16:22:00"/>
    <s v="CSTI Requerente"/>
    <s v="Diretoria - TI &gt; Infraestrutura &gt; Sup. Campo"/>
    <d v="2022-11-04T20:11:00"/>
    <s v="Requisição"/>
    <s v="Não está sujeita a aprovação"/>
    <s v="Baixa"/>
    <d v="1900-02-01T02:28:29"/>
    <d v="1900-01-17T22:39:29"/>
  </r>
  <r>
    <s v="46 336"/>
    <x v="1"/>
    <s v="Processando (atribuído)"/>
    <d v="2022-10-25T16:21:00"/>
    <s v="CSTI Requerente"/>
    <s v="Diretoria - TI &gt; Infraestrutura &gt; Sup. Campo"/>
    <d v="2022-11-04T20:10:00"/>
    <s v="Requisição"/>
    <s v="Não está sujeita a aprovação"/>
    <s v="Baixa"/>
    <d v="1900-01-28T02:29:29"/>
    <d v="1900-01-17T22:40:29"/>
  </r>
  <r>
    <s v="46 442"/>
    <x v="2"/>
    <s v="Novo"/>
    <d v="2022-10-27T11:05:00"/>
    <s v="CSTI Requerente"/>
    <s v="Diretoria - TI &gt; Infraestrutura &gt; Sup. Campo"/>
    <d v="2022-11-04T15:54:00"/>
    <s v="Incidente"/>
    <s v="Não está sujeita a aprovação"/>
    <s v="Baixa"/>
    <d v="1900-01-26T07:45:29"/>
    <d v="1900-01-18T02:56:29"/>
  </r>
  <r>
    <s v="46 361"/>
    <x v="1"/>
    <s v="Processando (atribuído)"/>
    <d v="2022-10-26T10:56:00"/>
    <s v="CSTI Requerente"/>
    <s v="Diretoria - TI &gt; Infraestrutura &gt; Sup. Campo"/>
    <d v="2022-11-04T13:47:00"/>
    <s v="Requisição"/>
    <s v="Não está sujeita a aprovação"/>
    <s v="Baixa"/>
    <d v="1900-01-27T07:54:29"/>
    <d v="1900-01-18T05:03:29"/>
  </r>
  <r>
    <s v="44 965"/>
    <x v="35"/>
    <s v="Novo"/>
    <d v="2022-09-28T09:51:00"/>
    <s v="CSTI Requerente"/>
    <s v="Diretoria - TI &gt; Infraestrutura &gt; Sup. Campo"/>
    <d v="2022-11-04T10:36:00"/>
    <s v="Incidente"/>
    <s v="Não está sujeita a aprovação"/>
    <s v="Baixa"/>
    <d v="1900-02-24T08:59:29"/>
    <d v="1900-01-18T08:14:29"/>
  </r>
  <r>
    <s v="43 788"/>
    <x v="1"/>
    <s v="Processando (atribuído)"/>
    <d v="2022-09-05T16:51:00"/>
    <s v="CSTI Requerente"/>
    <s v="Diretoria - TI &gt; Infraestrutura &gt; Sup. Campo"/>
    <d v="2022-11-04T10:30:00"/>
    <s v="Requisição"/>
    <s v="Não está sujeita a aprovação"/>
    <s v="Baixa"/>
    <d v="1900-03-19T01:59:29"/>
    <d v="1900-01-18T08:20:29"/>
  </r>
  <r>
    <s v="44 876"/>
    <x v="2"/>
    <s v="Processando (atribuído)"/>
    <d v="2022-09-26T15:48:00"/>
    <s v="CSTI Requerente"/>
    <s v="Diretoria - TI &gt; Infraestrutura &gt; Sup. Campo"/>
    <d v="2022-11-04T09:56:00"/>
    <s v="Incidente"/>
    <s v="Não está sujeita a aprovação"/>
    <s v="Baixa"/>
    <d v="1900-02-26T03:02:29"/>
    <d v="1900-01-18T08:54:29"/>
  </r>
  <r>
    <s v="41 014"/>
    <x v="0"/>
    <s v="Processando (atribuído)"/>
    <d v="2022-07-19T09:05:00"/>
    <s v="CSTI Requerente"/>
    <s v="Diretoria - TI &gt; Infraestrutura &gt; Sup. Campo"/>
    <d v="2022-11-04T09:24:00"/>
    <s v="Requisição"/>
    <s v="Não está sujeita a aprovação"/>
    <s v="Baixa"/>
    <d v="1900-05-06T09:45:29"/>
    <d v="1900-01-18T09:26:29"/>
  </r>
  <r>
    <s v="44 944"/>
    <x v="1"/>
    <s v="Processando (atribuído)"/>
    <d v="2022-09-27T16:24:00"/>
    <s v="CSTI Requerente"/>
    <s v="Diretoria - TI &gt; Infraestrutura &gt; Sup. Campo"/>
    <d v="2022-11-04T09:06:00"/>
    <s v="Requisição"/>
    <s v="Não está sujeita a aprovação"/>
    <s v="Baixa"/>
    <d v="1900-02-25T02:26:29"/>
    <d v="1900-01-18T09:44:29"/>
  </r>
  <r>
    <s v="46 873"/>
    <x v="0"/>
    <s v="Novo"/>
    <d v="2022-11-04T08:48:00"/>
    <s v="CSTI Requerente"/>
    <s v="Diretoria - TI &gt; Infraestrutura &gt; Sup. Campo"/>
    <d v="2022-11-04T08:48:00"/>
    <s v="Requisição"/>
    <s v="Não está sujeita a aprovação"/>
    <s v="Baixa"/>
    <d v="1900-01-18T10:02:29"/>
    <d v="1900-01-18T10:02:29"/>
  </r>
  <r>
    <s v="46 662"/>
    <x v="37"/>
    <s v="Processando (atribuído)"/>
    <d v="2022-11-01T11:33:00"/>
    <s v="CSTI Requerente"/>
    <s v="Diretoria - TI &gt; Infraestrutura &gt; Sup. Campo"/>
    <d v="2022-11-04T08:26:00"/>
    <s v="Incidente"/>
    <s v="Não está sujeita a aprovação"/>
    <s v="Baixa"/>
    <d v="1900-01-21T07:17:29"/>
    <d v="1900-01-18T10:24:29"/>
  </r>
  <r>
    <s v="46 867"/>
    <x v="11"/>
    <s v="Novo"/>
    <d v="2022-11-04T08:06:00"/>
    <s v="CSTI Requerente"/>
    <s v="Diretoria - TI &gt; Infraestrutura &gt; Sup. Campo"/>
    <d v="2022-11-04T08:06:00"/>
    <s v="Incidente"/>
    <s v="Não está sujeita a aprovação"/>
    <s v="Baixa"/>
    <d v="1900-01-18T10:44:29"/>
    <d v="1900-01-18T10:44:29"/>
  </r>
  <r>
    <s v="46 836"/>
    <x v="10"/>
    <s v="Novo"/>
    <d v="2022-11-03T16:25:00"/>
    <s v="CSTI Requerente"/>
    <s v="Diretoria - TI &gt; Infraestrutura &gt; Sup. Campo"/>
    <d v="2022-11-03T16:25:00"/>
    <s v="Incidente"/>
    <s v="Não está sujeita a aprovação"/>
    <s v="Baixa"/>
    <d v="1900-01-19T02:25:29"/>
    <d v="1900-01-19T02:25:29"/>
  </r>
  <r>
    <s v="46 828"/>
    <x v="38"/>
    <s v="Novo"/>
    <d v="2022-11-03T15:53:00"/>
    <s v="CSTI Requerente"/>
    <s v="Diretoria - TI &gt; Infraestrutura &gt; Sup. Campo"/>
    <d v="2022-11-03T15:53:00"/>
    <s v="Requisição"/>
    <s v="Não está sujeita a aprovação"/>
    <s v="Baixa"/>
    <d v="1900-01-19T02:57:29"/>
    <d v="1900-01-19T02:57:29"/>
  </r>
  <r>
    <s v="46 782"/>
    <x v="11"/>
    <s v="Novo"/>
    <d v="2022-11-03T11:23:00"/>
    <s v="CSTI Requerente"/>
    <s v="Diretoria - TI &gt; Infraestrutura &gt; Sup. Campo"/>
    <d v="2022-11-03T11:23:00"/>
    <s v="Incidente"/>
    <s v="Não está sujeita a aprovação"/>
    <s v="Baixa"/>
    <d v="1900-01-19T07:27:29"/>
    <d v="1900-01-19T07:27:29"/>
  </r>
  <r>
    <s v="46 781"/>
    <x v="6"/>
    <s v="Novo"/>
    <d v="2022-11-03T11:06:00"/>
    <s v="CSTI Requerente"/>
    <s v="Diretoria - TI &gt; Infraestrutura &gt; Sup. Campo"/>
    <d v="2022-11-03T11:06:00"/>
    <s v="Requisição"/>
    <s v="Não está sujeita a aprovação"/>
    <s v="Baixa"/>
    <d v="1900-01-19T07:44:29"/>
    <d v="1900-01-19T07:44:29"/>
  </r>
  <r>
    <s v="46 022"/>
    <x v="21"/>
    <s v="Processando (atribuído)"/>
    <d v="2022-10-19T15:01:00"/>
    <s v="CSTI Requerente"/>
    <s v="Diretoria - TI &gt; Infraestrutura &gt; Sup. Campo"/>
    <d v="2022-11-03T10:50:00"/>
    <s v="Requisição"/>
    <s v="Não está sujeita a aprovação"/>
    <s v="Baixa"/>
    <d v="1900-02-03T03:49:29"/>
    <d v="1900-01-19T08:00:29"/>
  </r>
  <r>
    <s v="46 736"/>
    <x v="36"/>
    <s v="Novo"/>
    <d v="2022-11-03T09:01:00"/>
    <s v="CSTI Requerente"/>
    <s v="Diretoria - TI &gt; Infraestrutura &gt; Sup. Campo"/>
    <d v="2022-11-03T09:01:00"/>
    <s v="Requisição"/>
    <s v="Não está sujeita a aprovação"/>
    <s v="Baixa"/>
    <d v="1900-01-19T09:49:29"/>
    <d v="1900-01-19T09:49:29"/>
  </r>
  <r>
    <s v="46 723"/>
    <x v="6"/>
    <s v="Novo"/>
    <d v="2022-11-03T08:34:00"/>
    <s v="CSTI Requerente"/>
    <s v="Diretoria - TI &gt; Infraestrutura &gt; Sup. Campo"/>
    <d v="2022-11-03T08:34:00"/>
    <s v="Requisição"/>
    <s v="Não está sujeita a aprovação"/>
    <s v="Baixa"/>
    <d v="1900-01-19T10:16:29"/>
    <d v="1900-01-19T10:16:29"/>
  </r>
  <r>
    <s v="46 721"/>
    <x v="29"/>
    <s v="Novo"/>
    <d v="2022-11-03T07:44:00"/>
    <s v="CSTI Requerente"/>
    <s v="Diretoria - TI &gt; Infraestrutura &gt; Sup. Campo"/>
    <d v="2022-11-03T07:44:00"/>
    <s v="Incidente"/>
    <s v="Não está sujeita a aprovação"/>
    <s v="Baixa"/>
    <d v="1900-01-19T11:06:29"/>
    <d v="1900-01-19T11:06:29"/>
  </r>
  <r>
    <s v="46 466"/>
    <x v="39"/>
    <s v="Novo"/>
    <d v="2022-10-27T14:07:00"/>
    <s v="CSTI Requerente"/>
    <s v="Diretoria - TI &gt; Infraestrutura &gt; Sup. Campo"/>
    <d v="2022-11-01T14:53:00"/>
    <s v="Requisição"/>
    <s v="Não está sujeita a aprovação"/>
    <s v="Baixa"/>
    <d v="1900-01-26T04:43:29"/>
    <d v="1900-01-21T03:57:29"/>
  </r>
  <r>
    <s v="46 646"/>
    <x v="0"/>
    <s v="Novo"/>
    <d v="2022-11-01T09:06:00"/>
    <s v="CSTI Requerente"/>
    <s v="Diretoria - TI &gt; Infraestrutura &gt; Sup. Campo"/>
    <d v="2022-11-01T09:06:00"/>
    <s v="Requisição"/>
    <s v="Não está sujeita a aprovação"/>
    <s v="Baixa"/>
    <d v="1900-01-21T09:44:29"/>
    <d v="1900-01-21T09:44:29"/>
  </r>
  <r>
    <s v="46 593"/>
    <x v="0"/>
    <s v="Novo"/>
    <d v="2022-10-31T11:26:00"/>
    <s v="CSTI Requerente"/>
    <s v="Diretoria - TI &gt; Infraestrutura &gt; Sup. Campo"/>
    <d v="2022-10-31T11:26:00"/>
    <s v="Requisição"/>
    <s v="Não está sujeita a aprovação"/>
    <s v="Baixa"/>
    <d v="1900-01-22T07:24:29"/>
    <d v="1900-01-22T07:24:29"/>
  </r>
  <r>
    <s v="46 518"/>
    <x v="6"/>
    <s v="Novo"/>
    <d v="2022-10-28T10:11:00"/>
    <s v="CSTI Requerente"/>
    <s v="Diretoria - TI &gt; Infraestrutura &gt; Sup. Campo"/>
    <d v="2022-10-28T10:11:00"/>
    <s v="Requisição"/>
    <s v="Não está sujeita a aprovação"/>
    <s v="Baixa"/>
    <d v="1900-01-25T08:39:29"/>
    <d v="1900-01-25T08:39:29"/>
  </r>
  <r>
    <s v="46 505"/>
    <x v="21"/>
    <s v="Novo"/>
    <d v="2022-10-28T08:24:00"/>
    <s v="CSTI Requerente"/>
    <s v="Diretoria - TI &gt; Infraestrutura &gt; Sup. Campo"/>
    <d v="2022-10-28T08:24:00"/>
    <s v="Requisição"/>
    <s v="Não está sujeita a aprovação"/>
    <s v="Baixa"/>
    <d v="1900-01-25T10:26:29"/>
    <d v="1900-01-25T10:26:29"/>
  </r>
  <r>
    <s v="46 502"/>
    <x v="6"/>
    <s v="Novo"/>
    <d v="2022-10-28T07:50:00"/>
    <s v="CSTI Requerente"/>
    <s v="Diretoria - TI &gt; Infraestrutura &gt; Sup. Campo"/>
    <d v="2022-10-28T07:50:00"/>
    <s v="Requisição"/>
    <s v="Não está sujeita a aprovação"/>
    <s v="Baixa"/>
    <d v="1900-01-25T11:00:29"/>
    <d v="1900-01-25T11:00:29"/>
  </r>
  <r>
    <s v="46 495"/>
    <x v="6"/>
    <s v="Novo"/>
    <d v="2022-10-27T17:38:00"/>
    <s v="CSTI Requerente"/>
    <s v="Diretoria - TI &gt; Infraestrutura &gt; Sup. Campo"/>
    <d v="2022-10-27T17:38:00"/>
    <s v="Requisição"/>
    <s v="Não está sujeita a aprovação"/>
    <s v="Baixa"/>
    <d v="1900-01-26T01:12:29"/>
    <d v="1900-01-26T01:12:29"/>
  </r>
  <r>
    <s v="46 454"/>
    <x v="40"/>
    <s v="Processando (atribuído)"/>
    <d v="2022-10-27T12:13:00"/>
    <s v="CSTI Requerente"/>
    <s v="Diretoria - TI &gt; Infraestrutura &gt; Sup. Campo"/>
    <d v="2022-10-27T12:54:00"/>
    <s v="Requisição"/>
    <s v="Concedida"/>
    <s v="Baixa"/>
    <d v="1900-01-26T06:37:29"/>
    <d v="1900-01-26T05:56:29"/>
  </r>
  <r>
    <s v="46 417"/>
    <x v="31"/>
    <s v="Processando (atribuído)"/>
    <d v="2022-10-27T08:13:00"/>
    <s v="CSTI Requerente"/>
    <s v="Diretoria - TI &gt; Infraestrutura &gt; Sup. Campo"/>
    <d v="2022-10-27T10:24:00"/>
    <s v="Requisição"/>
    <s v="Concedida"/>
    <s v="Baixa"/>
    <d v="1900-01-26T10:37:29"/>
    <d v="1900-01-26T08:26:29"/>
  </r>
  <r>
    <s v="46 419"/>
    <x v="0"/>
    <s v="Novo"/>
    <d v="2022-10-27T08:35:00"/>
    <s v="CSTI Requerente"/>
    <s v="Diretoria - TI &gt; Infraestrutura &gt; Sup. Campo"/>
    <d v="2022-10-27T08:35:00"/>
    <s v="Requisição"/>
    <s v="Não está sujeita a aprovação"/>
    <s v="Baixa"/>
    <d v="1900-01-26T10:15:29"/>
    <d v="1900-01-26T10:15:29"/>
  </r>
  <r>
    <s v="45 004"/>
    <x v="31"/>
    <s v="Processando (atribuído)"/>
    <d v="2022-09-28T15:02:00"/>
    <s v="CSTI Requerente"/>
    <s v="Diretoria - TI &gt; Infraestrutura &gt; Sup. Campo"/>
    <d v="2022-10-27T08:05:00"/>
    <s v="Requisição"/>
    <s v="Concedida"/>
    <s v="Baixa"/>
    <d v="1900-02-24T03:48:29"/>
    <d v="1900-01-26T10:45:29"/>
  </r>
  <r>
    <s v="46 376"/>
    <x v="6"/>
    <s v="Novo"/>
    <d v="2022-10-26T14:23:00"/>
    <s v="CSTI Requerente_x000a_Diretoria - MKT &gt; Site &gt; Site EAD"/>
    <s v="Diretoria - TI &gt; Infraestrutura &gt; Sup. Campo"/>
    <d v="2022-10-26T14:23:00"/>
    <s v="Requisição"/>
    <s v="Não está sujeita a aprovação"/>
    <s v="Baixa"/>
    <d v="1900-01-27T04:27:29"/>
    <d v="1900-01-27T04:27:29"/>
  </r>
  <r>
    <s v="46 367"/>
    <x v="17"/>
    <s v="Novo"/>
    <d v="2022-10-26T13:35:00"/>
    <s v="CSTI Requerente"/>
    <s v="Diretoria - TI &gt; Infraestrutura &gt; Sup. Campo"/>
    <d v="2022-10-26T13:35:00"/>
    <s v="Requisição"/>
    <s v="Não está sujeita a aprovação"/>
    <s v="Baixa"/>
    <d v="1900-01-27T05:15:29"/>
    <d v="1900-01-27T05:15:29"/>
  </r>
  <r>
    <s v="46 281"/>
    <x v="12"/>
    <s v="Pendente"/>
    <d v="2022-10-25T09:29:00"/>
    <s v="CSTI Requerente"/>
    <s v="Diretoria - TI &gt; Infraestrutura &gt; Sup. Campo"/>
    <d v="2022-10-25T09:29:00"/>
    <s v="Requisição"/>
    <s v="Esperando por uma validação"/>
    <s v="Baixa"/>
    <d v="1900-01-28T09:21:29"/>
    <d v="1900-01-28T09:21:29"/>
  </r>
  <r>
    <s v="46 079"/>
    <x v="41"/>
    <s v="Processando (atribuído)"/>
    <d v="2022-10-20T11:44:00"/>
    <s v="CSTI Requerente"/>
    <s v="Diretoria - TI &gt; Infraestrutura &gt; Sup. Campo"/>
    <d v="2022-10-20T16:49:00"/>
    <s v="Incidente"/>
    <s v="Não está sujeita a aprovação"/>
    <s v="Baixa"/>
    <d v="1900-02-02T07:06:29"/>
    <d v="1900-02-02T02:01:29"/>
  </r>
  <r>
    <s v="46 059"/>
    <x v="9"/>
    <s v="Novo"/>
    <d v="2022-10-20T08:48:00"/>
    <s v="CSTI Requerente"/>
    <s v="Diretoria - TI &gt; Infraestrutura &gt; Sup. Campo"/>
    <d v="2022-10-20T08:48:00"/>
    <s v="Requisição"/>
    <s v="Não está sujeita a aprovação"/>
    <s v="Baixa"/>
    <d v="1900-02-02T10:02:29"/>
    <d v="1900-02-02T10:02:29"/>
  </r>
  <r>
    <s v="46 040"/>
    <x v="38"/>
    <s v="Novo"/>
    <d v="2022-10-19T16:44:00"/>
    <s v="CSTI Requerente"/>
    <s v="Diretoria - TI &gt; Infraestrutura &gt; Sup. Campo"/>
    <d v="2022-10-19T16:44:00"/>
    <s v="Requisição"/>
    <s v="Não está sujeita a aprovação"/>
    <s v="Baixa"/>
    <d v="1900-02-03T02:06:29"/>
    <d v="1900-02-03T02:06:29"/>
  </r>
  <r>
    <s v="46 037"/>
    <x v="10"/>
    <s v="Novo"/>
    <d v="2022-10-19T16:23:00"/>
    <s v="CSTI Requerente"/>
    <s v="Diretoria - TI &gt; Infraestrutura &gt; Sup. Campo"/>
    <d v="2022-10-19T16:23:00"/>
    <s v="Incidente"/>
    <s v="Não está sujeita a aprovação"/>
    <s v="Baixa"/>
    <d v="1900-02-03T02:27:29"/>
    <d v="1900-02-03T02:27:29"/>
  </r>
  <r>
    <s v="45 887"/>
    <x v="6"/>
    <s v="Novo"/>
    <d v="2022-10-18T11:20:00"/>
    <s v="CSTI Requerente"/>
    <s v="Diretoria - TI &gt; Infraestrutura &gt; Sup. Campo"/>
    <d v="2022-10-18T11:20:00"/>
    <s v="Requisição"/>
    <s v="Não está sujeita a aprovação"/>
    <s v="Baixa"/>
    <d v="1900-02-04T07:30:29"/>
    <d v="1900-02-04T07:30:29"/>
  </r>
  <r>
    <s v="45 885"/>
    <x v="10"/>
    <s v="Novo"/>
    <d v="2022-10-18T11:03:00"/>
    <s v="CSTI Requerente"/>
    <s v="Diretoria - TI &gt; Infraestrutura &gt; Sup. Campo"/>
    <d v="2022-10-18T11:03:00"/>
    <s v="Incidente"/>
    <s v="Não está sujeita a aprovação"/>
    <s v="Baixa"/>
    <d v="1900-02-04T07:47:29"/>
    <d v="1900-02-04T07:47:29"/>
  </r>
  <r>
    <s v="45 827"/>
    <x v="10"/>
    <s v="Novo"/>
    <d v="2022-10-17T14:20:00"/>
    <s v="CSTI Requerente_x000a_Diretoria - TI &gt; Sistemas &gt; Medicina"/>
    <s v="Diretoria - TI &gt; Infraestrutura &gt; Sup. Campo"/>
    <d v="2022-10-17T14:20:00"/>
    <s v="Incidente"/>
    <s v="Não está sujeita a aprovação"/>
    <s v="Baixa"/>
    <d v="1900-02-05T04:30:29"/>
    <d v="1900-02-05T04:30:29"/>
  </r>
  <r>
    <s v="45 755"/>
    <x v="6"/>
    <s v="Novo"/>
    <d v="2022-10-14T14:56:00"/>
    <s v="CSTI Requerente"/>
    <s v="Diretoria - TI &gt; Infraestrutura &gt; Sup. Campo"/>
    <d v="2022-10-14T14:56:00"/>
    <s v="Requisição"/>
    <s v="Não está sujeita a aprovação"/>
    <s v="Baixa"/>
    <d v="1900-02-08T03:54:29"/>
    <d v="1900-02-08T03:54:29"/>
  </r>
  <r>
    <s v="45 726"/>
    <x v="42"/>
    <s v="Novo"/>
    <d v="2022-10-14T09:09:00"/>
    <s v="CSTI Requerente"/>
    <s v="Diretoria - TI &gt; Infraestrutura &gt; Sup. Campo"/>
    <d v="2022-10-14T09:09:00"/>
    <s v="Requisição"/>
    <s v="Não está sujeita a aprovação"/>
    <s v="Baixa"/>
    <d v="1900-02-08T09:41:29"/>
    <d v="1900-02-08T09:41:29"/>
  </r>
  <r>
    <s v="45 242"/>
    <x v="0"/>
    <s v="Processando (atribuído)"/>
    <d v="2022-10-04T11:07:00"/>
    <s v="CSTI Requerente"/>
    <s v="Diretoria - TI &gt; Infraestrutura &gt; Sup. Campo"/>
    <d v="2022-10-13T16:10:00"/>
    <s v="Requisição"/>
    <s v="Não está sujeita a aprovação"/>
    <s v="Baixa"/>
    <d v="1900-02-18T07:43:29"/>
    <d v="1900-02-09T02:40:29"/>
  </r>
  <r>
    <s v="45 643"/>
    <x v="31"/>
    <s v="Processando (atribuído)"/>
    <d v="2022-10-13T09:31:00"/>
    <s v="CSTI Requerente"/>
    <s v="Diretoria - TI &gt; Infraestrutura &gt; Sup. Campo"/>
    <d v="2022-10-13T09:46:00"/>
    <s v="Requisição"/>
    <s v="Não está sujeita a aprovação"/>
    <s v="Baixa"/>
    <d v="1900-02-09T09:19:29"/>
    <d v="1900-02-09T09:04:29"/>
  </r>
  <r>
    <s v="45 627"/>
    <x v="10"/>
    <s v="Novo"/>
    <d v="2022-10-11T18:09:00"/>
    <s v="CSTI Requerente"/>
    <s v="Diretoria - TI &gt; Infraestrutura &gt; Sup. Campo"/>
    <d v="2022-10-11T18:09:00"/>
    <s v="Incidente"/>
    <s v="Não está sujeita a aprovação"/>
    <s v="Baixa"/>
    <d v="1900-02-11T00:41:29"/>
    <d v="1900-02-11T00:41:29"/>
  </r>
  <r>
    <s v="45 535"/>
    <x v="10"/>
    <s v="Novo"/>
    <d v="2022-10-10T16:20:00"/>
    <s v="CSTI Requerente"/>
    <s v="Diretoria - TI &gt; Infraestrutura &gt; Sup. Campo"/>
    <d v="2022-10-10T16:20:00"/>
    <s v="Incidente"/>
    <s v="Não está sujeita a aprovação"/>
    <s v="Baixa"/>
    <d v="1900-02-12T02:30:29"/>
    <d v="1900-02-12T02:30:29"/>
  </r>
  <r>
    <s v="44 631"/>
    <x v="43"/>
    <s v="Processando (atribuído)"/>
    <d v="2022-09-21T18:25:00"/>
    <s v="CSTI Requerente_x000a_Colaborador - Comum"/>
    <s v="Diretoria - TI &gt; Infraestrutura &gt; Sup. Campo"/>
    <d v="2022-10-04T15:27:00"/>
    <s v="Incidente"/>
    <s v="Não está sujeita a aprovação"/>
    <s v="Baixa"/>
    <d v="1900-03-03T00:25:29"/>
    <d v="1900-02-18T03:23:29"/>
  </r>
  <r>
    <s v="35 126"/>
    <x v="6"/>
    <s v="Processando (atribuído)"/>
    <d v="2022-04-12T11:34:00"/>
    <s v="CSTI Requerente"/>
    <s v="Diretoria - TI &gt; Infraestrutura &gt; Sup. Campo"/>
    <d v="2022-10-04T15:23:00"/>
    <s v="Requisição"/>
    <s v="Não está sujeita a aprovação"/>
    <s v="Baixa"/>
    <d v="1900-08-12T07:16:29"/>
    <d v="1900-02-18T03:27:29"/>
  </r>
  <r>
    <s v="45 003"/>
    <x v="23"/>
    <s v="Processando (atribuído)"/>
    <d v="2022-09-28T14:56:00"/>
    <s v="CSTI Requerente"/>
    <s v="Diretoria - TI &gt; Infraestrutura &gt; Sup. Campo"/>
    <d v="2022-10-04T15:21:00"/>
    <s v="Requisição"/>
    <s v="Não está sujeita a aprovação"/>
    <s v="Baixa"/>
    <d v="1900-02-24T03:54:29"/>
    <d v="1900-02-18T03:29:29"/>
  </r>
  <r>
    <s v="38 155"/>
    <x v="0"/>
    <s v="Processando (atribuído)"/>
    <d v="2022-06-01T15:46:00"/>
    <s v="CSTI Requerente"/>
    <s v="Diretoria - TI &gt; Infraestrutura &gt; Sup. Campo"/>
    <d v="2022-09-26T12:37:00"/>
    <s v="Requisição"/>
    <s v="Não está sujeita a aprovação"/>
    <s v="Baixa"/>
    <d v="1900-06-23T03:04:29"/>
    <d v="1900-02-26T06:13:29"/>
  </r>
  <r>
    <s v="44 135"/>
    <x v="44"/>
    <s v="Processando (atribuído)"/>
    <d v="2022-09-13T13:02:00"/>
    <s v="CSTI Requerente_x000a_Diretoria - TI &gt; Sistemas &gt; Medicina"/>
    <s v="Diretoria - TI &gt; Infraestrutura &gt; Sup. Campo"/>
    <d v="2022-09-19T09:01:00"/>
    <s v="Requisição"/>
    <s v="Não está sujeita a aprovação"/>
    <s v="Baixa"/>
    <d v="1900-03-11T05:48:29"/>
    <d v="1900-03-05T09:49:29"/>
  </r>
  <r>
    <s v="44 136"/>
    <x v="44"/>
    <s v="Processando (atribuído)"/>
    <d v="2022-09-13T13:06:00"/>
    <s v="CSTI Requerente_x000a_Diretoria - TI &gt; Sistemas &gt; Medicina"/>
    <s v="Diretoria - TI &gt; Infraestrutura &gt; Sup. Campo"/>
    <d v="2022-09-19T09:01:00"/>
    <s v="Requisição"/>
    <s v="Não está sujeita a aprovação"/>
    <s v="Baixa"/>
    <d v="1900-03-11T05:44:29"/>
    <d v="1900-03-05T09:49:29"/>
  </r>
  <r>
    <s v="41 913"/>
    <x v="44"/>
    <s v="Processando (atribuído)"/>
    <d v="2022-08-03T13:22:00"/>
    <s v="CSTI Requerente_x000a_Diretoria - TI &gt; Sistemas &gt; Medicina"/>
    <s v="Diretoria - TI &gt; Infraestrutura &gt; Sup. Campo"/>
    <d v="2022-08-30T15:01:00"/>
    <s v="Requisição"/>
    <s v="Não está sujeita a aprovação"/>
    <s v="Baixa"/>
    <d v="1900-04-21T05:28:29"/>
    <d v="1900-03-25T03:49: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ela dinâmica6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CSTI - Suporte Remoto">
  <location ref="G2:J57" firstHeaderRow="0" firstDataRow="1" firstDataCol="1"/>
  <pivotFields count="7">
    <pivotField axis="axisRow" dataField="1" showAll="0" sortType="descending">
      <items count="190">
        <item x="32"/>
        <item m="1" x="123"/>
        <item m="1" x="114"/>
        <item m="1" x="155"/>
        <item m="1" x="160"/>
        <item m="1" x="102"/>
        <item m="1" x="104"/>
        <item m="1" x="187"/>
        <item m="1" x="172"/>
        <item m="1" x="135"/>
        <item m="1" x="149"/>
        <item x="20"/>
        <item x="5"/>
        <item x="15"/>
        <item x="19"/>
        <item x="43"/>
        <item x="8"/>
        <item m="1" x="113"/>
        <item x="21"/>
        <item x="9"/>
        <item x="4"/>
        <item x="3"/>
        <item m="1" x="128"/>
        <item m="1" x="148"/>
        <item x="35"/>
        <item m="1" x="153"/>
        <item x="1"/>
        <item x="47"/>
        <item x="42"/>
        <item x="22"/>
        <item m="1" x="89"/>
        <item m="1" x="119"/>
        <item x="28"/>
        <item m="1" x="169"/>
        <item x="46"/>
        <item m="1" x="144"/>
        <item x="13"/>
        <item m="1" x="81"/>
        <item m="1" x="137"/>
        <item m="1" x="177"/>
        <item m="1" x="158"/>
        <item m="1" x="176"/>
        <item m="1" x="76"/>
        <item x="17"/>
        <item x="14"/>
        <item m="1" x="115"/>
        <item m="1" x="55"/>
        <item m="1" x="162"/>
        <item m="1" x="90"/>
        <item m="1" x="181"/>
        <item m="1" x="74"/>
        <item m="1" x="179"/>
        <item x="37"/>
        <item m="1" x="156"/>
        <item m="1" x="127"/>
        <item m="1" x="139"/>
        <item m="1" x="133"/>
        <item m="1" x="167"/>
        <item m="1" x="86"/>
        <item m="1" x="58"/>
        <item x="36"/>
        <item x="10"/>
        <item m="1" x="100"/>
        <item m="1" x="143"/>
        <item m="1" x="145"/>
        <item x="31"/>
        <item m="1" x="146"/>
        <item m="1" x="126"/>
        <item x="24"/>
        <item m="1" x="152"/>
        <item m="1" x="93"/>
        <item m="1" x="174"/>
        <item x="30"/>
        <item m="1" x="141"/>
        <item m="1" x="147"/>
        <item m="1" x="112"/>
        <item m="1" x="60"/>
        <item m="1" x="61"/>
        <item m="1" x="54"/>
        <item m="1" x="91"/>
        <item m="1" x="73"/>
        <item x="50"/>
        <item m="1" x="99"/>
        <item x="38"/>
        <item x="23"/>
        <item m="1" x="118"/>
        <item m="1" x="79"/>
        <item m="1" x="103"/>
        <item m="1" x="117"/>
        <item m="1" x="134"/>
        <item m="1" x="168"/>
        <item m="1" x="120"/>
        <item m="1" x="188"/>
        <item m="1" x="69"/>
        <item x="34"/>
        <item m="1" x="132"/>
        <item m="1" x="171"/>
        <item m="1" x="166"/>
        <item m="1" x="157"/>
        <item x="40"/>
        <item x="52"/>
        <item m="1" x="109"/>
        <item m="1" x="124"/>
        <item m="1" x="161"/>
        <item m="1" x="62"/>
        <item m="1" x="68"/>
        <item x="33"/>
        <item m="1" x="59"/>
        <item m="1" x="96"/>
        <item x="29"/>
        <item m="1" x="106"/>
        <item m="1" x="84"/>
        <item m="1" x="80"/>
        <item x="25"/>
        <item m="1" x="175"/>
        <item m="1" x="101"/>
        <item m="1" x="154"/>
        <item m="1" x="159"/>
        <item m="1" x="70"/>
        <item m="1" x="83"/>
        <item m="1" x="163"/>
        <item m="1" x="92"/>
        <item m="1" x="183"/>
        <item m="1" x="116"/>
        <item m="1" x="130"/>
        <item m="1" x="56"/>
        <item m="1" x="170"/>
        <item m="1" x="186"/>
        <item m="1" x="87"/>
        <item m="1" x="111"/>
        <item m="1" x="98"/>
        <item m="1" x="180"/>
        <item m="1" x="75"/>
        <item m="1" x="107"/>
        <item m="1" x="131"/>
        <item m="1" x="182"/>
        <item m="1" x="64"/>
        <item m="1" x="185"/>
        <item m="1" x="57"/>
        <item m="1" x="97"/>
        <item m="1" x="151"/>
        <item m="1" x="110"/>
        <item m="1" x="66"/>
        <item m="1" x="105"/>
        <item m="1" x="88"/>
        <item x="49"/>
        <item m="1" x="121"/>
        <item m="1" x="140"/>
        <item m="1" x="85"/>
        <item m="1" x="184"/>
        <item m="1" x="67"/>
        <item m="1" x="63"/>
        <item m="1" x="173"/>
        <item m="1" x="95"/>
        <item m="1" x="164"/>
        <item m="1" x="129"/>
        <item m="1" x="122"/>
        <item x="18"/>
        <item m="1" x="82"/>
        <item x="51"/>
        <item x="2"/>
        <item x="11"/>
        <item x="45"/>
        <item x="26"/>
        <item m="1" x="65"/>
        <item x="12"/>
        <item x="7"/>
        <item x="44"/>
        <item m="1" x="165"/>
        <item x="48"/>
        <item x="16"/>
        <item m="1" x="150"/>
        <item x="39"/>
        <item m="1" x="71"/>
        <item m="1" x="142"/>
        <item x="53"/>
        <item m="1" x="138"/>
        <item m="1" x="78"/>
        <item m="1" x="178"/>
        <item x="27"/>
        <item m="1" x="136"/>
        <item m="1" x="77"/>
        <item m="1" x="94"/>
        <item m="1" x="125"/>
        <item m="1" x="72"/>
        <item m="1" x="108"/>
        <item x="41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numFmtId="22" showAll="0"/>
    <pivotField numFmtId="22" showAll="0"/>
    <pivotField showAll="0"/>
    <pivotField showAll="0"/>
    <pivotField dataField="1" numFmtId="22" showAll="0"/>
    <pivotField dataField="1" numFmtId="22" showAll="0"/>
  </pivotFields>
  <rowFields count="1">
    <field x="0"/>
  </rowFields>
  <rowItems count="55">
    <i>
      <x v="43"/>
    </i>
    <i>
      <x v="44"/>
    </i>
    <i>
      <x v="160"/>
    </i>
    <i>
      <x v="60"/>
    </i>
    <i>
      <x v="172"/>
    </i>
    <i>
      <x v="175"/>
    </i>
    <i>
      <x v="29"/>
    </i>
    <i>
      <x v="100"/>
    </i>
    <i>
      <x v="159"/>
    </i>
    <i>
      <x v="15"/>
    </i>
    <i>
      <x v="81"/>
    </i>
    <i>
      <x v="27"/>
    </i>
    <i>
      <x v="99"/>
    </i>
    <i>
      <x v="18"/>
    </i>
    <i>
      <x v="19"/>
    </i>
    <i>
      <x v="162"/>
    </i>
    <i>
      <x v="145"/>
    </i>
    <i>
      <x v="61"/>
    </i>
    <i>
      <x v="14"/>
    </i>
    <i>
      <x v="94"/>
    </i>
    <i>
      <x v="179"/>
    </i>
    <i>
      <x v="28"/>
    </i>
    <i>
      <x v="52"/>
    </i>
    <i>
      <x v="20"/>
    </i>
    <i>
      <x v="16"/>
    </i>
    <i>
      <x v="169"/>
    </i>
    <i>
      <x v="83"/>
    </i>
    <i>
      <x v="12"/>
    </i>
    <i>
      <x v="157"/>
    </i>
    <i>
      <x v="165"/>
    </i>
    <i>
      <x v="26"/>
    </i>
    <i>
      <x v="161"/>
    </i>
    <i>
      <x v="34"/>
    </i>
    <i>
      <x v="72"/>
    </i>
    <i>
      <x v="36"/>
    </i>
    <i>
      <x v="167"/>
    </i>
    <i>
      <x v="106"/>
    </i>
    <i>
      <x/>
    </i>
    <i>
      <x v="186"/>
    </i>
    <i>
      <x v="163"/>
    </i>
    <i>
      <x v="32"/>
    </i>
    <i>
      <x v="24"/>
    </i>
    <i>
      <x v="109"/>
    </i>
    <i>
      <x v="65"/>
    </i>
    <i>
      <x v="113"/>
    </i>
    <i>
      <x v="68"/>
    </i>
    <i>
      <x v="21"/>
    </i>
    <i>
      <x v="11"/>
    </i>
    <i>
      <x v="84"/>
    </i>
    <i>
      <x v="170"/>
    </i>
    <i>
      <x v="166"/>
    </i>
    <i>
      <x v="13"/>
    </i>
    <i>
      <x v="188"/>
    </i>
    <i>
      <x v="18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ntagem de Título" fld="0" subtotal="count" baseField="0" baseItem="0"/>
    <dataField name="Máx de Aging" fld="5" subtotal="max" baseField="1" baseItem="0" numFmtId="1"/>
    <dataField name="Máx de Aging Mod" fld="6" subtotal="max" baseField="1" baseItem="0" numFmtId="1"/>
  </dataFields>
  <formats count="14">
    <format dxfId="50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field="0" type="button" dataOnly="0" labelOnly="1" outline="0" axis="axisRow" fieldPosition="0"/>
    </format>
    <format dxfId="46">
      <pivotArea dataOnly="0" labelOnly="1" fieldPosition="0">
        <references count="1">
          <reference field="0" count="0"/>
        </references>
      </pivotArea>
    </format>
    <format dxfId="45">
      <pivotArea dataOnly="0" labelOnly="1" grandRow="1" outline="0" fieldPosition="0"/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0" type="button" dataOnly="0" labelOnly="1" outline="0" axis="axisRow" fieldPosition="0"/>
    </format>
    <format dxfId="15">
      <pivotArea dataOnly="0" labelOnly="1" fieldPosition="0">
        <references count="1">
          <reference field="0" count="50">
            <x v="0"/>
            <x v="11"/>
            <x v="12"/>
            <x v="14"/>
            <x v="15"/>
            <x v="16"/>
            <x v="18"/>
            <x v="19"/>
            <x v="20"/>
            <x v="21"/>
            <x v="24"/>
            <x v="26"/>
            <x v="27"/>
            <x v="28"/>
            <x v="29"/>
            <x v="32"/>
            <x v="34"/>
            <x v="36"/>
            <x v="43"/>
            <x v="44"/>
            <x v="52"/>
            <x v="60"/>
            <x v="61"/>
            <x v="65"/>
            <x v="68"/>
            <x v="72"/>
            <x v="81"/>
            <x v="83"/>
            <x v="84"/>
            <x v="94"/>
            <x v="99"/>
            <x v="100"/>
            <x v="106"/>
            <x v="109"/>
            <x v="113"/>
            <x v="145"/>
            <x v="157"/>
            <x v="159"/>
            <x v="160"/>
            <x v="161"/>
            <x v="162"/>
            <x v="163"/>
            <x v="165"/>
            <x v="167"/>
            <x v="169"/>
            <x v="170"/>
            <x v="172"/>
            <x v="175"/>
            <x v="179"/>
            <x v="186"/>
          </reference>
        </references>
      </pivotArea>
    </format>
    <format dxfId="14">
      <pivotArea dataOnly="0" labelOnly="1" fieldPosition="0">
        <references count="1">
          <reference field="0" count="4">
            <x v="13"/>
            <x v="166"/>
            <x v="187"/>
            <x v="188"/>
          </reference>
        </references>
      </pivotArea>
    </format>
    <format dxfId="13">
      <pivotArea dataOnly="0" labelOnly="1" grandRow="1" outline="0" fieldPosition="0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113">
    <conditionalFormat priority="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54">
              <x v="0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4"/>
              <x v="26"/>
              <x v="27"/>
              <x v="28"/>
              <x v="29"/>
              <x v="32"/>
              <x v="34"/>
              <x v="36"/>
              <x v="43"/>
              <x v="44"/>
              <x v="52"/>
              <x v="60"/>
              <x v="61"/>
              <x v="65"/>
              <x v="68"/>
              <x v="72"/>
              <x v="81"/>
              <x v="83"/>
              <x v="84"/>
              <x v="94"/>
              <x v="99"/>
              <x v="100"/>
              <x v="106"/>
              <x v="109"/>
              <x v="113"/>
              <x v="145"/>
              <x v="157"/>
              <x v="159"/>
              <x v="160"/>
              <x v="161"/>
              <x v="162"/>
              <x v="163"/>
              <x v="165"/>
              <x v="166"/>
              <x v="167"/>
              <x v="169"/>
              <x v="170"/>
              <x v="172"/>
              <x v="175"/>
              <x v="179"/>
              <x v="186"/>
              <x v="187"/>
              <x v="188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54">
              <x v="0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4"/>
              <x v="26"/>
              <x v="27"/>
              <x v="28"/>
              <x v="29"/>
              <x v="32"/>
              <x v="34"/>
              <x v="36"/>
              <x v="43"/>
              <x v="44"/>
              <x v="52"/>
              <x v="60"/>
              <x v="61"/>
              <x v="65"/>
              <x v="68"/>
              <x v="72"/>
              <x v="81"/>
              <x v="83"/>
              <x v="84"/>
              <x v="94"/>
              <x v="99"/>
              <x v="100"/>
              <x v="106"/>
              <x v="109"/>
              <x v="113"/>
              <x v="145"/>
              <x v="157"/>
              <x v="159"/>
              <x v="160"/>
              <x v="161"/>
              <x v="162"/>
              <x v="163"/>
              <x v="165"/>
              <x v="166"/>
              <x v="167"/>
              <x v="169"/>
              <x v="170"/>
              <x v="172"/>
              <x v="175"/>
              <x v="179"/>
              <x v="186"/>
              <x v="187"/>
              <x v="188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53">
              <x v="0"/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2"/>
              <x v="26"/>
              <x v="27"/>
              <x v="28"/>
              <x v="29"/>
              <x v="32"/>
              <x v="33"/>
              <x v="34"/>
              <x v="36"/>
              <x v="43"/>
              <x v="44"/>
              <x v="45"/>
              <x v="48"/>
              <x v="49"/>
              <x v="52"/>
              <x v="53"/>
              <x v="60"/>
              <x v="61"/>
              <x v="72"/>
              <x v="73"/>
              <x v="81"/>
              <x v="83"/>
              <x v="84"/>
              <x v="94"/>
              <x v="99"/>
              <x v="100"/>
              <x v="106"/>
              <x v="145"/>
              <x v="157"/>
              <x v="159"/>
              <x v="160"/>
              <x v="161"/>
              <x v="162"/>
              <x v="163"/>
              <x v="165"/>
              <x v="167"/>
              <x v="169"/>
              <x v="172"/>
              <x v="175"/>
              <x v="179"/>
              <x v="186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53">
              <x v="0"/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2"/>
              <x v="26"/>
              <x v="27"/>
              <x v="28"/>
              <x v="29"/>
              <x v="32"/>
              <x v="33"/>
              <x v="34"/>
              <x v="36"/>
              <x v="43"/>
              <x v="44"/>
              <x v="45"/>
              <x v="48"/>
              <x v="49"/>
              <x v="52"/>
              <x v="53"/>
              <x v="60"/>
              <x v="61"/>
              <x v="72"/>
              <x v="73"/>
              <x v="81"/>
              <x v="83"/>
              <x v="84"/>
              <x v="94"/>
              <x v="99"/>
              <x v="100"/>
              <x v="106"/>
              <x v="145"/>
              <x v="157"/>
              <x v="159"/>
              <x v="160"/>
              <x v="161"/>
              <x v="162"/>
              <x v="163"/>
              <x v="165"/>
              <x v="167"/>
              <x v="169"/>
              <x v="172"/>
              <x v="175"/>
              <x v="179"/>
              <x v="186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53">
              <x v="0"/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2"/>
              <x v="26"/>
              <x v="27"/>
              <x v="28"/>
              <x v="29"/>
              <x v="32"/>
              <x v="33"/>
              <x v="34"/>
              <x v="36"/>
              <x v="43"/>
              <x v="44"/>
              <x v="45"/>
              <x v="48"/>
              <x v="49"/>
              <x v="52"/>
              <x v="53"/>
              <x v="60"/>
              <x v="61"/>
              <x v="72"/>
              <x v="73"/>
              <x v="81"/>
              <x v="83"/>
              <x v="84"/>
              <x v="94"/>
              <x v="99"/>
              <x v="100"/>
              <x v="106"/>
              <x v="145"/>
              <x v="157"/>
              <x v="159"/>
              <x v="160"/>
              <x v="161"/>
              <x v="162"/>
              <x v="163"/>
              <x v="165"/>
              <x v="167"/>
              <x v="169"/>
              <x v="172"/>
              <x v="175"/>
              <x v="179"/>
              <x v="186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62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7"/>
              <x v="28"/>
              <x v="29"/>
              <x v="32"/>
              <x v="33"/>
              <x v="34"/>
              <x v="36"/>
              <x v="39"/>
              <x v="43"/>
              <x v="44"/>
              <x v="45"/>
              <x v="48"/>
              <x v="49"/>
              <x v="52"/>
              <x v="53"/>
              <x v="60"/>
              <x v="61"/>
              <x v="67"/>
              <x v="70"/>
              <x v="75"/>
              <x v="80"/>
              <x v="81"/>
              <x v="82"/>
              <x v="83"/>
              <x v="94"/>
              <x v="99"/>
              <x v="100"/>
              <x v="109"/>
              <x v="145"/>
              <x v="157"/>
              <x v="159"/>
              <x v="160"/>
              <x v="162"/>
              <x v="163"/>
              <x v="165"/>
              <x v="166"/>
              <x v="169"/>
              <x v="170"/>
              <x v="171"/>
              <x v="172"/>
              <x v="175"/>
              <x v="179"/>
              <x v="180"/>
              <x v="181"/>
              <x v="182"/>
              <x v="183"/>
              <x v="185"/>
            </reference>
          </references>
        </pivotArea>
      </pivotAreas>
    </conditionalFormat>
    <conditionalFormat priority="10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62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7"/>
              <x v="28"/>
              <x v="29"/>
              <x v="32"/>
              <x v="33"/>
              <x v="34"/>
              <x v="36"/>
              <x v="39"/>
              <x v="43"/>
              <x v="44"/>
              <x v="45"/>
              <x v="48"/>
              <x v="49"/>
              <x v="52"/>
              <x v="53"/>
              <x v="60"/>
              <x v="61"/>
              <x v="67"/>
              <x v="70"/>
              <x v="75"/>
              <x v="80"/>
              <x v="81"/>
              <x v="82"/>
              <x v="83"/>
              <x v="94"/>
              <x v="99"/>
              <x v="100"/>
              <x v="109"/>
              <x v="145"/>
              <x v="157"/>
              <x v="159"/>
              <x v="160"/>
              <x v="162"/>
              <x v="163"/>
              <x v="165"/>
              <x v="166"/>
              <x v="169"/>
              <x v="170"/>
              <x v="171"/>
              <x v="172"/>
              <x v="175"/>
              <x v="179"/>
              <x v="180"/>
              <x v="181"/>
              <x v="182"/>
              <x v="183"/>
              <x v="185"/>
            </reference>
          </references>
        </pivotArea>
      </pivotAreas>
    </conditionalFormat>
    <conditionalFormat priority="1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62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7"/>
              <x v="28"/>
              <x v="29"/>
              <x v="32"/>
              <x v="33"/>
              <x v="34"/>
              <x v="36"/>
              <x v="39"/>
              <x v="43"/>
              <x v="44"/>
              <x v="45"/>
              <x v="48"/>
              <x v="49"/>
              <x v="52"/>
              <x v="53"/>
              <x v="60"/>
              <x v="61"/>
              <x v="67"/>
              <x v="70"/>
              <x v="75"/>
              <x v="80"/>
              <x v="81"/>
              <x v="82"/>
              <x v="83"/>
              <x v="94"/>
              <x v="99"/>
              <x v="100"/>
              <x v="109"/>
              <x v="145"/>
              <x v="157"/>
              <x v="159"/>
              <x v="160"/>
              <x v="162"/>
              <x v="163"/>
              <x v="165"/>
              <x v="166"/>
              <x v="169"/>
              <x v="170"/>
              <x v="171"/>
              <x v="172"/>
              <x v="175"/>
              <x v="179"/>
              <x v="180"/>
              <x v="181"/>
              <x v="182"/>
              <x v="183"/>
              <x v="185"/>
            </reference>
          </references>
        </pivotArea>
      </pivotAreas>
    </conditionalFormat>
    <conditionalFormat priority="12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65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4"/>
              <x v="36"/>
              <x v="39"/>
              <x v="40"/>
              <x v="43"/>
              <x v="44"/>
              <x v="48"/>
              <x v="49"/>
              <x v="52"/>
              <x v="53"/>
              <x v="55"/>
              <x v="60"/>
              <x v="61"/>
              <x v="70"/>
              <x v="73"/>
              <x v="75"/>
              <x v="80"/>
              <x v="81"/>
              <x v="82"/>
              <x v="83"/>
              <x v="94"/>
              <x v="95"/>
              <x v="99"/>
              <x v="100"/>
              <x v="109"/>
              <x v="145"/>
              <x v="159"/>
              <x v="160"/>
              <x v="162"/>
              <x v="163"/>
              <x v="165"/>
              <x v="166"/>
              <x v="169"/>
              <x v="170"/>
              <x v="171"/>
              <x v="172"/>
              <x v="175"/>
              <x v="177"/>
              <x v="179"/>
              <x v="180"/>
              <x v="181"/>
              <x v="182"/>
              <x v="183"/>
              <x v="184"/>
            </reference>
          </references>
        </pivotArea>
      </pivotAreas>
    </conditionalFormat>
    <conditionalFormat priority="1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65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4"/>
              <x v="36"/>
              <x v="39"/>
              <x v="40"/>
              <x v="43"/>
              <x v="44"/>
              <x v="48"/>
              <x v="49"/>
              <x v="52"/>
              <x v="53"/>
              <x v="55"/>
              <x v="60"/>
              <x v="61"/>
              <x v="70"/>
              <x v="73"/>
              <x v="75"/>
              <x v="80"/>
              <x v="81"/>
              <x v="82"/>
              <x v="83"/>
              <x v="94"/>
              <x v="95"/>
              <x v="99"/>
              <x v="100"/>
              <x v="109"/>
              <x v="145"/>
              <x v="159"/>
              <x v="160"/>
              <x v="162"/>
              <x v="163"/>
              <x v="165"/>
              <x v="166"/>
              <x v="169"/>
              <x v="170"/>
              <x v="171"/>
              <x v="172"/>
              <x v="175"/>
              <x v="177"/>
              <x v="179"/>
              <x v="180"/>
              <x v="181"/>
              <x v="182"/>
              <x v="183"/>
              <x v="184"/>
            </reference>
          </references>
        </pivotArea>
      </pivotAreas>
    </conditionalFormat>
    <conditionalFormat priority="1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65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4"/>
              <x v="36"/>
              <x v="39"/>
              <x v="40"/>
              <x v="43"/>
              <x v="44"/>
              <x v="48"/>
              <x v="49"/>
              <x v="52"/>
              <x v="53"/>
              <x v="55"/>
              <x v="60"/>
              <x v="61"/>
              <x v="70"/>
              <x v="73"/>
              <x v="75"/>
              <x v="80"/>
              <x v="81"/>
              <x v="82"/>
              <x v="83"/>
              <x v="94"/>
              <x v="95"/>
              <x v="99"/>
              <x v="100"/>
              <x v="109"/>
              <x v="145"/>
              <x v="159"/>
              <x v="160"/>
              <x v="162"/>
              <x v="163"/>
              <x v="165"/>
              <x v="166"/>
              <x v="169"/>
              <x v="170"/>
              <x v="171"/>
              <x v="172"/>
              <x v="175"/>
              <x v="177"/>
              <x v="179"/>
              <x v="180"/>
              <x v="181"/>
              <x v="182"/>
              <x v="183"/>
              <x v="184"/>
            </reference>
          </references>
        </pivotArea>
      </pivotAreas>
    </conditionalFormat>
    <conditionalFormat priority="1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62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4"/>
              <x v="36"/>
              <x v="39"/>
              <x v="40"/>
              <x v="43"/>
              <x v="44"/>
              <x v="48"/>
              <x v="49"/>
              <x v="52"/>
              <x v="53"/>
              <x v="55"/>
              <x v="60"/>
              <x v="61"/>
              <x v="70"/>
              <x v="73"/>
              <x v="75"/>
              <x v="80"/>
              <x v="81"/>
              <x v="82"/>
              <x v="94"/>
              <x v="99"/>
              <x v="100"/>
              <x v="107"/>
              <x v="109"/>
              <x v="138"/>
              <x v="145"/>
              <x v="159"/>
              <x v="160"/>
              <x v="162"/>
              <x v="163"/>
              <x v="165"/>
              <x v="170"/>
              <x v="171"/>
              <x v="172"/>
              <x v="175"/>
              <x v="177"/>
              <x v="179"/>
              <x v="180"/>
              <x v="181"/>
              <x v="182"/>
              <x v="183"/>
            </reference>
          </references>
        </pivotArea>
      </pivotAreas>
    </conditionalFormat>
    <conditionalFormat priority="1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62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4"/>
              <x v="36"/>
              <x v="39"/>
              <x v="40"/>
              <x v="43"/>
              <x v="44"/>
              <x v="48"/>
              <x v="49"/>
              <x v="52"/>
              <x v="53"/>
              <x v="55"/>
              <x v="60"/>
              <x v="61"/>
              <x v="70"/>
              <x v="73"/>
              <x v="75"/>
              <x v="80"/>
              <x v="81"/>
              <x v="82"/>
              <x v="94"/>
              <x v="99"/>
              <x v="100"/>
              <x v="107"/>
              <x v="109"/>
              <x v="138"/>
              <x v="145"/>
              <x v="159"/>
              <x v="160"/>
              <x v="162"/>
              <x v="163"/>
              <x v="165"/>
              <x v="170"/>
              <x v="171"/>
              <x v="172"/>
              <x v="175"/>
              <x v="177"/>
              <x v="179"/>
              <x v="180"/>
              <x v="181"/>
              <x v="182"/>
              <x v="183"/>
            </reference>
          </references>
        </pivotArea>
      </pivotAreas>
    </conditionalFormat>
    <conditionalFormat priority="2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62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4"/>
              <x v="36"/>
              <x v="39"/>
              <x v="40"/>
              <x v="43"/>
              <x v="44"/>
              <x v="48"/>
              <x v="49"/>
              <x v="52"/>
              <x v="53"/>
              <x v="55"/>
              <x v="60"/>
              <x v="61"/>
              <x v="70"/>
              <x v="73"/>
              <x v="75"/>
              <x v="80"/>
              <x v="81"/>
              <x v="82"/>
              <x v="94"/>
              <x v="99"/>
              <x v="100"/>
              <x v="107"/>
              <x v="109"/>
              <x v="138"/>
              <x v="145"/>
              <x v="159"/>
              <x v="160"/>
              <x v="162"/>
              <x v="163"/>
              <x v="165"/>
              <x v="170"/>
              <x v="171"/>
              <x v="172"/>
              <x v="175"/>
              <x v="177"/>
              <x v="179"/>
              <x v="180"/>
              <x v="181"/>
              <x v="182"/>
              <x v="183"/>
            </reference>
          </references>
        </pivotArea>
      </pivotAreas>
    </conditionalFormat>
    <conditionalFormat priority="24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61">
              <x v="0"/>
              <x v="1"/>
              <x v="10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6"/>
              <x v="39"/>
              <x v="40"/>
              <x v="42"/>
              <x v="43"/>
              <x v="44"/>
              <x v="48"/>
              <x v="49"/>
              <x v="52"/>
              <x v="55"/>
              <x v="58"/>
              <x v="60"/>
              <x v="61"/>
              <x v="67"/>
              <x v="70"/>
              <x v="72"/>
              <x v="75"/>
              <x v="80"/>
              <x v="82"/>
              <x v="93"/>
              <x v="99"/>
              <x v="107"/>
              <x v="152"/>
              <x v="158"/>
              <x v="160"/>
              <x v="161"/>
              <x v="162"/>
              <x v="163"/>
              <x v="164"/>
              <x v="165"/>
              <x v="167"/>
              <x v="171"/>
              <x v="172"/>
              <x v="173"/>
              <x v="174"/>
              <x v="175"/>
              <x v="176"/>
              <x v="177"/>
              <x v="178"/>
            </reference>
          </references>
        </pivotArea>
      </pivotAreas>
    </conditionalFormat>
    <conditionalFormat priority="25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61">
              <x v="0"/>
              <x v="1"/>
              <x v="10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6"/>
              <x v="39"/>
              <x v="40"/>
              <x v="42"/>
              <x v="43"/>
              <x v="44"/>
              <x v="48"/>
              <x v="49"/>
              <x v="52"/>
              <x v="55"/>
              <x v="58"/>
              <x v="60"/>
              <x v="61"/>
              <x v="67"/>
              <x v="70"/>
              <x v="72"/>
              <x v="75"/>
              <x v="80"/>
              <x v="82"/>
              <x v="93"/>
              <x v="99"/>
              <x v="107"/>
              <x v="152"/>
              <x v="158"/>
              <x v="160"/>
              <x v="161"/>
              <x v="162"/>
              <x v="163"/>
              <x v="164"/>
              <x v="165"/>
              <x v="167"/>
              <x v="171"/>
              <x v="172"/>
              <x v="173"/>
              <x v="174"/>
              <x v="175"/>
              <x v="176"/>
              <x v="177"/>
              <x v="178"/>
            </reference>
          </references>
        </pivotArea>
      </pivotAreas>
    </conditionalFormat>
    <conditionalFormat priority="2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61">
              <x v="0"/>
              <x v="1"/>
              <x v="10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6"/>
              <x v="39"/>
              <x v="40"/>
              <x v="42"/>
              <x v="43"/>
              <x v="44"/>
              <x v="48"/>
              <x v="49"/>
              <x v="52"/>
              <x v="55"/>
              <x v="58"/>
              <x v="60"/>
              <x v="61"/>
              <x v="67"/>
              <x v="70"/>
              <x v="72"/>
              <x v="75"/>
              <x v="80"/>
              <x v="82"/>
              <x v="93"/>
              <x v="99"/>
              <x v="107"/>
              <x v="152"/>
              <x v="158"/>
              <x v="160"/>
              <x v="161"/>
              <x v="162"/>
              <x v="163"/>
              <x v="164"/>
              <x v="165"/>
              <x v="167"/>
              <x v="171"/>
              <x v="172"/>
              <x v="173"/>
              <x v="174"/>
              <x v="175"/>
              <x v="176"/>
              <x v="177"/>
              <x v="178"/>
            </reference>
          </references>
        </pivotArea>
      </pivotAreas>
    </conditionalFormat>
    <conditionalFormat priority="2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55">
              <x v="1"/>
              <x v="2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9"/>
              <x v="32"/>
              <x v="35"/>
              <x v="39"/>
              <x v="40"/>
              <x v="43"/>
              <x v="44"/>
              <x v="48"/>
              <x v="52"/>
              <x v="56"/>
              <x v="58"/>
              <x v="61"/>
              <x v="66"/>
              <x v="68"/>
              <x v="73"/>
              <x v="80"/>
              <x v="82"/>
              <x v="84"/>
              <x v="89"/>
              <x v="96"/>
              <x v="107"/>
              <x v="108"/>
              <x v="152"/>
              <x v="156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</reference>
          </references>
        </pivotArea>
      </pivotAreas>
    </conditionalFormat>
    <conditionalFormat priority="28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55">
              <x v="1"/>
              <x v="2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9"/>
              <x v="32"/>
              <x v="35"/>
              <x v="39"/>
              <x v="40"/>
              <x v="43"/>
              <x v="44"/>
              <x v="48"/>
              <x v="52"/>
              <x v="56"/>
              <x v="58"/>
              <x v="61"/>
              <x v="66"/>
              <x v="68"/>
              <x v="73"/>
              <x v="80"/>
              <x v="82"/>
              <x v="84"/>
              <x v="89"/>
              <x v="96"/>
              <x v="107"/>
              <x v="108"/>
              <x v="152"/>
              <x v="156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</reference>
          </references>
        </pivotArea>
      </pivotAreas>
    </conditionalFormat>
    <conditionalFormat priority="2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55">
              <x v="1"/>
              <x v="2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9"/>
              <x v="32"/>
              <x v="35"/>
              <x v="39"/>
              <x v="40"/>
              <x v="43"/>
              <x v="44"/>
              <x v="48"/>
              <x v="52"/>
              <x v="56"/>
              <x v="58"/>
              <x v="61"/>
              <x v="66"/>
              <x v="68"/>
              <x v="73"/>
              <x v="80"/>
              <x v="82"/>
              <x v="84"/>
              <x v="89"/>
              <x v="96"/>
              <x v="107"/>
              <x v="108"/>
              <x v="152"/>
              <x v="156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</reference>
          </references>
        </pivotArea>
      </pivotAreas>
    </conditionalFormat>
    <conditionalFormat priority="33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55">
              <x v="1"/>
              <x v="2"/>
              <x v="8"/>
              <x v="9"/>
              <x v="11"/>
              <x v="12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9"/>
              <x v="32"/>
              <x v="33"/>
              <x v="35"/>
              <x v="39"/>
              <x v="40"/>
              <x v="43"/>
              <x v="44"/>
              <x v="48"/>
              <x v="50"/>
              <x v="52"/>
              <x v="58"/>
              <x v="61"/>
              <x v="66"/>
              <x v="68"/>
              <x v="70"/>
              <x v="73"/>
              <x v="79"/>
              <x v="80"/>
              <x v="83"/>
              <x v="84"/>
              <x v="89"/>
              <x v="99"/>
              <x v="107"/>
              <x v="108"/>
              <x v="152"/>
              <x v="154"/>
              <x v="156"/>
              <x v="160"/>
              <x v="161"/>
              <x v="162"/>
              <x v="163"/>
              <x v="164"/>
              <x v="165"/>
              <x v="166"/>
              <x v="167"/>
              <x v="168"/>
            </reference>
          </references>
        </pivotArea>
      </pivotAreas>
    </conditionalFormat>
    <conditionalFormat priority="3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55">
              <x v="1"/>
              <x v="2"/>
              <x v="8"/>
              <x v="9"/>
              <x v="11"/>
              <x v="12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9"/>
              <x v="32"/>
              <x v="33"/>
              <x v="35"/>
              <x v="39"/>
              <x v="40"/>
              <x v="43"/>
              <x v="44"/>
              <x v="48"/>
              <x v="50"/>
              <x v="52"/>
              <x v="58"/>
              <x v="61"/>
              <x v="66"/>
              <x v="68"/>
              <x v="70"/>
              <x v="73"/>
              <x v="79"/>
              <x v="80"/>
              <x v="83"/>
              <x v="84"/>
              <x v="89"/>
              <x v="99"/>
              <x v="107"/>
              <x v="108"/>
              <x v="152"/>
              <x v="154"/>
              <x v="156"/>
              <x v="160"/>
              <x v="161"/>
              <x v="162"/>
              <x v="163"/>
              <x v="164"/>
              <x v="165"/>
              <x v="166"/>
              <x v="167"/>
              <x v="168"/>
            </reference>
          </references>
        </pivotArea>
      </pivotAreas>
    </conditionalFormat>
    <conditionalFormat priority="3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55">
              <x v="1"/>
              <x v="2"/>
              <x v="8"/>
              <x v="9"/>
              <x v="11"/>
              <x v="12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9"/>
              <x v="32"/>
              <x v="33"/>
              <x v="35"/>
              <x v="39"/>
              <x v="40"/>
              <x v="43"/>
              <x v="44"/>
              <x v="48"/>
              <x v="50"/>
              <x v="52"/>
              <x v="58"/>
              <x v="61"/>
              <x v="66"/>
              <x v="68"/>
              <x v="70"/>
              <x v="73"/>
              <x v="79"/>
              <x v="80"/>
              <x v="83"/>
              <x v="84"/>
              <x v="89"/>
              <x v="99"/>
              <x v="107"/>
              <x v="108"/>
              <x v="152"/>
              <x v="154"/>
              <x v="156"/>
              <x v="160"/>
              <x v="161"/>
              <x v="162"/>
              <x v="163"/>
              <x v="164"/>
              <x v="165"/>
              <x v="166"/>
              <x v="167"/>
              <x v="168"/>
            </reference>
          </references>
        </pivotArea>
      </pivotAreas>
    </conditionalFormat>
    <conditionalFormat priority="39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60">
              <x v="0"/>
              <x v="1"/>
              <x v="2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5"/>
              <x v="36"/>
              <x v="39"/>
              <x v="40"/>
              <x v="42"/>
              <x v="43"/>
              <x v="44"/>
              <x v="48"/>
              <x v="49"/>
              <x v="52"/>
              <x v="53"/>
              <x v="54"/>
              <x v="55"/>
              <x v="57"/>
              <x v="61"/>
              <x v="62"/>
              <x v="63"/>
              <x v="65"/>
              <x v="73"/>
              <x v="75"/>
              <x v="82"/>
              <x v="83"/>
              <x v="84"/>
              <x v="96"/>
              <x v="99"/>
              <x v="102"/>
              <x v="104"/>
              <x v="107"/>
              <x v="115"/>
              <x v="130"/>
              <x v="152"/>
              <x v="156"/>
              <x v="157"/>
              <x v="158"/>
              <x v="159"/>
            </reference>
          </references>
        </pivotArea>
      </pivotAreas>
    </conditionalFormat>
    <conditionalFormat priority="40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60">
              <x v="0"/>
              <x v="1"/>
              <x v="2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5"/>
              <x v="36"/>
              <x v="39"/>
              <x v="40"/>
              <x v="42"/>
              <x v="43"/>
              <x v="44"/>
              <x v="48"/>
              <x v="49"/>
              <x v="52"/>
              <x v="53"/>
              <x v="54"/>
              <x v="55"/>
              <x v="57"/>
              <x v="61"/>
              <x v="62"/>
              <x v="63"/>
              <x v="65"/>
              <x v="73"/>
              <x v="75"/>
              <x v="82"/>
              <x v="83"/>
              <x v="84"/>
              <x v="96"/>
              <x v="99"/>
              <x v="102"/>
              <x v="104"/>
              <x v="107"/>
              <x v="115"/>
              <x v="130"/>
              <x v="152"/>
              <x v="156"/>
              <x v="157"/>
              <x v="158"/>
              <x v="159"/>
            </reference>
          </references>
        </pivotArea>
      </pivotAreas>
    </conditionalFormat>
    <conditionalFormat priority="4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60">
              <x v="0"/>
              <x v="1"/>
              <x v="2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5"/>
              <x v="36"/>
              <x v="39"/>
              <x v="40"/>
              <x v="42"/>
              <x v="43"/>
              <x v="44"/>
              <x v="48"/>
              <x v="49"/>
              <x v="52"/>
              <x v="53"/>
              <x v="54"/>
              <x v="55"/>
              <x v="57"/>
              <x v="61"/>
              <x v="62"/>
              <x v="63"/>
              <x v="65"/>
              <x v="73"/>
              <x v="75"/>
              <x v="82"/>
              <x v="83"/>
              <x v="84"/>
              <x v="96"/>
              <x v="99"/>
              <x v="102"/>
              <x v="104"/>
              <x v="107"/>
              <x v="115"/>
              <x v="130"/>
              <x v="152"/>
              <x v="156"/>
              <x v="157"/>
              <x v="158"/>
              <x v="159"/>
            </reference>
          </references>
        </pivotArea>
      </pivotAreas>
    </conditionalFormat>
    <conditionalFormat priority="4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61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2"/>
              <x v="43"/>
              <x v="44"/>
              <x v="45"/>
              <x v="48"/>
              <x v="49"/>
              <x v="52"/>
              <x v="53"/>
              <x v="54"/>
              <x v="55"/>
              <x v="57"/>
              <x v="61"/>
              <x v="62"/>
              <x v="65"/>
              <x v="72"/>
              <x v="73"/>
              <x v="75"/>
              <x v="80"/>
              <x v="84"/>
              <x v="88"/>
              <x v="104"/>
              <x v="105"/>
              <x v="107"/>
              <x v="113"/>
              <x v="130"/>
              <x v="152"/>
              <x v="156"/>
              <x v="157"/>
              <x v="158"/>
            </reference>
          </references>
        </pivotArea>
      </pivotAreas>
    </conditionalFormat>
    <conditionalFormat priority="4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61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2"/>
              <x v="43"/>
              <x v="44"/>
              <x v="45"/>
              <x v="48"/>
              <x v="49"/>
              <x v="52"/>
              <x v="53"/>
              <x v="54"/>
              <x v="55"/>
              <x v="57"/>
              <x v="61"/>
              <x v="62"/>
              <x v="65"/>
              <x v="72"/>
              <x v="73"/>
              <x v="75"/>
              <x v="80"/>
              <x v="84"/>
              <x v="88"/>
              <x v="104"/>
              <x v="105"/>
              <x v="107"/>
              <x v="113"/>
              <x v="130"/>
              <x v="152"/>
              <x v="156"/>
              <x v="157"/>
              <x v="158"/>
            </reference>
          </references>
        </pivotArea>
      </pivotAreas>
    </conditionalFormat>
    <conditionalFormat priority="4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60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30"/>
              <x v="32"/>
              <x v="35"/>
              <x v="36"/>
              <x v="39"/>
              <x v="40"/>
              <x v="42"/>
              <x v="43"/>
              <x v="44"/>
              <x v="45"/>
              <x v="48"/>
              <x v="49"/>
              <x v="52"/>
              <x v="53"/>
              <x v="54"/>
              <x v="55"/>
              <x v="57"/>
              <x v="61"/>
              <x v="62"/>
              <x v="65"/>
              <x v="72"/>
              <x v="73"/>
              <x v="75"/>
              <x v="80"/>
              <x v="84"/>
              <x v="88"/>
              <x v="104"/>
              <x v="105"/>
              <x v="107"/>
              <x v="113"/>
              <x v="130"/>
              <x v="152"/>
              <x v="156"/>
              <x v="157"/>
              <x v="158"/>
            </reference>
          </references>
        </pivotArea>
      </pivotAreas>
    </conditionalFormat>
    <conditionalFormat priority="4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58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3"/>
              <x v="44"/>
              <x v="45"/>
              <x v="48"/>
              <x v="49"/>
              <x v="53"/>
              <x v="55"/>
              <x v="57"/>
              <x v="61"/>
              <x v="65"/>
              <x v="70"/>
              <x v="72"/>
              <x v="73"/>
              <x v="80"/>
              <x v="84"/>
              <x v="88"/>
              <x v="94"/>
              <x v="100"/>
              <x v="102"/>
              <x v="105"/>
              <x v="107"/>
              <x v="113"/>
              <x v="130"/>
              <x v="152"/>
              <x v="153"/>
              <x v="154"/>
              <x v="155"/>
            </reference>
          </references>
        </pivotArea>
      </pivotAreas>
    </conditionalFormat>
    <conditionalFormat priority="4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58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3"/>
              <x v="44"/>
              <x v="45"/>
              <x v="48"/>
              <x v="49"/>
              <x v="53"/>
              <x v="55"/>
              <x v="57"/>
              <x v="61"/>
              <x v="65"/>
              <x v="70"/>
              <x v="72"/>
              <x v="73"/>
              <x v="80"/>
              <x v="84"/>
              <x v="88"/>
              <x v="94"/>
              <x v="100"/>
              <x v="102"/>
              <x v="105"/>
              <x v="107"/>
              <x v="113"/>
              <x v="130"/>
              <x v="152"/>
              <x v="153"/>
              <x v="154"/>
              <x v="155"/>
            </reference>
          </references>
        </pivotArea>
      </pivotAreas>
    </conditionalFormat>
    <conditionalFormat priority="5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58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3"/>
              <x v="44"/>
              <x v="45"/>
              <x v="48"/>
              <x v="49"/>
              <x v="53"/>
              <x v="55"/>
              <x v="57"/>
              <x v="61"/>
              <x v="65"/>
              <x v="70"/>
              <x v="72"/>
              <x v="73"/>
              <x v="80"/>
              <x v="84"/>
              <x v="88"/>
              <x v="94"/>
              <x v="100"/>
              <x v="102"/>
              <x v="105"/>
              <x v="107"/>
              <x v="113"/>
              <x v="130"/>
              <x v="152"/>
              <x v="153"/>
              <x v="154"/>
              <x v="155"/>
            </reference>
          </references>
        </pivotArea>
      </pivotAreas>
    </conditionalFormat>
    <conditionalFormat priority="54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59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3"/>
              <x v="44"/>
              <x v="45"/>
              <x v="48"/>
              <x v="49"/>
              <x v="55"/>
              <x v="61"/>
              <x v="62"/>
              <x v="63"/>
              <x v="65"/>
              <x v="70"/>
              <x v="72"/>
              <x v="75"/>
              <x v="80"/>
              <x v="84"/>
              <x v="88"/>
              <x v="89"/>
              <x v="94"/>
              <x v="100"/>
              <x v="102"/>
              <x v="105"/>
              <x v="107"/>
              <x v="113"/>
              <x v="130"/>
              <x v="152"/>
              <x v="153"/>
              <x v="154"/>
            </reference>
          </references>
        </pivotArea>
      </pivotAreas>
    </conditionalFormat>
    <conditionalFormat priority="55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59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3"/>
              <x v="44"/>
              <x v="45"/>
              <x v="48"/>
              <x v="49"/>
              <x v="55"/>
              <x v="61"/>
              <x v="62"/>
              <x v="63"/>
              <x v="65"/>
              <x v="70"/>
              <x v="72"/>
              <x v="75"/>
              <x v="80"/>
              <x v="84"/>
              <x v="88"/>
              <x v="89"/>
              <x v="94"/>
              <x v="100"/>
              <x v="102"/>
              <x v="105"/>
              <x v="107"/>
              <x v="113"/>
              <x v="130"/>
              <x v="152"/>
              <x v="153"/>
              <x v="154"/>
            </reference>
          </references>
        </pivotArea>
      </pivotAreas>
    </conditionalFormat>
    <conditionalFormat priority="5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59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3"/>
              <x v="44"/>
              <x v="45"/>
              <x v="48"/>
              <x v="49"/>
              <x v="55"/>
              <x v="61"/>
              <x v="62"/>
              <x v="63"/>
              <x v="65"/>
              <x v="70"/>
              <x v="72"/>
              <x v="75"/>
              <x v="80"/>
              <x v="84"/>
              <x v="88"/>
              <x v="89"/>
              <x v="94"/>
              <x v="100"/>
              <x v="102"/>
              <x v="105"/>
              <x v="107"/>
              <x v="113"/>
              <x v="130"/>
              <x v="152"/>
              <x v="153"/>
              <x v="154"/>
            </reference>
          </references>
        </pivotArea>
      </pivotAreas>
    </conditionalFormat>
    <conditionalFormat priority="5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61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9"/>
              <x v="40"/>
              <x v="42"/>
              <x v="43"/>
              <x v="44"/>
              <x v="45"/>
              <x v="48"/>
              <x v="49"/>
              <x v="53"/>
              <x v="55"/>
              <x v="57"/>
              <x v="61"/>
              <x v="62"/>
              <x v="63"/>
              <x v="65"/>
              <x v="70"/>
              <x v="72"/>
              <x v="75"/>
              <x v="80"/>
              <x v="84"/>
              <x v="89"/>
              <x v="94"/>
              <x v="97"/>
              <x v="100"/>
              <x v="102"/>
              <x v="105"/>
              <x v="107"/>
              <x v="113"/>
              <x v="130"/>
              <x v="152"/>
            </reference>
          </references>
        </pivotArea>
      </pivotAreas>
    </conditionalFormat>
    <conditionalFormat priority="5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61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3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9"/>
              <x v="40"/>
              <x v="43"/>
              <x v="44"/>
              <x v="45"/>
              <x v="48"/>
              <x v="49"/>
              <x v="50"/>
              <x v="53"/>
              <x v="54"/>
              <x v="55"/>
              <x v="57"/>
              <x v="61"/>
              <x v="62"/>
              <x v="63"/>
              <x v="65"/>
              <x v="70"/>
              <x v="72"/>
              <x v="73"/>
              <x v="80"/>
              <x v="84"/>
              <x v="89"/>
              <x v="94"/>
              <x v="97"/>
              <x v="100"/>
              <x v="105"/>
              <x v="107"/>
              <x v="110"/>
              <x v="113"/>
              <x v="114"/>
              <x v="152"/>
            </reference>
          </references>
        </pivotArea>
      </pivotAreas>
    </conditionalFormat>
    <conditionalFormat priority="60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61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3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9"/>
              <x v="40"/>
              <x v="43"/>
              <x v="44"/>
              <x v="45"/>
              <x v="48"/>
              <x v="49"/>
              <x v="50"/>
              <x v="53"/>
              <x v="54"/>
              <x v="55"/>
              <x v="57"/>
              <x v="61"/>
              <x v="62"/>
              <x v="63"/>
              <x v="65"/>
              <x v="70"/>
              <x v="72"/>
              <x v="73"/>
              <x v="80"/>
              <x v="84"/>
              <x v="89"/>
              <x v="94"/>
              <x v="97"/>
              <x v="100"/>
              <x v="105"/>
              <x v="107"/>
              <x v="110"/>
              <x v="113"/>
              <x v="114"/>
              <x v="152"/>
            </reference>
          </references>
        </pivotArea>
      </pivotAreas>
    </conditionalFormat>
    <conditionalFormat priority="6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68">
              <x v="0"/>
              <x v="1"/>
              <x v="2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7"/>
              <x v="39"/>
              <x v="40"/>
              <x v="43"/>
              <x v="44"/>
              <x v="45"/>
              <x v="49"/>
              <x v="50"/>
              <x v="53"/>
              <x v="55"/>
              <x v="57"/>
              <x v="60"/>
              <x v="61"/>
              <x v="62"/>
              <x v="63"/>
              <x v="65"/>
              <x v="70"/>
              <x v="72"/>
              <x v="73"/>
              <x v="75"/>
              <x v="80"/>
              <x v="88"/>
              <x v="89"/>
              <x v="94"/>
              <x v="97"/>
              <x v="99"/>
              <x v="100"/>
              <x v="103"/>
              <x v="105"/>
              <x v="107"/>
              <x v="109"/>
              <x v="110"/>
              <x v="111"/>
              <x v="113"/>
              <x v="114"/>
              <x v="151"/>
            </reference>
          </references>
        </pivotArea>
      </pivotAreas>
    </conditionalFormat>
    <conditionalFormat priority="6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62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7"/>
              <x v="39"/>
              <x v="40"/>
              <x v="43"/>
              <x v="44"/>
              <x v="49"/>
              <x v="53"/>
              <x v="55"/>
              <x v="57"/>
              <x v="60"/>
              <x v="61"/>
              <x v="62"/>
              <x v="63"/>
              <x v="65"/>
              <x v="67"/>
              <x v="70"/>
              <x v="72"/>
              <x v="73"/>
              <x v="75"/>
              <x v="80"/>
              <x v="84"/>
              <x v="88"/>
              <x v="89"/>
              <x v="94"/>
              <x v="97"/>
              <x v="99"/>
              <x v="100"/>
              <x v="103"/>
              <x v="105"/>
              <x v="107"/>
              <x v="111"/>
              <x v="113"/>
              <x v="151"/>
            </reference>
          </references>
        </pivotArea>
      </pivotAreas>
    </conditionalFormat>
    <conditionalFormat priority="6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62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7"/>
              <x v="39"/>
              <x v="40"/>
              <x v="43"/>
              <x v="44"/>
              <x v="49"/>
              <x v="53"/>
              <x v="55"/>
              <x v="57"/>
              <x v="60"/>
              <x v="61"/>
              <x v="62"/>
              <x v="63"/>
              <x v="65"/>
              <x v="67"/>
              <x v="70"/>
              <x v="72"/>
              <x v="73"/>
              <x v="75"/>
              <x v="80"/>
              <x v="84"/>
              <x v="88"/>
              <x v="89"/>
              <x v="94"/>
              <x v="97"/>
              <x v="99"/>
              <x v="100"/>
              <x v="103"/>
              <x v="105"/>
              <x v="107"/>
              <x v="111"/>
              <x v="113"/>
              <x v="151"/>
            </reference>
          </references>
        </pivotArea>
      </pivotAreas>
    </conditionalFormat>
    <conditionalFormat priority="64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62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7"/>
              <x v="39"/>
              <x v="40"/>
              <x v="43"/>
              <x v="44"/>
              <x v="49"/>
              <x v="53"/>
              <x v="55"/>
              <x v="57"/>
              <x v="60"/>
              <x v="61"/>
              <x v="62"/>
              <x v="63"/>
              <x v="65"/>
              <x v="67"/>
              <x v="70"/>
              <x v="72"/>
              <x v="73"/>
              <x v="75"/>
              <x v="80"/>
              <x v="84"/>
              <x v="88"/>
              <x v="89"/>
              <x v="94"/>
              <x v="97"/>
              <x v="99"/>
              <x v="100"/>
              <x v="103"/>
              <x v="105"/>
              <x v="107"/>
              <x v="111"/>
              <x v="113"/>
              <x v="151"/>
            </reference>
          </references>
        </pivotArea>
      </pivotAreas>
    </conditionalFormat>
    <conditionalFormat priority="6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58">
              <x v="2"/>
              <x v="3"/>
              <x v="7"/>
              <x v="9"/>
              <x v="27"/>
              <x v="28"/>
              <x v="29"/>
              <x v="42"/>
              <x v="43"/>
              <x v="51"/>
              <x v="55"/>
              <x v="56"/>
              <x v="59"/>
              <x v="60"/>
              <x v="65"/>
              <x v="68"/>
              <x v="70"/>
              <x v="75"/>
              <x v="84"/>
              <x v="85"/>
              <x v="90"/>
              <x v="10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  <x v="130"/>
              <x v="131"/>
              <x v="13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145"/>
              <x v="146"/>
              <x v="147"/>
              <x v="148"/>
              <x v="149"/>
              <x v="150"/>
            </reference>
          </references>
        </pivotArea>
      </pivotAreas>
    </conditionalFormat>
    <conditionalFormat priority="6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58">
              <x v="2"/>
              <x v="3"/>
              <x v="7"/>
              <x v="9"/>
              <x v="27"/>
              <x v="28"/>
              <x v="29"/>
              <x v="42"/>
              <x v="43"/>
              <x v="51"/>
              <x v="55"/>
              <x v="56"/>
              <x v="59"/>
              <x v="60"/>
              <x v="65"/>
              <x v="68"/>
              <x v="70"/>
              <x v="75"/>
              <x v="84"/>
              <x v="85"/>
              <x v="90"/>
              <x v="10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  <x v="130"/>
              <x v="131"/>
              <x v="13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145"/>
              <x v="146"/>
              <x v="147"/>
              <x v="148"/>
              <x v="149"/>
              <x v="150"/>
            </reference>
          </references>
        </pivotArea>
      </pivotAreas>
    </conditionalFormat>
    <conditionalFormat priority="7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58">
              <x v="2"/>
              <x v="3"/>
              <x v="7"/>
              <x v="9"/>
              <x v="27"/>
              <x v="28"/>
              <x v="29"/>
              <x v="42"/>
              <x v="43"/>
              <x v="51"/>
              <x v="55"/>
              <x v="56"/>
              <x v="59"/>
              <x v="60"/>
              <x v="65"/>
              <x v="68"/>
              <x v="70"/>
              <x v="75"/>
              <x v="84"/>
              <x v="85"/>
              <x v="90"/>
              <x v="10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  <x v="130"/>
              <x v="131"/>
              <x v="13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145"/>
              <x v="146"/>
              <x v="147"/>
              <x v="148"/>
              <x v="149"/>
              <x v="150"/>
            </reference>
          </references>
        </pivotArea>
      </pivotAreas>
    </conditionalFormat>
    <conditionalFormat priority="71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68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6"/>
              <x v="37"/>
              <x v="39"/>
              <x v="40"/>
              <x v="43"/>
              <x v="44"/>
              <x v="45"/>
              <x v="49"/>
              <x v="53"/>
              <x v="54"/>
              <x v="55"/>
              <x v="56"/>
              <x v="57"/>
              <x v="58"/>
              <x v="60"/>
              <x v="61"/>
              <x v="63"/>
              <x v="65"/>
              <x v="67"/>
              <x v="68"/>
              <x v="70"/>
              <x v="72"/>
              <x v="73"/>
              <x v="84"/>
              <x v="88"/>
              <x v="89"/>
              <x v="92"/>
              <x v="94"/>
              <x v="97"/>
              <x v="99"/>
              <x v="100"/>
              <x v="103"/>
              <x v="104"/>
              <x v="105"/>
              <x v="107"/>
              <x v="110"/>
              <x v="111"/>
              <x v="112"/>
              <x v="113"/>
              <x v="114"/>
            </reference>
          </references>
        </pivotArea>
      </pivotAreas>
    </conditionalFormat>
    <conditionalFormat priority="7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68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6"/>
              <x v="37"/>
              <x v="39"/>
              <x v="40"/>
              <x v="43"/>
              <x v="44"/>
              <x v="45"/>
              <x v="49"/>
              <x v="53"/>
              <x v="54"/>
              <x v="55"/>
              <x v="56"/>
              <x v="57"/>
              <x v="58"/>
              <x v="60"/>
              <x v="61"/>
              <x v="63"/>
              <x v="65"/>
              <x v="67"/>
              <x v="68"/>
              <x v="70"/>
              <x v="72"/>
              <x v="73"/>
              <x v="84"/>
              <x v="88"/>
              <x v="89"/>
              <x v="92"/>
              <x v="94"/>
              <x v="97"/>
              <x v="99"/>
              <x v="100"/>
              <x v="103"/>
              <x v="104"/>
              <x v="105"/>
              <x v="107"/>
              <x v="110"/>
              <x v="111"/>
              <x v="112"/>
              <x v="113"/>
              <x v="114"/>
            </reference>
          </references>
        </pivotArea>
      </pivotAreas>
    </conditionalFormat>
    <conditionalFormat priority="7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77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5"/>
              <x v="56"/>
              <x v="57"/>
              <x v="58"/>
              <x v="60"/>
              <x v="61"/>
              <x v="63"/>
              <x v="65"/>
              <x v="68"/>
              <x v="70"/>
              <x v="72"/>
              <x v="73"/>
              <x v="75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9"/>
              <x v="100"/>
              <x v="101"/>
              <x v="103"/>
              <x v="104"/>
              <x v="105"/>
              <x v="107"/>
              <x v="108"/>
              <x v="110"/>
              <x v="111"/>
              <x v="112"/>
            </reference>
          </references>
        </pivotArea>
      </pivotAreas>
    </conditionalFormat>
    <conditionalFormat priority="78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77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5"/>
              <x v="56"/>
              <x v="57"/>
              <x v="58"/>
              <x v="60"/>
              <x v="61"/>
              <x v="63"/>
              <x v="65"/>
              <x v="68"/>
              <x v="70"/>
              <x v="72"/>
              <x v="73"/>
              <x v="75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9"/>
              <x v="100"/>
              <x v="101"/>
              <x v="103"/>
              <x v="104"/>
              <x v="105"/>
              <x v="107"/>
              <x v="108"/>
              <x v="110"/>
              <x v="111"/>
              <x v="112"/>
            </reference>
          </references>
        </pivotArea>
      </pivotAreas>
    </conditionalFormat>
    <conditionalFormat priority="7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77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5"/>
              <x v="56"/>
              <x v="57"/>
              <x v="58"/>
              <x v="60"/>
              <x v="61"/>
              <x v="63"/>
              <x v="65"/>
              <x v="68"/>
              <x v="70"/>
              <x v="72"/>
              <x v="73"/>
              <x v="75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9"/>
              <x v="100"/>
              <x v="101"/>
              <x v="103"/>
              <x v="104"/>
              <x v="105"/>
              <x v="107"/>
              <x v="108"/>
              <x v="110"/>
              <x v="111"/>
              <x v="112"/>
            </reference>
          </references>
        </pivotArea>
      </pivotAreas>
    </conditionalFormat>
    <conditionalFormat priority="80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71">
              <x v="1"/>
              <x v="2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6"/>
              <x v="57"/>
              <x v="58"/>
              <x v="60"/>
              <x v="61"/>
              <x v="62"/>
              <x v="63"/>
              <x v="65"/>
              <x v="70"/>
              <x v="72"/>
              <x v="75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2"/>
              <x v="93"/>
              <x v="94"/>
              <x v="95"/>
              <x v="99"/>
              <x v="100"/>
              <x v="101"/>
              <x v="103"/>
              <x v="104"/>
              <x v="105"/>
              <x v="107"/>
              <x v="109"/>
            </reference>
          </references>
        </pivotArea>
      </pivotAreas>
    </conditionalFormat>
    <conditionalFormat priority="8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71">
              <x v="1"/>
              <x v="2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6"/>
              <x v="57"/>
              <x v="58"/>
              <x v="60"/>
              <x v="61"/>
              <x v="62"/>
              <x v="63"/>
              <x v="65"/>
              <x v="70"/>
              <x v="72"/>
              <x v="75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2"/>
              <x v="93"/>
              <x v="94"/>
              <x v="95"/>
              <x v="99"/>
              <x v="100"/>
              <x v="101"/>
              <x v="103"/>
              <x v="104"/>
              <x v="105"/>
              <x v="107"/>
              <x v="109"/>
            </reference>
          </references>
        </pivotArea>
      </pivotAreas>
    </conditionalFormat>
    <conditionalFormat priority="8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71">
              <x v="1"/>
              <x v="2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6"/>
              <x v="57"/>
              <x v="58"/>
              <x v="60"/>
              <x v="61"/>
              <x v="62"/>
              <x v="63"/>
              <x v="65"/>
              <x v="70"/>
              <x v="72"/>
              <x v="75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2"/>
              <x v="93"/>
              <x v="94"/>
              <x v="95"/>
              <x v="99"/>
              <x v="100"/>
              <x v="101"/>
              <x v="103"/>
              <x v="104"/>
              <x v="105"/>
              <x v="107"/>
              <x v="109"/>
            </reference>
          </references>
        </pivotArea>
      </pivotAreas>
    </conditionalFormat>
    <conditionalFormat priority="8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71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4"/>
              <x v="56"/>
              <x v="57"/>
              <x v="58"/>
              <x v="60"/>
              <x v="61"/>
              <x v="62"/>
              <x v="63"/>
              <x v="65"/>
              <x v="67"/>
              <x v="72"/>
              <x v="80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  <x v="107"/>
              <x v="108"/>
            </reference>
          </references>
        </pivotArea>
      </pivotAreas>
    </conditionalFormat>
    <conditionalFormat priority="8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71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4"/>
              <x v="56"/>
              <x v="57"/>
              <x v="58"/>
              <x v="60"/>
              <x v="61"/>
              <x v="62"/>
              <x v="63"/>
              <x v="65"/>
              <x v="67"/>
              <x v="72"/>
              <x v="80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  <x v="107"/>
              <x v="108"/>
            </reference>
          </references>
        </pivotArea>
      </pivotAreas>
    </conditionalFormat>
    <conditionalFormat priority="8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71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4"/>
              <x v="56"/>
              <x v="57"/>
              <x v="58"/>
              <x v="60"/>
              <x v="61"/>
              <x v="62"/>
              <x v="63"/>
              <x v="65"/>
              <x v="67"/>
              <x v="72"/>
              <x v="80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  <x v="107"/>
              <x v="108"/>
            </reference>
          </references>
        </pivotArea>
      </pivotAreas>
    </conditionalFormat>
    <conditionalFormat priority="89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73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6"/>
              <x v="57"/>
              <x v="58"/>
              <x v="60"/>
              <x v="61"/>
              <x v="63"/>
              <x v="65"/>
              <x v="67"/>
              <x v="72"/>
              <x v="73"/>
              <x v="80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  <x v="106"/>
            </reference>
          </references>
        </pivotArea>
      </pivotAreas>
    </conditionalFormat>
    <conditionalFormat priority="90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73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6"/>
              <x v="57"/>
              <x v="58"/>
              <x v="60"/>
              <x v="61"/>
              <x v="63"/>
              <x v="65"/>
              <x v="67"/>
              <x v="72"/>
              <x v="73"/>
              <x v="80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  <x v="106"/>
            </reference>
          </references>
        </pivotArea>
      </pivotAreas>
    </conditionalFormat>
    <conditionalFormat priority="9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73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6"/>
              <x v="57"/>
              <x v="58"/>
              <x v="60"/>
              <x v="61"/>
              <x v="63"/>
              <x v="65"/>
              <x v="67"/>
              <x v="72"/>
              <x v="73"/>
              <x v="80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  <x v="106"/>
            </reference>
          </references>
        </pivotArea>
      </pivotAreas>
    </conditionalFormat>
    <conditionalFormat priority="92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71">
              <x v="1"/>
              <x v="2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5"/>
              <x v="48"/>
              <x v="49"/>
              <x v="51"/>
              <x v="52"/>
              <x v="53"/>
              <x v="54"/>
              <x v="56"/>
              <x v="57"/>
              <x v="58"/>
              <x v="61"/>
              <x v="62"/>
              <x v="63"/>
              <x v="65"/>
              <x v="67"/>
              <x v="72"/>
              <x v="73"/>
              <x v="80"/>
              <x v="82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</reference>
          </references>
        </pivotArea>
      </pivotAreas>
    </conditionalFormat>
    <conditionalFormat priority="9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71">
              <x v="1"/>
              <x v="2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5"/>
              <x v="48"/>
              <x v="49"/>
              <x v="51"/>
              <x v="52"/>
              <x v="53"/>
              <x v="54"/>
              <x v="56"/>
              <x v="57"/>
              <x v="58"/>
              <x v="61"/>
              <x v="62"/>
              <x v="63"/>
              <x v="65"/>
              <x v="67"/>
              <x v="72"/>
              <x v="73"/>
              <x v="80"/>
              <x v="82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</reference>
          </references>
        </pivotArea>
      </pivotAreas>
    </conditionalFormat>
    <conditionalFormat priority="9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71">
              <x v="1"/>
              <x v="2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5"/>
              <x v="48"/>
              <x v="49"/>
              <x v="51"/>
              <x v="52"/>
              <x v="53"/>
              <x v="54"/>
              <x v="56"/>
              <x v="57"/>
              <x v="58"/>
              <x v="61"/>
              <x v="62"/>
              <x v="63"/>
              <x v="65"/>
              <x v="67"/>
              <x v="72"/>
              <x v="73"/>
              <x v="80"/>
              <x v="82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</reference>
          </references>
        </pivotArea>
      </pivotAreas>
    </conditionalFormat>
    <conditionalFormat priority="9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65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5"/>
              <x v="48"/>
              <x v="49"/>
              <x v="51"/>
              <x v="52"/>
              <x v="54"/>
              <x v="56"/>
              <x v="58"/>
              <x v="61"/>
              <x v="63"/>
              <x v="65"/>
              <x v="67"/>
              <x v="68"/>
              <x v="72"/>
              <x v="80"/>
              <x v="82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</reference>
          </references>
        </pivotArea>
      </pivotAreas>
    </conditionalFormat>
    <conditionalFormat priority="9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65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5"/>
              <x v="48"/>
              <x v="49"/>
              <x v="51"/>
              <x v="52"/>
              <x v="54"/>
              <x v="56"/>
              <x v="58"/>
              <x v="61"/>
              <x v="63"/>
              <x v="65"/>
              <x v="67"/>
              <x v="68"/>
              <x v="72"/>
              <x v="80"/>
              <x v="82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</reference>
          </references>
        </pivotArea>
      </pivotAreas>
    </conditionalFormat>
    <conditionalFormat priority="9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65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5"/>
              <x v="48"/>
              <x v="49"/>
              <x v="51"/>
              <x v="52"/>
              <x v="54"/>
              <x v="56"/>
              <x v="58"/>
              <x v="61"/>
              <x v="63"/>
              <x v="65"/>
              <x v="67"/>
              <x v="68"/>
              <x v="72"/>
              <x v="80"/>
              <x v="82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</reference>
          </references>
        </pivotArea>
      </pivotAreas>
    </conditionalFormat>
    <conditionalFormat priority="9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65">
              <x v="1"/>
              <x v="2"/>
              <x v="4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2"/>
              <x v="54"/>
              <x v="55"/>
              <x v="56"/>
              <x v="57"/>
              <x v="58"/>
              <x v="61"/>
              <x v="62"/>
              <x v="63"/>
              <x v="65"/>
              <x v="68"/>
              <x v="72"/>
              <x v="73"/>
              <x v="74"/>
              <x v="75"/>
              <x v="80"/>
              <x v="82"/>
              <x v="84"/>
              <x v="85"/>
              <x v="86"/>
              <x v="87"/>
              <x v="88"/>
              <x v="89"/>
              <x v="90"/>
              <x v="92"/>
              <x v="94"/>
              <x v="95"/>
              <x v="96"/>
              <x v="98"/>
              <x v="99"/>
              <x v="100"/>
            </reference>
          </references>
        </pivotArea>
      </pivotAreas>
    </conditionalFormat>
    <conditionalFormat priority="9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65">
              <x v="1"/>
              <x v="2"/>
              <x v="4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2"/>
              <x v="54"/>
              <x v="55"/>
              <x v="56"/>
              <x v="57"/>
              <x v="58"/>
              <x v="61"/>
              <x v="62"/>
              <x v="63"/>
              <x v="65"/>
              <x v="68"/>
              <x v="72"/>
              <x v="73"/>
              <x v="74"/>
              <x v="75"/>
              <x v="80"/>
              <x v="82"/>
              <x v="84"/>
              <x v="85"/>
              <x v="86"/>
              <x v="87"/>
              <x v="88"/>
              <x v="89"/>
              <x v="90"/>
              <x v="92"/>
              <x v="94"/>
              <x v="95"/>
              <x v="96"/>
              <x v="98"/>
              <x v="99"/>
              <x v="100"/>
            </reference>
          </references>
        </pivotArea>
      </pivotAreas>
    </conditionalFormat>
    <conditionalFormat priority="100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65">
              <x v="1"/>
              <x v="2"/>
              <x v="4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2"/>
              <x v="54"/>
              <x v="55"/>
              <x v="56"/>
              <x v="57"/>
              <x v="58"/>
              <x v="61"/>
              <x v="62"/>
              <x v="63"/>
              <x v="65"/>
              <x v="68"/>
              <x v="72"/>
              <x v="73"/>
              <x v="74"/>
              <x v="75"/>
              <x v="80"/>
              <x v="82"/>
              <x v="84"/>
              <x v="85"/>
              <x v="86"/>
              <x v="87"/>
              <x v="88"/>
              <x v="89"/>
              <x v="90"/>
              <x v="92"/>
              <x v="94"/>
              <x v="95"/>
              <x v="96"/>
              <x v="98"/>
              <x v="99"/>
              <x v="100"/>
            </reference>
          </references>
        </pivotArea>
      </pivotAreas>
    </conditionalFormat>
    <conditionalFormat priority="101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66">
              <x v="1"/>
              <x v="2"/>
              <x v="4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2"/>
              <x v="54"/>
              <x v="55"/>
              <x v="56"/>
              <x v="57"/>
              <x v="58"/>
              <x v="60"/>
              <x v="61"/>
              <x v="62"/>
              <x v="63"/>
              <x v="65"/>
              <x v="68"/>
              <x v="72"/>
              <x v="74"/>
              <x v="80"/>
              <x v="82"/>
              <x v="84"/>
              <x v="85"/>
              <x v="86"/>
              <x v="87"/>
              <x v="88"/>
              <x v="89"/>
              <x v="90"/>
              <x v="91"/>
              <x v="92"/>
              <x v="94"/>
              <x v="95"/>
              <x v="96"/>
              <x v="97"/>
              <x v="98"/>
              <x v="99"/>
            </reference>
          </references>
        </pivotArea>
      </pivotAreas>
    </conditionalFormat>
    <conditionalFormat priority="10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66">
              <x v="1"/>
              <x v="2"/>
              <x v="4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2"/>
              <x v="54"/>
              <x v="55"/>
              <x v="56"/>
              <x v="57"/>
              <x v="58"/>
              <x v="60"/>
              <x v="61"/>
              <x v="62"/>
              <x v="63"/>
              <x v="65"/>
              <x v="68"/>
              <x v="72"/>
              <x v="74"/>
              <x v="80"/>
              <x v="82"/>
              <x v="84"/>
              <x v="85"/>
              <x v="86"/>
              <x v="87"/>
              <x v="88"/>
              <x v="89"/>
              <x v="90"/>
              <x v="91"/>
              <x v="92"/>
              <x v="94"/>
              <x v="95"/>
              <x v="96"/>
              <x v="97"/>
              <x v="98"/>
              <x v="99"/>
            </reference>
          </references>
        </pivotArea>
      </pivotAreas>
    </conditionalFormat>
    <conditionalFormat priority="10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66">
              <x v="1"/>
              <x v="2"/>
              <x v="4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2"/>
              <x v="54"/>
              <x v="55"/>
              <x v="56"/>
              <x v="57"/>
              <x v="58"/>
              <x v="60"/>
              <x v="61"/>
              <x v="62"/>
              <x v="63"/>
              <x v="65"/>
              <x v="68"/>
              <x v="72"/>
              <x v="74"/>
              <x v="80"/>
              <x v="82"/>
              <x v="84"/>
              <x v="85"/>
              <x v="86"/>
              <x v="87"/>
              <x v="88"/>
              <x v="89"/>
              <x v="90"/>
              <x v="91"/>
              <x v="92"/>
              <x v="94"/>
              <x v="95"/>
              <x v="96"/>
              <x v="97"/>
              <x v="98"/>
              <x v="99"/>
            </reference>
          </references>
        </pivotArea>
      </pivotAreas>
    </conditionalFormat>
    <conditionalFormat priority="104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62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5"/>
              <x v="48"/>
              <x v="51"/>
              <x v="54"/>
              <x v="55"/>
              <x v="56"/>
              <x v="57"/>
              <x v="60"/>
              <x v="61"/>
              <x v="63"/>
              <x v="65"/>
              <x v="67"/>
              <x v="68"/>
              <x v="71"/>
              <x v="72"/>
              <x v="73"/>
              <x v="74"/>
              <x v="82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</reference>
          </references>
        </pivotArea>
      </pivotAreas>
    </conditionalFormat>
    <conditionalFormat priority="11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63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4"/>
              <x v="55"/>
              <x v="56"/>
              <x v="57"/>
              <x v="60"/>
              <x v="61"/>
              <x v="63"/>
              <x v="65"/>
              <x v="67"/>
              <x v="68"/>
              <x v="71"/>
              <x v="72"/>
              <x v="73"/>
              <x v="74"/>
              <x v="75"/>
              <x v="80"/>
              <x v="82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</reference>
          </references>
        </pivotArea>
      </pivotAreas>
    </conditionalFormat>
    <conditionalFormat priority="11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62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4"/>
              <x v="55"/>
              <x v="56"/>
              <x v="57"/>
              <x v="60"/>
              <x v="61"/>
              <x v="63"/>
              <x v="65"/>
              <x v="67"/>
              <x v="68"/>
              <x v="72"/>
              <x v="73"/>
              <x v="74"/>
              <x v="75"/>
              <x v="80"/>
              <x v="82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</reference>
          </references>
        </pivotArea>
      </pivotAreas>
    </conditionalFormat>
    <conditionalFormat priority="11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55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5"/>
              <x v="56"/>
              <x v="60"/>
              <x v="61"/>
              <x v="63"/>
              <x v="65"/>
              <x v="67"/>
              <x v="68"/>
              <x v="71"/>
              <x v="72"/>
              <x v="74"/>
              <x v="75"/>
              <x v="80"/>
              <x v="82"/>
              <x v="85"/>
              <x v="86"/>
              <x v="87"/>
              <x v="88"/>
              <x v="89"/>
              <x v="90"/>
              <x v="91"/>
              <x v="92"/>
            </reference>
          </references>
        </pivotArea>
      </pivotAreas>
    </conditionalFormat>
    <conditionalFormat priority="11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55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5"/>
              <x v="56"/>
              <x v="60"/>
              <x v="61"/>
              <x v="63"/>
              <x v="65"/>
              <x v="67"/>
              <x v="68"/>
              <x v="71"/>
              <x v="72"/>
              <x v="74"/>
              <x v="75"/>
              <x v="80"/>
              <x v="82"/>
              <x v="85"/>
              <x v="86"/>
              <x v="87"/>
              <x v="88"/>
              <x v="89"/>
              <x v="90"/>
              <x v="91"/>
              <x v="92"/>
            </reference>
          </references>
        </pivotArea>
      </pivotAreas>
    </conditionalFormat>
    <conditionalFormat priority="11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55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5"/>
              <x v="56"/>
              <x v="60"/>
              <x v="61"/>
              <x v="63"/>
              <x v="65"/>
              <x v="67"/>
              <x v="68"/>
              <x v="71"/>
              <x v="72"/>
              <x v="74"/>
              <x v="75"/>
              <x v="80"/>
              <x v="82"/>
              <x v="85"/>
              <x v="86"/>
              <x v="87"/>
              <x v="88"/>
              <x v="89"/>
              <x v="90"/>
              <x v="91"/>
              <x v="92"/>
            </reference>
          </references>
        </pivotArea>
      </pivotAreas>
    </conditionalFormat>
    <conditionalFormat priority="11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53"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3"/>
              <x v="55"/>
              <x v="56"/>
              <x v="57"/>
              <x v="60"/>
              <x v="61"/>
              <x v="62"/>
              <x v="65"/>
              <x v="68"/>
              <x v="71"/>
              <x v="72"/>
              <x v="73"/>
              <x v="74"/>
              <x v="77"/>
              <x v="80"/>
              <x v="82"/>
              <x v="85"/>
              <x v="86"/>
              <x v="87"/>
              <x v="88"/>
              <x v="89"/>
              <x v="90"/>
            </reference>
          </references>
        </pivotArea>
      </pivotAreas>
    </conditionalFormat>
    <conditionalFormat priority="11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53"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3"/>
              <x v="55"/>
              <x v="56"/>
              <x v="57"/>
              <x v="60"/>
              <x v="61"/>
              <x v="62"/>
              <x v="65"/>
              <x v="68"/>
              <x v="71"/>
              <x v="72"/>
              <x v="73"/>
              <x v="74"/>
              <x v="77"/>
              <x v="80"/>
              <x v="82"/>
              <x v="85"/>
              <x v="86"/>
              <x v="87"/>
              <x v="88"/>
              <x v="89"/>
              <x v="90"/>
            </reference>
          </references>
        </pivotArea>
      </pivotAreas>
    </conditionalFormat>
    <conditionalFormat priority="12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53"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3"/>
              <x v="55"/>
              <x v="56"/>
              <x v="57"/>
              <x v="60"/>
              <x v="61"/>
              <x v="62"/>
              <x v="65"/>
              <x v="68"/>
              <x v="71"/>
              <x v="72"/>
              <x v="73"/>
              <x v="74"/>
              <x v="77"/>
              <x v="80"/>
              <x v="82"/>
              <x v="85"/>
              <x v="86"/>
              <x v="87"/>
              <x v="88"/>
              <x v="89"/>
              <x v="90"/>
            </reference>
          </references>
        </pivotArea>
      </pivotAreas>
    </conditionalFormat>
    <conditionalFormat priority="124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56">
              <x v="0"/>
              <x v="1"/>
              <x v="2"/>
              <x v="4"/>
              <x v="6"/>
              <x v="7"/>
              <x v="8"/>
              <x v="9"/>
              <x v="10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3"/>
              <x v="53"/>
              <x v="54"/>
              <x v="55"/>
              <x v="56"/>
              <x v="57"/>
              <x v="60"/>
              <x v="61"/>
              <x v="63"/>
              <x v="65"/>
              <x v="68"/>
              <x v="71"/>
              <x v="72"/>
              <x v="73"/>
              <x v="74"/>
              <x v="75"/>
              <x v="76"/>
              <x v="77"/>
              <x v="79"/>
              <x v="82"/>
              <x v="83"/>
              <x v="84"/>
              <x v="85"/>
              <x v="86"/>
              <x v="87"/>
            </reference>
          </references>
        </pivotArea>
      </pivotAreas>
    </conditionalFormat>
    <conditionalFormat priority="125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56">
              <x v="0"/>
              <x v="1"/>
              <x v="2"/>
              <x v="4"/>
              <x v="6"/>
              <x v="7"/>
              <x v="8"/>
              <x v="9"/>
              <x v="10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3"/>
              <x v="53"/>
              <x v="54"/>
              <x v="55"/>
              <x v="56"/>
              <x v="57"/>
              <x v="60"/>
              <x v="61"/>
              <x v="63"/>
              <x v="65"/>
              <x v="68"/>
              <x v="71"/>
              <x v="72"/>
              <x v="73"/>
              <x v="74"/>
              <x v="75"/>
              <x v="76"/>
              <x v="77"/>
              <x v="79"/>
              <x v="82"/>
              <x v="83"/>
              <x v="84"/>
              <x v="85"/>
              <x v="86"/>
              <x v="87"/>
            </reference>
          </references>
        </pivotArea>
      </pivotAreas>
    </conditionalFormat>
    <conditionalFormat priority="12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56">
              <x v="0"/>
              <x v="1"/>
              <x v="2"/>
              <x v="4"/>
              <x v="6"/>
              <x v="7"/>
              <x v="8"/>
              <x v="9"/>
              <x v="10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3"/>
              <x v="53"/>
              <x v="54"/>
              <x v="55"/>
              <x v="56"/>
              <x v="57"/>
              <x v="60"/>
              <x v="61"/>
              <x v="63"/>
              <x v="65"/>
              <x v="68"/>
              <x v="71"/>
              <x v="72"/>
              <x v="73"/>
              <x v="74"/>
              <x v="75"/>
              <x v="76"/>
              <x v="77"/>
              <x v="79"/>
              <x v="82"/>
              <x v="83"/>
              <x v="84"/>
              <x v="85"/>
              <x v="86"/>
              <x v="87"/>
            </reference>
          </references>
        </pivotArea>
      </pivotAreas>
    </conditionalFormat>
    <conditionalFormat priority="12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59">
              <x v="0"/>
              <x v="1"/>
              <x v="2"/>
              <x v="4"/>
              <x v="5"/>
              <x v="6"/>
              <x v="7"/>
              <x v="8"/>
              <x v="9"/>
              <x v="10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7"/>
              <x v="28"/>
              <x v="29"/>
              <x v="32"/>
              <x v="33"/>
              <x v="34"/>
              <x v="35"/>
              <x v="36"/>
              <x v="37"/>
              <x v="38"/>
              <x v="39"/>
              <x v="40"/>
              <x v="43"/>
              <x v="44"/>
              <x v="47"/>
              <x v="50"/>
              <x v="52"/>
              <x v="53"/>
              <x v="54"/>
              <x v="55"/>
              <x v="56"/>
              <x v="58"/>
              <x v="59"/>
              <x v="60"/>
              <x v="61"/>
              <x v="62"/>
              <x v="63"/>
              <x v="65"/>
              <x v="68"/>
              <x v="71"/>
              <x v="72"/>
              <x v="74"/>
              <x v="75"/>
              <x v="76"/>
              <x v="77"/>
              <x v="79"/>
              <x v="81"/>
            </reference>
          </references>
        </pivotArea>
      </pivotAreas>
    </conditionalFormat>
    <conditionalFormat priority="128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59">
              <x v="0"/>
              <x v="1"/>
              <x v="2"/>
              <x v="4"/>
              <x v="5"/>
              <x v="6"/>
              <x v="7"/>
              <x v="8"/>
              <x v="9"/>
              <x v="10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7"/>
              <x v="28"/>
              <x v="29"/>
              <x v="32"/>
              <x v="33"/>
              <x v="34"/>
              <x v="35"/>
              <x v="36"/>
              <x v="37"/>
              <x v="38"/>
              <x v="39"/>
              <x v="40"/>
              <x v="43"/>
              <x v="44"/>
              <x v="47"/>
              <x v="50"/>
              <x v="52"/>
              <x v="53"/>
              <x v="54"/>
              <x v="55"/>
              <x v="56"/>
              <x v="58"/>
              <x v="59"/>
              <x v="60"/>
              <x v="61"/>
              <x v="62"/>
              <x v="63"/>
              <x v="65"/>
              <x v="68"/>
              <x v="71"/>
              <x v="72"/>
              <x v="74"/>
              <x v="75"/>
              <x v="76"/>
              <x v="77"/>
              <x v="79"/>
              <x v="81"/>
            </reference>
          </references>
        </pivotArea>
      </pivotAreas>
    </conditionalFormat>
    <conditionalFormat priority="12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59">
              <x v="0"/>
              <x v="1"/>
              <x v="2"/>
              <x v="4"/>
              <x v="5"/>
              <x v="6"/>
              <x v="7"/>
              <x v="8"/>
              <x v="9"/>
              <x v="10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7"/>
              <x v="28"/>
              <x v="29"/>
              <x v="32"/>
              <x v="33"/>
              <x v="34"/>
              <x v="35"/>
              <x v="36"/>
              <x v="37"/>
              <x v="38"/>
              <x v="39"/>
              <x v="40"/>
              <x v="43"/>
              <x v="44"/>
              <x v="47"/>
              <x v="50"/>
              <x v="52"/>
              <x v="53"/>
              <x v="54"/>
              <x v="55"/>
              <x v="56"/>
              <x v="58"/>
              <x v="59"/>
              <x v="60"/>
              <x v="61"/>
              <x v="62"/>
              <x v="63"/>
              <x v="65"/>
              <x v="68"/>
              <x v="71"/>
              <x v="72"/>
              <x v="74"/>
              <x v="75"/>
              <x v="76"/>
              <x v="77"/>
              <x v="79"/>
              <x v="81"/>
            </reference>
          </references>
        </pivotArea>
      </pivotAreas>
    </conditionalFormat>
    <conditionalFormat priority="133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63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3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1"/>
              <x v="42"/>
              <x v="43"/>
              <x v="45"/>
              <x v="47"/>
              <x v="50"/>
              <x v="51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</reference>
          </references>
        </pivotArea>
      </pivotAreas>
    </conditionalFormat>
    <conditionalFormat priority="13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63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3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1"/>
              <x v="42"/>
              <x v="43"/>
              <x v="45"/>
              <x v="47"/>
              <x v="50"/>
              <x v="51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</reference>
          </references>
        </pivotArea>
      </pivotAreas>
    </conditionalFormat>
    <conditionalFormat priority="13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63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3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1"/>
              <x v="42"/>
              <x v="43"/>
              <x v="45"/>
              <x v="47"/>
              <x v="50"/>
              <x v="51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</reference>
          </references>
        </pivotArea>
      </pivotAreas>
    </conditionalFormat>
    <conditionalFormat priority="139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62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3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1"/>
              <x v="42"/>
              <x v="43"/>
              <x v="45"/>
              <x v="47"/>
              <x v="50"/>
              <x v="51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</reference>
          </references>
        </pivotArea>
      </pivotAreas>
    </conditionalFormat>
    <conditionalFormat priority="140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62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3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1"/>
              <x v="42"/>
              <x v="43"/>
              <x v="45"/>
              <x v="47"/>
              <x v="50"/>
              <x v="51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</reference>
          </references>
        </pivotArea>
      </pivotAreas>
    </conditionalFormat>
    <conditionalFormat priority="14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62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3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1"/>
              <x v="42"/>
              <x v="43"/>
              <x v="45"/>
              <x v="47"/>
              <x v="50"/>
              <x v="51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</reference>
          </references>
        </pivotArea>
      </pivotAreas>
    </conditionalFormat>
    <conditionalFormat priority="142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56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5"/>
              <x v="27"/>
              <x v="28"/>
              <x v="29"/>
              <x v="32"/>
              <x v="33"/>
              <x v="34"/>
              <x v="35"/>
              <x v="36"/>
              <x v="37"/>
              <x v="38"/>
              <x v="41"/>
              <x v="42"/>
              <x v="43"/>
              <x v="45"/>
              <x v="47"/>
              <x v="50"/>
              <x v="51"/>
              <x v="52"/>
              <x v="53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</reference>
          </references>
        </pivotArea>
      </pivotAreas>
    </conditionalFormat>
    <conditionalFormat priority="14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56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5"/>
              <x v="27"/>
              <x v="28"/>
              <x v="29"/>
              <x v="32"/>
              <x v="33"/>
              <x v="34"/>
              <x v="35"/>
              <x v="36"/>
              <x v="37"/>
              <x v="38"/>
              <x v="41"/>
              <x v="42"/>
              <x v="43"/>
              <x v="45"/>
              <x v="47"/>
              <x v="50"/>
              <x v="51"/>
              <x v="52"/>
              <x v="53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</reference>
          </references>
        </pivotArea>
      </pivotAreas>
    </conditionalFormat>
    <conditionalFormat priority="14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56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5"/>
              <x v="27"/>
              <x v="28"/>
              <x v="29"/>
              <x v="32"/>
              <x v="33"/>
              <x v="34"/>
              <x v="35"/>
              <x v="36"/>
              <x v="37"/>
              <x v="38"/>
              <x v="41"/>
              <x v="42"/>
              <x v="43"/>
              <x v="45"/>
              <x v="47"/>
              <x v="50"/>
              <x v="51"/>
              <x v="52"/>
              <x v="53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</reference>
          </references>
        </pivotArea>
      </pivotAreas>
    </conditionalFormat>
    <conditionalFormat priority="14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46">
              <x v="0"/>
              <x v="2"/>
              <x v="4"/>
              <x v="6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41"/>
              <x v="42"/>
              <x v="43"/>
              <x v="47"/>
              <x v="50"/>
              <x v="51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</reference>
          </references>
        </pivotArea>
      </pivotAreas>
    </conditionalFormat>
    <conditionalFormat priority="14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46">
              <x v="0"/>
              <x v="2"/>
              <x v="4"/>
              <x v="6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41"/>
              <x v="42"/>
              <x v="43"/>
              <x v="47"/>
              <x v="50"/>
              <x v="51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</reference>
          </references>
        </pivotArea>
      </pivotAreas>
    </conditionalFormat>
    <conditionalFormat priority="14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46">
              <x v="0"/>
              <x v="2"/>
              <x v="4"/>
              <x v="6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41"/>
              <x v="42"/>
              <x v="43"/>
              <x v="47"/>
              <x v="50"/>
              <x v="51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</reference>
          </references>
        </pivotArea>
      </pivotAreas>
    </conditionalFormat>
    <conditionalFormat priority="154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40">
              <x v="0"/>
              <x v="2"/>
              <x v="4"/>
              <x v="6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5"/>
              <x v="27"/>
              <x v="28"/>
              <x v="29"/>
              <x v="30"/>
              <x v="32"/>
              <x v="33"/>
              <x v="34"/>
              <x v="36"/>
              <x v="37"/>
              <x v="38"/>
              <x v="41"/>
              <x v="42"/>
              <x v="43"/>
              <x v="47"/>
              <x v="50"/>
              <x v="51"/>
              <x v="52"/>
              <x v="55"/>
              <x v="56"/>
              <x v="58"/>
              <x v="59"/>
              <x v="60"/>
              <x v="61"/>
              <x v="62"/>
            </reference>
          </references>
        </pivotArea>
      </pivotAreas>
    </conditionalFormat>
    <conditionalFormat priority="155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40">
              <x v="0"/>
              <x v="2"/>
              <x v="4"/>
              <x v="6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5"/>
              <x v="27"/>
              <x v="28"/>
              <x v="29"/>
              <x v="30"/>
              <x v="32"/>
              <x v="33"/>
              <x v="34"/>
              <x v="36"/>
              <x v="37"/>
              <x v="38"/>
              <x v="41"/>
              <x v="42"/>
              <x v="43"/>
              <x v="47"/>
              <x v="50"/>
              <x v="51"/>
              <x v="52"/>
              <x v="55"/>
              <x v="56"/>
              <x v="58"/>
              <x v="59"/>
              <x v="60"/>
              <x v="61"/>
              <x v="62"/>
            </reference>
          </references>
        </pivotArea>
      </pivotAreas>
    </conditionalFormat>
    <conditionalFormat priority="15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39">
              <x v="0"/>
              <x v="2"/>
              <x v="4"/>
              <x v="6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5"/>
              <x v="27"/>
              <x v="28"/>
              <x v="29"/>
              <x v="30"/>
              <x v="32"/>
              <x v="34"/>
              <x v="36"/>
              <x v="37"/>
              <x v="38"/>
              <x v="41"/>
              <x v="42"/>
              <x v="43"/>
              <x v="47"/>
              <x v="50"/>
              <x v="51"/>
              <x v="52"/>
              <x v="55"/>
              <x v="56"/>
              <x v="58"/>
              <x v="59"/>
              <x v="60"/>
              <x v="61"/>
              <x v="62"/>
            </reference>
          </references>
        </pivotArea>
      </pivotAreas>
    </conditionalFormat>
    <conditionalFormat priority="160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42">
              <x v="0"/>
              <x v="1"/>
              <x v="2"/>
              <x v="4"/>
              <x v="8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7"/>
              <x v="28"/>
              <x v="29"/>
              <x v="32"/>
              <x v="33"/>
              <x v="34"/>
              <x v="37"/>
              <x v="38"/>
              <x v="39"/>
              <x v="40"/>
              <x v="41"/>
              <x v="42"/>
              <x v="43"/>
              <x v="45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</reference>
          </references>
        </pivotArea>
      </pivotAreas>
    </conditionalFormat>
    <conditionalFormat priority="16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42">
              <x v="0"/>
              <x v="1"/>
              <x v="2"/>
              <x v="4"/>
              <x v="8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7"/>
              <x v="28"/>
              <x v="29"/>
              <x v="32"/>
              <x v="33"/>
              <x v="34"/>
              <x v="37"/>
              <x v="38"/>
              <x v="39"/>
              <x v="40"/>
              <x v="41"/>
              <x v="42"/>
              <x v="43"/>
              <x v="45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</reference>
          </references>
        </pivotArea>
      </pivotAreas>
    </conditionalFormat>
    <conditionalFormat priority="16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42">
              <x v="0"/>
              <x v="1"/>
              <x v="2"/>
              <x v="4"/>
              <x v="8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7"/>
              <x v="28"/>
              <x v="29"/>
              <x v="32"/>
              <x v="33"/>
              <x v="34"/>
              <x v="37"/>
              <x v="38"/>
              <x v="39"/>
              <x v="40"/>
              <x v="41"/>
              <x v="42"/>
              <x v="43"/>
              <x v="45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</reference>
          </references>
        </pivotArea>
      </pivotAreas>
    </conditionalFormat>
    <conditionalFormat priority="163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40">
              <x v="0"/>
              <x v="1"/>
              <x v="2"/>
              <x v="4"/>
              <x v="8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7"/>
              <x v="28"/>
              <x v="29"/>
              <x v="30"/>
              <x v="32"/>
              <x v="33"/>
              <x v="34"/>
              <x v="37"/>
              <x v="38"/>
              <x v="39"/>
              <x v="40"/>
              <x v="41"/>
              <x v="42"/>
              <x v="43"/>
              <x v="45"/>
              <x v="47"/>
              <x v="48"/>
              <x v="49"/>
              <x v="50"/>
              <x v="51"/>
              <x v="52"/>
              <x v="53"/>
              <x v="54"/>
            </reference>
          </references>
        </pivotArea>
      </pivotAreas>
    </conditionalFormat>
    <conditionalFormat priority="16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40">
              <x v="0"/>
              <x v="1"/>
              <x v="2"/>
              <x v="4"/>
              <x v="8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7"/>
              <x v="28"/>
              <x v="29"/>
              <x v="30"/>
              <x v="32"/>
              <x v="33"/>
              <x v="34"/>
              <x v="37"/>
              <x v="38"/>
              <x v="39"/>
              <x v="40"/>
              <x v="41"/>
              <x v="42"/>
              <x v="43"/>
              <x v="45"/>
              <x v="47"/>
              <x v="48"/>
              <x v="49"/>
              <x v="50"/>
              <x v="51"/>
              <x v="52"/>
              <x v="53"/>
              <x v="54"/>
            </reference>
          </references>
        </pivotArea>
      </pivotAreas>
    </conditionalFormat>
    <conditionalFormat priority="16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40">
              <x v="0"/>
              <x v="1"/>
              <x v="2"/>
              <x v="4"/>
              <x v="8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7"/>
              <x v="28"/>
              <x v="29"/>
              <x v="30"/>
              <x v="32"/>
              <x v="33"/>
              <x v="34"/>
              <x v="37"/>
              <x v="38"/>
              <x v="39"/>
              <x v="40"/>
              <x v="41"/>
              <x v="42"/>
              <x v="43"/>
              <x v="45"/>
              <x v="47"/>
              <x v="48"/>
              <x v="49"/>
              <x v="50"/>
              <x v="51"/>
              <x v="52"/>
              <x v="53"/>
              <x v="54"/>
            </reference>
          </references>
        </pivotArea>
      </pivotAreas>
    </conditionalFormat>
    <conditionalFormat priority="169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33">
              <x v="0"/>
              <x v="1"/>
              <x v="2"/>
              <x v="4"/>
              <x v="8"/>
              <x v="12"/>
              <x v="13"/>
              <x v="14"/>
              <x v="16"/>
              <x v="17"/>
              <x v="19"/>
              <x v="20"/>
              <x v="21"/>
              <x v="22"/>
              <x v="24"/>
              <x v="25"/>
              <x v="27"/>
              <x v="28"/>
              <x v="29"/>
              <x v="32"/>
              <x v="33"/>
              <x v="34"/>
              <x v="36"/>
              <x v="37"/>
              <x v="38"/>
              <x v="39"/>
              <x v="40"/>
              <x v="41"/>
              <x v="42"/>
              <x v="43"/>
              <x v="47"/>
              <x v="48"/>
              <x v="49"/>
            </reference>
          </references>
        </pivotArea>
      </pivotAreas>
    </conditionalFormat>
    <conditionalFormat priority="170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33">
              <x v="0"/>
              <x v="1"/>
              <x v="2"/>
              <x v="4"/>
              <x v="8"/>
              <x v="12"/>
              <x v="13"/>
              <x v="14"/>
              <x v="16"/>
              <x v="17"/>
              <x v="19"/>
              <x v="20"/>
              <x v="21"/>
              <x v="22"/>
              <x v="24"/>
              <x v="25"/>
              <x v="27"/>
              <x v="28"/>
              <x v="29"/>
              <x v="32"/>
              <x v="33"/>
              <x v="34"/>
              <x v="36"/>
              <x v="37"/>
              <x v="38"/>
              <x v="39"/>
              <x v="40"/>
              <x v="41"/>
              <x v="42"/>
              <x v="43"/>
              <x v="47"/>
              <x v="48"/>
              <x v="49"/>
            </reference>
          </references>
        </pivotArea>
      </pivotAreas>
    </conditionalFormat>
    <conditionalFormat priority="17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33">
              <x v="0"/>
              <x v="1"/>
              <x v="2"/>
              <x v="4"/>
              <x v="8"/>
              <x v="12"/>
              <x v="13"/>
              <x v="14"/>
              <x v="16"/>
              <x v="17"/>
              <x v="19"/>
              <x v="20"/>
              <x v="21"/>
              <x v="22"/>
              <x v="24"/>
              <x v="25"/>
              <x v="27"/>
              <x v="28"/>
              <x v="29"/>
              <x v="32"/>
              <x v="33"/>
              <x v="34"/>
              <x v="36"/>
              <x v="37"/>
              <x v="38"/>
              <x v="39"/>
              <x v="40"/>
              <x v="41"/>
              <x v="42"/>
              <x v="43"/>
              <x v="47"/>
              <x v="48"/>
              <x v="49"/>
            </reference>
          </references>
        </pivotArea>
      </pivotAreas>
    </conditionalFormat>
    <conditionalFormat priority="17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4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</reference>
          </references>
        </pivotArea>
      </pivotAreas>
    </conditionalFormat>
    <conditionalFormat priority="17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4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</reference>
          </references>
        </pivotArea>
      </pivotAreas>
    </conditionalFormat>
    <conditionalFormat priority="17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4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ela dinâmica2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Sydle - Seed">
  <location ref="A2:D5" firstHeaderRow="0" firstDataRow="1" firstDataCol="1"/>
  <pivotFields count="5">
    <pivotField axis="axisRow" dataField="1" showAll="0" sortType="descending">
      <items count="15">
        <item m="1" x="4"/>
        <item m="1" x="12"/>
        <item m="1" x="13"/>
        <item x="0"/>
        <item m="1" x="11"/>
        <item m="1" x="3"/>
        <item x="1"/>
        <item m="1" x="9"/>
        <item m="1" x="6"/>
        <item m="1" x="2"/>
        <item m="1" x="8"/>
        <item m="1" x="5"/>
        <item m="1" x="10"/>
        <item m="1" x="7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numFmtId="14" showAll="0"/>
    <pivotField numFmtId="14" showAll="0"/>
    <pivotField dataField="1" numFmtId="14" showAll="0"/>
    <pivotField dataField="1" numFmtId="14" showAll="0"/>
  </pivotFields>
  <rowFields count="1">
    <field x="0"/>
  </rowFields>
  <rowItems count="3">
    <i>
      <x v="6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ntagem de Atividade" fld="0" subtotal="count" baseField="0" baseItem="0"/>
    <dataField name="Máx de Aging" fld="3" subtotal="max" baseField="0" baseItem="9" numFmtId="1"/>
    <dataField name="Máx de Aging Mod" fld="4" subtotal="max" baseField="0" baseItem="9" numFmtId="1"/>
  </dataFields>
  <formats count="12">
    <format dxfId="56">
      <pivotArea type="all" dataOnly="0" outline="0" fieldPosition="0"/>
    </format>
    <format dxfId="55">
      <pivotArea outline="0" collapsedLevelsAreSubtotals="1" fieldPosition="0"/>
    </format>
    <format dxfId="54">
      <pivotArea field="0" type="button" dataOnly="0" labelOnly="1" outline="0" axis="axisRow" fieldPosition="0"/>
    </format>
    <format dxfId="53">
      <pivotArea dataOnly="0" labelOnly="1" fieldPosition="0">
        <references count="1">
          <reference field="0" count="0"/>
        </references>
      </pivotArea>
    </format>
    <format dxfId="52">
      <pivotArea dataOnly="0" labelOnly="1" grandRow="1" outline="0" fieldPosition="0"/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0" type="button" dataOnly="0" labelOnly="1" outline="0" axis="axisRow" fieldPosition="0"/>
    </format>
    <format dxfId="8">
      <pivotArea dataOnly="0" labelOnly="1" fieldPosition="0">
        <references count="1">
          <reference field="0" count="0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18">
    <conditionalFormat priority="13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4">
              <x v="0"/>
              <x v="3"/>
              <x v="6"/>
              <x v="11"/>
            </reference>
          </references>
        </pivotArea>
      </pivotAreas>
    </conditionalFormat>
    <conditionalFormat priority="13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4">
              <x v="0"/>
              <x v="3"/>
              <x v="6"/>
              <x v="11"/>
            </reference>
          </references>
        </pivotArea>
      </pivotAreas>
    </conditionalFormat>
    <conditionalFormat priority="138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4">
              <x v="0"/>
              <x v="3"/>
              <x v="6"/>
              <x v="11"/>
            </reference>
          </references>
        </pivotArea>
      </pivotAreas>
    </conditionalFormat>
    <conditionalFormat priority="226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7">
              <x v="1"/>
              <x v="2"/>
              <x v="3"/>
              <x v="4"/>
              <x v="7"/>
              <x v="8"/>
              <x v="12"/>
            </reference>
          </references>
        </pivotArea>
      </pivotAreas>
    </conditionalFormat>
    <conditionalFormat priority="22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7">
              <x v="1"/>
              <x v="2"/>
              <x v="3"/>
              <x v="4"/>
              <x v="7"/>
              <x v="8"/>
              <x v="12"/>
            </reference>
          </references>
        </pivotArea>
      </pivotAreas>
    </conditionalFormat>
    <conditionalFormat priority="22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7">
              <x v="1"/>
              <x v="2"/>
              <x v="3"/>
              <x v="4"/>
              <x v="7"/>
              <x v="8"/>
              <x v="12"/>
            </reference>
          </references>
        </pivotArea>
      </pivotAreas>
    </conditionalFormat>
    <conditionalFormat priority="250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9">
              <x v="1"/>
              <x v="2"/>
              <x v="3"/>
              <x v="4"/>
              <x v="5"/>
              <x v="6"/>
              <x v="8"/>
              <x v="10"/>
              <x v="11"/>
            </reference>
          </references>
        </pivotArea>
      </pivotAreas>
    </conditionalFormat>
    <conditionalFormat priority="25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9">
              <x v="1"/>
              <x v="2"/>
              <x v="3"/>
              <x v="4"/>
              <x v="5"/>
              <x v="6"/>
              <x v="8"/>
              <x v="10"/>
              <x v="11"/>
            </reference>
          </references>
        </pivotArea>
      </pivotAreas>
    </conditionalFormat>
    <conditionalFormat priority="25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9">
              <x v="1"/>
              <x v="2"/>
              <x v="3"/>
              <x v="4"/>
              <x v="5"/>
              <x v="6"/>
              <x v="8"/>
              <x v="10"/>
              <x v="11"/>
            </reference>
          </references>
        </pivotArea>
      </pivotAreas>
    </conditionalFormat>
    <conditionalFormat priority="253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7">
              <x v="1"/>
              <x v="2"/>
              <x v="3"/>
              <x v="4"/>
              <x v="5"/>
              <x v="8"/>
              <x v="10"/>
            </reference>
          </references>
        </pivotArea>
      </pivotAreas>
    </conditionalFormat>
    <conditionalFormat priority="25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7">
              <x v="1"/>
              <x v="2"/>
              <x v="3"/>
              <x v="4"/>
              <x v="5"/>
              <x v="8"/>
              <x v="10"/>
            </reference>
          </references>
        </pivotArea>
      </pivotAreas>
    </conditionalFormat>
    <conditionalFormat priority="25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7">
              <x v="1"/>
              <x v="2"/>
              <x v="3"/>
              <x v="4"/>
              <x v="5"/>
              <x v="8"/>
              <x v="10"/>
            </reference>
          </references>
        </pivotArea>
      </pivotAreas>
    </conditionalFormat>
    <conditionalFormat priority="27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7">
              <x v="0"/>
              <x v="2"/>
              <x v="3"/>
              <x v="4"/>
              <x v="5"/>
              <x v="7"/>
              <x v="8"/>
            </reference>
          </references>
        </pivotArea>
      </pivotAreas>
    </conditionalFormat>
    <conditionalFormat priority="27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7">
              <x v="0"/>
              <x v="2"/>
              <x v="3"/>
              <x v="4"/>
              <x v="5"/>
              <x v="7"/>
              <x v="8"/>
            </reference>
          </references>
        </pivotArea>
      </pivotAreas>
    </conditionalFormat>
    <conditionalFormat priority="27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7">
              <x v="0"/>
              <x v="2"/>
              <x v="3"/>
              <x v="4"/>
              <x v="5"/>
              <x v="7"/>
              <x v="8"/>
            </reference>
          </references>
        </pivotArea>
      </pivotAreas>
    </conditionalFormat>
    <conditionalFormat priority="28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8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  <conditionalFormat priority="28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8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  <conditionalFormat priority="28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8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ela dinâmica7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M.I - Suporte Campo">
  <location ref="L2:O48" firstHeaderRow="0" firstDataRow="1" firstDataCol="1"/>
  <pivotFields count="12">
    <pivotField showAll="0"/>
    <pivotField axis="axisRow" dataField="1" showAll="0" sortType="descending">
      <items count="161">
        <item m="1" x="115"/>
        <item m="1" x="99"/>
        <item m="1" x="89"/>
        <item x="22"/>
        <item m="1" x="135"/>
        <item m="1" x="78"/>
        <item m="1" x="81"/>
        <item m="1" x="158"/>
        <item m="1" x="145"/>
        <item m="1" x="109"/>
        <item m="1" x="126"/>
        <item m="1" x="96"/>
        <item m="1" x="137"/>
        <item m="1" x="69"/>
        <item m="1" x="142"/>
        <item m="1" x="55"/>
        <item m="1" x="77"/>
        <item m="1" x="88"/>
        <item m="1" x="112"/>
        <item m="1" x="121"/>
        <item m="1" x="104"/>
        <item m="1" x="80"/>
        <item m="1" x="106"/>
        <item m="1" x="125"/>
        <item m="1" x="72"/>
        <item m="1" x="130"/>
        <item m="1" x="91"/>
        <item x="40"/>
        <item x="37"/>
        <item x="31"/>
        <item m="1" x="67"/>
        <item m="1" x="95"/>
        <item x="25"/>
        <item m="1" x="143"/>
        <item m="1" x="119"/>
        <item m="1" x="123"/>
        <item m="1" x="128"/>
        <item m="1" x="60"/>
        <item m="1" x="113"/>
        <item m="1" x="149"/>
        <item m="1" x="133"/>
        <item m="1" x="148"/>
        <item x="28"/>
        <item x="18"/>
        <item m="1" x="76"/>
        <item m="1" x="90"/>
        <item m="1" x="45"/>
        <item x="5"/>
        <item m="1" x="110"/>
        <item x="10"/>
        <item x="38"/>
        <item m="1" x="131"/>
        <item x="6"/>
        <item m="1" x="66"/>
        <item x="3"/>
        <item x="19"/>
        <item x="17"/>
        <item x="9"/>
        <item x="2"/>
        <item x="0"/>
        <item x="12"/>
        <item m="1" x="102"/>
        <item m="1" x="93"/>
        <item x="8"/>
        <item x="14"/>
        <item x="11"/>
        <item x="21"/>
        <item m="1" x="154"/>
        <item x="23"/>
        <item m="1" x="152"/>
        <item x="41"/>
        <item x="42"/>
        <item x="30"/>
        <item x="1"/>
        <item x="29"/>
        <item m="1" x="120"/>
        <item x="4"/>
        <item x="43"/>
        <item x="36"/>
        <item m="1" x="151"/>
        <item x="35"/>
        <item m="1" x="73"/>
        <item m="1" x="87"/>
        <item m="1" x="61"/>
        <item x="39"/>
        <item m="1" x="46"/>
        <item m="1" x="101"/>
        <item m="1" x="117"/>
        <item m="1" x="49"/>
        <item m="1" x="64"/>
        <item m="1" x="116"/>
        <item m="1" x="98"/>
        <item m="1" x="52"/>
        <item m="1" x="156"/>
        <item m="1" x="84"/>
        <item x="32"/>
        <item x="16"/>
        <item m="1" x="157"/>
        <item m="1" x="53"/>
        <item m="1" x="86"/>
        <item m="1" x="139"/>
        <item m="1" x="114"/>
        <item x="44"/>
        <item m="1" x="83"/>
        <item m="1" x="138"/>
        <item m="1" x="71"/>
        <item x="34"/>
        <item m="1" x="51"/>
        <item m="1" x="105"/>
        <item m="1" x="134"/>
        <item m="1" x="118"/>
        <item m="1" x="141"/>
        <item m="1" x="107"/>
        <item m="1" x="144"/>
        <item m="1" x="100"/>
        <item m="1" x="70"/>
        <item m="1" x="108"/>
        <item m="1" x="97"/>
        <item m="1" x="159"/>
        <item m="1" x="122"/>
        <item m="1" x="92"/>
        <item m="1" x="63"/>
        <item m="1" x="68"/>
        <item m="1" x="124"/>
        <item m="1" x="74"/>
        <item m="1" x="54"/>
        <item m="1" x="94"/>
        <item m="1" x="57"/>
        <item m="1" x="79"/>
        <item m="1" x="146"/>
        <item x="27"/>
        <item x="13"/>
        <item m="1" x="140"/>
        <item m="1" x="153"/>
        <item m="1" x="65"/>
        <item m="1" x="127"/>
        <item m="1" x="132"/>
        <item m="1" x="111"/>
        <item m="1" x="85"/>
        <item m="1" x="82"/>
        <item m="1" x="48"/>
        <item m="1" x="75"/>
        <item m="1" x="150"/>
        <item m="1" x="147"/>
        <item m="1" x="62"/>
        <item m="1" x="58"/>
        <item m="1" x="50"/>
        <item m="1" x="136"/>
        <item m="1" x="129"/>
        <item m="1" x="155"/>
        <item x="7"/>
        <item x="15"/>
        <item x="33"/>
        <item m="1" x="47"/>
        <item m="1" x="103"/>
        <item m="1" x="56"/>
        <item x="20"/>
        <item m="1" x="59"/>
        <item x="24"/>
        <item x="2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umFmtId="22" showAll="0"/>
    <pivotField showAll="0"/>
    <pivotField showAll="0"/>
    <pivotField numFmtId="22" showAll="0"/>
    <pivotField showAll="0"/>
    <pivotField showAll="0"/>
    <pivotField showAll="0"/>
    <pivotField dataField="1" numFmtId="22" showAll="0"/>
    <pivotField dataField="1" numFmtId="22" showAll="0"/>
  </pivotFields>
  <rowFields count="1">
    <field x="1"/>
  </rowFields>
  <rowItems count="46">
    <i>
      <x v="52"/>
    </i>
    <i>
      <x v="59"/>
    </i>
    <i>
      <x v="65"/>
    </i>
    <i>
      <x v="102"/>
    </i>
    <i>
      <x v="73"/>
    </i>
    <i>
      <x v="29"/>
    </i>
    <i>
      <x v="58"/>
    </i>
    <i>
      <x v="77"/>
    </i>
    <i>
      <x v="49"/>
    </i>
    <i>
      <x v="80"/>
    </i>
    <i>
      <x v="152"/>
    </i>
    <i>
      <x v="68"/>
    </i>
    <i>
      <x v="66"/>
    </i>
    <i>
      <x v="63"/>
    </i>
    <i>
      <x v="55"/>
    </i>
    <i>
      <x v="71"/>
    </i>
    <i>
      <x v="50"/>
    </i>
    <i>
      <x v="57"/>
    </i>
    <i>
      <x v="70"/>
    </i>
    <i>
      <x v="95"/>
    </i>
    <i>
      <x v="60"/>
    </i>
    <i>
      <x v="56"/>
    </i>
    <i>
      <x v="27"/>
    </i>
    <i>
      <x v="84"/>
    </i>
    <i>
      <x v="156"/>
    </i>
    <i>
      <x v="28"/>
    </i>
    <i>
      <x v="74"/>
    </i>
    <i>
      <x v="78"/>
    </i>
    <i>
      <x v="54"/>
    </i>
    <i>
      <x v="150"/>
    </i>
    <i>
      <x v="43"/>
    </i>
    <i>
      <x v="32"/>
    </i>
    <i>
      <x v="159"/>
    </i>
    <i>
      <x v="47"/>
    </i>
    <i>
      <x v="131"/>
    </i>
    <i>
      <x v="76"/>
    </i>
    <i>
      <x v="106"/>
    </i>
    <i>
      <x v="64"/>
    </i>
    <i>
      <x v="72"/>
    </i>
    <i>
      <x v="42"/>
    </i>
    <i>
      <x v="3"/>
    </i>
    <i>
      <x v="130"/>
    </i>
    <i>
      <x v="158"/>
    </i>
    <i>
      <x v="96"/>
    </i>
    <i>
      <x v="15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ntagem de Título" fld="1" subtotal="count" baseField="0" baseItem="0"/>
    <dataField name="Máx de Aging" fld="10" subtotal="max" baseField="1" baseItem="0" numFmtId="1"/>
    <dataField name="Máx de Aging Mod" fld="11" subtotal="max" baseField="1" baseItem="0" numFmtId="1"/>
  </dataFields>
  <formats count="13">
    <format dxfId="63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field="1" type="button" dataOnly="0" labelOnly="1" outline="0" axis="axisRow" fieldPosition="0"/>
    </format>
    <format dxfId="59">
      <pivotArea dataOnly="0" labelOnly="1" fieldPosition="0">
        <references count="1">
          <reference field="1" count="0"/>
        </references>
      </pivotArea>
    </format>
    <format dxfId="58">
      <pivotArea dataOnly="0" labelOnly="1" grandRow="1" outline="0" fieldPosition="0"/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54">
    <conditionalFormat priority="3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7">
              <x v="3"/>
              <x v="27"/>
              <x v="28"/>
              <x v="29"/>
              <x v="32"/>
              <x v="42"/>
              <x v="43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7"/>
              <x v="68"/>
              <x v="70"/>
              <x v="71"/>
              <x v="72"/>
              <x v="73"/>
              <x v="74"/>
              <x v="76"/>
              <x v="77"/>
              <x v="78"/>
              <x v="80"/>
              <x v="84"/>
              <x v="93"/>
              <x v="95"/>
              <x v="102"/>
              <x v="106"/>
              <x v="130"/>
              <x v="131"/>
              <x v="150"/>
              <x v="152"/>
              <x v="156"/>
              <x v="157"/>
              <x v="158"/>
              <x v="159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7">
              <x v="3"/>
              <x v="27"/>
              <x v="28"/>
              <x v="29"/>
              <x v="32"/>
              <x v="42"/>
              <x v="43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7"/>
              <x v="68"/>
              <x v="70"/>
              <x v="71"/>
              <x v="72"/>
              <x v="73"/>
              <x v="74"/>
              <x v="76"/>
              <x v="77"/>
              <x v="78"/>
              <x v="80"/>
              <x v="84"/>
              <x v="93"/>
              <x v="95"/>
              <x v="102"/>
              <x v="106"/>
              <x v="130"/>
              <x v="131"/>
              <x v="150"/>
              <x v="152"/>
              <x v="156"/>
              <x v="157"/>
              <x v="158"/>
              <x v="159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7">
              <x v="3"/>
              <x v="27"/>
              <x v="28"/>
              <x v="29"/>
              <x v="32"/>
              <x v="42"/>
              <x v="43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7"/>
              <x v="68"/>
              <x v="70"/>
              <x v="71"/>
              <x v="72"/>
              <x v="73"/>
              <x v="74"/>
              <x v="76"/>
              <x v="77"/>
              <x v="78"/>
              <x v="80"/>
              <x v="84"/>
              <x v="93"/>
              <x v="95"/>
              <x v="102"/>
              <x v="106"/>
              <x v="130"/>
              <x v="131"/>
              <x v="150"/>
              <x v="152"/>
              <x v="156"/>
              <x v="157"/>
              <x v="158"/>
              <x v="159"/>
            </reference>
          </references>
        </pivotArea>
      </pivotAreas>
    </conditionalFormat>
    <conditionalFormat priority="1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39">
              <x v="2"/>
              <x v="13"/>
              <x v="27"/>
              <x v="28"/>
              <x v="29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8"/>
              <x v="70"/>
              <x v="71"/>
              <x v="72"/>
              <x v="73"/>
              <x v="74"/>
              <x v="76"/>
              <x v="77"/>
              <x v="78"/>
              <x v="80"/>
              <x v="84"/>
              <x v="93"/>
              <x v="102"/>
              <x v="130"/>
              <x v="131"/>
              <x v="150"/>
              <x v="152"/>
              <x v="156"/>
            </reference>
          </references>
        </pivotArea>
      </pivotAreas>
    </conditionalFormat>
    <conditionalFormat priority="1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39">
              <x v="2"/>
              <x v="13"/>
              <x v="27"/>
              <x v="28"/>
              <x v="29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8"/>
              <x v="70"/>
              <x v="71"/>
              <x v="72"/>
              <x v="73"/>
              <x v="74"/>
              <x v="76"/>
              <x v="77"/>
              <x v="78"/>
              <x v="80"/>
              <x v="84"/>
              <x v="93"/>
              <x v="102"/>
              <x v="130"/>
              <x v="131"/>
              <x v="150"/>
              <x v="152"/>
              <x v="156"/>
            </reference>
          </references>
        </pivotArea>
      </pivotAreas>
    </conditionalFormat>
    <conditionalFormat priority="1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39">
              <x v="2"/>
              <x v="13"/>
              <x v="27"/>
              <x v="28"/>
              <x v="29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8"/>
              <x v="70"/>
              <x v="71"/>
              <x v="72"/>
              <x v="73"/>
              <x v="74"/>
              <x v="76"/>
              <x v="77"/>
              <x v="78"/>
              <x v="80"/>
              <x v="84"/>
              <x v="93"/>
              <x v="102"/>
              <x v="130"/>
              <x v="131"/>
              <x v="150"/>
              <x v="152"/>
              <x v="156"/>
            </reference>
          </references>
        </pivotArea>
      </pivotAreas>
    </conditionalFormat>
    <conditionalFormat priority="21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1">
              <x v="2"/>
              <x v="3"/>
              <x v="27"/>
              <x v="28"/>
              <x v="29"/>
              <x v="32"/>
              <x v="47"/>
              <x v="49"/>
              <x v="50"/>
              <x v="51"/>
              <x v="52"/>
              <x v="55"/>
              <x v="57"/>
              <x v="58"/>
              <x v="59"/>
              <x v="60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3"/>
              <x v="74"/>
              <x v="77"/>
              <x v="78"/>
              <x v="80"/>
              <x v="84"/>
              <x v="93"/>
              <x v="102"/>
              <x v="130"/>
              <x v="131"/>
              <x v="150"/>
              <x v="152"/>
              <x v="153"/>
              <x v="154"/>
              <x v="155"/>
            </reference>
          </references>
        </pivotArea>
      </pivotAreas>
    </conditionalFormat>
    <conditionalFormat priority="2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1">
              <x v="2"/>
              <x v="3"/>
              <x v="27"/>
              <x v="28"/>
              <x v="29"/>
              <x v="32"/>
              <x v="47"/>
              <x v="49"/>
              <x v="50"/>
              <x v="51"/>
              <x v="52"/>
              <x v="55"/>
              <x v="57"/>
              <x v="58"/>
              <x v="59"/>
              <x v="60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3"/>
              <x v="74"/>
              <x v="77"/>
              <x v="78"/>
              <x v="80"/>
              <x v="84"/>
              <x v="93"/>
              <x v="102"/>
              <x v="130"/>
              <x v="131"/>
              <x v="150"/>
              <x v="152"/>
              <x v="153"/>
              <x v="154"/>
              <x v="155"/>
            </reference>
          </references>
        </pivotArea>
      </pivotAreas>
    </conditionalFormat>
    <conditionalFormat priority="2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1">
              <x v="2"/>
              <x v="3"/>
              <x v="27"/>
              <x v="28"/>
              <x v="29"/>
              <x v="32"/>
              <x v="47"/>
              <x v="49"/>
              <x v="50"/>
              <x v="51"/>
              <x v="52"/>
              <x v="55"/>
              <x v="57"/>
              <x v="58"/>
              <x v="59"/>
              <x v="60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3"/>
              <x v="74"/>
              <x v="77"/>
              <x v="78"/>
              <x v="80"/>
              <x v="84"/>
              <x v="93"/>
              <x v="102"/>
              <x v="130"/>
              <x v="131"/>
              <x v="150"/>
              <x v="152"/>
              <x v="153"/>
              <x v="154"/>
              <x v="155"/>
            </reference>
          </references>
        </pivotArea>
      </pivotAreas>
    </conditionalFormat>
    <conditionalFormat priority="30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4">
              <x v="3"/>
              <x v="7"/>
              <x v="9"/>
              <x v="27"/>
              <x v="28"/>
              <x v="29"/>
              <x v="32"/>
              <x v="47"/>
              <x v="49"/>
              <x v="50"/>
              <x v="51"/>
              <x v="52"/>
              <x v="53"/>
              <x v="55"/>
              <x v="56"/>
              <x v="57"/>
              <x v="58"/>
              <x v="59"/>
              <x v="60"/>
              <x v="62"/>
              <x v="63"/>
              <x v="65"/>
              <x v="66"/>
              <x v="67"/>
              <x v="68"/>
              <x v="69"/>
              <x v="70"/>
              <x v="71"/>
              <x v="73"/>
              <x v="74"/>
              <x v="76"/>
              <x v="77"/>
              <x v="78"/>
              <x v="80"/>
              <x v="84"/>
              <x v="85"/>
              <x v="93"/>
              <x v="100"/>
              <x v="102"/>
              <x v="106"/>
              <x v="130"/>
              <x v="131"/>
              <x v="150"/>
              <x v="152"/>
            </reference>
          </references>
        </pivotArea>
      </pivotAreas>
    </conditionalFormat>
    <conditionalFormat priority="3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4">
              <x v="3"/>
              <x v="7"/>
              <x v="9"/>
              <x v="27"/>
              <x v="28"/>
              <x v="29"/>
              <x v="32"/>
              <x v="47"/>
              <x v="49"/>
              <x v="50"/>
              <x v="51"/>
              <x v="52"/>
              <x v="53"/>
              <x v="55"/>
              <x v="56"/>
              <x v="57"/>
              <x v="58"/>
              <x v="59"/>
              <x v="60"/>
              <x v="62"/>
              <x v="63"/>
              <x v="65"/>
              <x v="66"/>
              <x v="67"/>
              <x v="68"/>
              <x v="69"/>
              <x v="70"/>
              <x v="71"/>
              <x v="73"/>
              <x v="74"/>
              <x v="76"/>
              <x v="77"/>
              <x v="78"/>
              <x v="80"/>
              <x v="84"/>
              <x v="85"/>
              <x v="93"/>
              <x v="100"/>
              <x v="102"/>
              <x v="106"/>
              <x v="130"/>
              <x v="131"/>
              <x v="150"/>
              <x v="152"/>
            </reference>
          </references>
        </pivotArea>
      </pivotAreas>
    </conditionalFormat>
    <conditionalFormat priority="3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4">
              <x v="3"/>
              <x v="7"/>
              <x v="9"/>
              <x v="27"/>
              <x v="28"/>
              <x v="29"/>
              <x v="32"/>
              <x v="47"/>
              <x v="49"/>
              <x v="50"/>
              <x v="51"/>
              <x v="52"/>
              <x v="53"/>
              <x v="55"/>
              <x v="56"/>
              <x v="57"/>
              <x v="58"/>
              <x v="59"/>
              <x v="60"/>
              <x v="62"/>
              <x v="63"/>
              <x v="65"/>
              <x v="66"/>
              <x v="67"/>
              <x v="68"/>
              <x v="69"/>
              <x v="70"/>
              <x v="71"/>
              <x v="73"/>
              <x v="74"/>
              <x v="76"/>
              <x v="77"/>
              <x v="78"/>
              <x v="80"/>
              <x v="84"/>
              <x v="85"/>
              <x v="93"/>
              <x v="100"/>
              <x v="102"/>
              <x v="106"/>
              <x v="130"/>
              <x v="131"/>
              <x v="150"/>
              <x v="152"/>
            </reference>
          </references>
        </pivotArea>
      </pivotAreas>
    </conditionalFormat>
    <conditionalFormat priority="36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6">
              <x v="3"/>
              <x v="7"/>
              <x v="9"/>
              <x v="28"/>
              <x v="29"/>
              <x v="42"/>
              <x v="43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3"/>
              <x v="74"/>
              <x v="76"/>
              <x v="77"/>
              <x v="78"/>
              <x v="81"/>
              <x v="83"/>
              <x v="84"/>
              <x v="85"/>
              <x v="88"/>
              <x v="93"/>
              <x v="102"/>
              <x v="105"/>
              <x v="106"/>
              <x v="114"/>
              <x v="126"/>
              <x v="130"/>
              <x v="150"/>
              <x v="151"/>
            </reference>
          </references>
        </pivotArea>
      </pivotAreas>
    </conditionalFormat>
    <conditionalFormat priority="3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6">
              <x v="3"/>
              <x v="7"/>
              <x v="9"/>
              <x v="28"/>
              <x v="29"/>
              <x v="42"/>
              <x v="43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3"/>
              <x v="74"/>
              <x v="76"/>
              <x v="77"/>
              <x v="78"/>
              <x v="81"/>
              <x v="83"/>
              <x v="84"/>
              <x v="85"/>
              <x v="88"/>
              <x v="93"/>
              <x v="102"/>
              <x v="105"/>
              <x v="106"/>
              <x v="114"/>
              <x v="126"/>
              <x v="130"/>
              <x v="150"/>
              <x v="151"/>
            </reference>
          </references>
        </pivotArea>
      </pivotAreas>
    </conditionalFormat>
    <conditionalFormat priority="3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6">
              <x v="3"/>
              <x v="7"/>
              <x v="9"/>
              <x v="28"/>
              <x v="29"/>
              <x v="42"/>
              <x v="43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3"/>
              <x v="74"/>
              <x v="76"/>
              <x v="77"/>
              <x v="78"/>
              <x v="81"/>
              <x v="83"/>
              <x v="84"/>
              <x v="85"/>
              <x v="88"/>
              <x v="93"/>
              <x v="102"/>
              <x v="105"/>
              <x v="106"/>
              <x v="114"/>
              <x v="126"/>
              <x v="130"/>
              <x v="150"/>
              <x v="151"/>
            </reference>
          </references>
        </pivotArea>
      </pivotAreas>
    </conditionalFormat>
    <conditionalFormat priority="42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7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90"/>
              <x v="93"/>
              <x v="94"/>
              <x v="99"/>
              <x v="102"/>
              <x v="103"/>
              <x v="105"/>
              <x v="106"/>
              <x v="114"/>
              <x v="126"/>
              <x v="148"/>
              <x v="149"/>
            </reference>
          </references>
        </pivotArea>
      </pivotAreas>
    </conditionalFormat>
    <conditionalFormat priority="4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7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90"/>
              <x v="93"/>
              <x v="94"/>
              <x v="99"/>
              <x v="102"/>
              <x v="103"/>
              <x v="105"/>
              <x v="106"/>
              <x v="114"/>
              <x v="126"/>
              <x v="148"/>
              <x v="149"/>
            </reference>
          </references>
        </pivotArea>
      </pivotAreas>
    </conditionalFormat>
    <conditionalFormat priority="4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7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90"/>
              <x v="93"/>
              <x v="94"/>
              <x v="99"/>
              <x v="102"/>
              <x v="103"/>
              <x v="105"/>
              <x v="106"/>
              <x v="114"/>
              <x v="126"/>
              <x v="148"/>
              <x v="149"/>
            </reference>
          </references>
        </pivotArea>
      </pivotAreas>
    </conditionalFormat>
    <conditionalFormat priority="51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9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89"/>
              <x v="90"/>
              <x v="93"/>
              <x v="94"/>
              <x v="96"/>
              <x v="99"/>
              <x v="102"/>
              <x v="103"/>
              <x v="105"/>
              <x v="106"/>
              <x v="114"/>
              <x v="118"/>
              <x v="126"/>
              <x v="130"/>
              <x v="148"/>
            </reference>
          </references>
        </pivotArea>
      </pivotAreas>
    </conditionalFormat>
    <conditionalFormat priority="5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9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89"/>
              <x v="90"/>
              <x v="93"/>
              <x v="94"/>
              <x v="96"/>
              <x v="99"/>
              <x v="102"/>
              <x v="103"/>
              <x v="105"/>
              <x v="106"/>
              <x v="114"/>
              <x v="118"/>
              <x v="126"/>
              <x v="130"/>
              <x v="148"/>
            </reference>
          </references>
        </pivotArea>
      </pivotAreas>
    </conditionalFormat>
    <conditionalFormat priority="5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9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89"/>
              <x v="90"/>
              <x v="93"/>
              <x v="94"/>
              <x v="96"/>
              <x v="99"/>
              <x v="102"/>
              <x v="103"/>
              <x v="105"/>
              <x v="106"/>
              <x v="114"/>
              <x v="118"/>
              <x v="126"/>
              <x v="130"/>
              <x v="148"/>
            </reference>
          </references>
        </pivotArea>
      </pivotAreas>
    </conditionalFormat>
    <conditionalFormat priority="6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8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6"/>
              <x v="37"/>
              <x v="39"/>
              <x v="40"/>
              <x v="43"/>
              <x v="44"/>
              <x v="45"/>
              <x v="60"/>
              <x v="61"/>
              <x v="66"/>
              <x v="70"/>
              <x v="90"/>
              <x v="94"/>
              <x v="95"/>
              <x v="105"/>
              <x v="109"/>
              <x v="110"/>
              <x v="111"/>
              <x v="114"/>
              <x v="115"/>
              <x v="116"/>
              <x v="118"/>
              <x v="119"/>
              <x v="120"/>
              <x v="121"/>
              <x v="125"/>
              <x v="132"/>
              <x v="133"/>
              <x v="134"/>
              <x v="136"/>
              <x v="137"/>
              <x v="139"/>
              <x v="140"/>
              <x v="141"/>
              <x v="142"/>
              <x v="143"/>
              <x v="144"/>
              <x v="145"/>
              <x v="146"/>
              <x v="147"/>
            </reference>
          </references>
        </pivotArea>
      </pivotAreas>
    </conditionalFormat>
    <conditionalFormat priority="6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8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6"/>
              <x v="37"/>
              <x v="39"/>
              <x v="40"/>
              <x v="43"/>
              <x v="44"/>
              <x v="45"/>
              <x v="60"/>
              <x v="61"/>
              <x v="66"/>
              <x v="70"/>
              <x v="90"/>
              <x v="94"/>
              <x v="95"/>
              <x v="105"/>
              <x v="109"/>
              <x v="110"/>
              <x v="111"/>
              <x v="114"/>
              <x v="115"/>
              <x v="116"/>
              <x v="118"/>
              <x v="119"/>
              <x v="120"/>
              <x v="121"/>
              <x v="125"/>
              <x v="132"/>
              <x v="133"/>
              <x v="134"/>
              <x v="136"/>
              <x v="137"/>
              <x v="139"/>
              <x v="140"/>
              <x v="141"/>
              <x v="142"/>
              <x v="143"/>
              <x v="144"/>
              <x v="145"/>
              <x v="146"/>
              <x v="147"/>
            </reference>
          </references>
        </pivotArea>
      </pivotAreas>
    </conditionalFormat>
    <conditionalFormat priority="6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8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6"/>
              <x v="37"/>
              <x v="39"/>
              <x v="40"/>
              <x v="43"/>
              <x v="44"/>
              <x v="45"/>
              <x v="60"/>
              <x v="61"/>
              <x v="66"/>
              <x v="70"/>
              <x v="90"/>
              <x v="94"/>
              <x v="95"/>
              <x v="105"/>
              <x v="109"/>
              <x v="110"/>
              <x v="111"/>
              <x v="114"/>
              <x v="115"/>
              <x v="116"/>
              <x v="118"/>
              <x v="119"/>
              <x v="120"/>
              <x v="121"/>
              <x v="125"/>
              <x v="132"/>
              <x v="133"/>
              <x v="134"/>
              <x v="136"/>
              <x v="137"/>
              <x v="139"/>
              <x v="140"/>
              <x v="141"/>
              <x v="142"/>
              <x v="143"/>
              <x v="144"/>
              <x v="145"/>
              <x v="146"/>
              <x v="147"/>
            </reference>
          </references>
        </pivotArea>
      </pivotAreas>
    </conditionalFormat>
    <conditionalFormat priority="7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0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3"/>
              <x v="24"/>
              <x v="26"/>
              <x v="28"/>
              <x v="29"/>
              <x v="30"/>
              <x v="32"/>
              <x v="33"/>
              <x v="34"/>
              <x v="36"/>
              <x v="39"/>
              <x v="40"/>
              <x v="43"/>
              <x v="44"/>
              <x v="45"/>
              <x v="49"/>
              <x v="60"/>
              <x v="61"/>
              <x v="66"/>
              <x v="70"/>
              <x v="90"/>
              <x v="94"/>
              <x v="99"/>
              <x v="105"/>
              <x v="108"/>
              <x v="109"/>
              <x v="110"/>
              <x v="111"/>
              <x v="115"/>
              <x v="116"/>
              <x v="118"/>
              <x v="119"/>
              <x v="120"/>
              <x v="124"/>
              <x v="125"/>
              <x v="128"/>
              <x v="132"/>
              <x v="133"/>
              <x v="134"/>
              <x v="135"/>
              <x v="136"/>
              <x v="137"/>
              <x v="138"/>
              <x v="139"/>
            </reference>
          </references>
        </pivotArea>
      </pivotAreas>
    </conditionalFormat>
    <conditionalFormat priority="75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0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3"/>
              <x v="24"/>
              <x v="26"/>
              <x v="28"/>
              <x v="29"/>
              <x v="30"/>
              <x v="32"/>
              <x v="33"/>
              <x v="34"/>
              <x v="36"/>
              <x v="39"/>
              <x v="40"/>
              <x v="43"/>
              <x v="44"/>
              <x v="45"/>
              <x v="49"/>
              <x v="60"/>
              <x v="61"/>
              <x v="66"/>
              <x v="70"/>
              <x v="90"/>
              <x v="94"/>
              <x v="99"/>
              <x v="105"/>
              <x v="108"/>
              <x v="109"/>
              <x v="110"/>
              <x v="111"/>
              <x v="115"/>
              <x v="116"/>
              <x v="118"/>
              <x v="119"/>
              <x v="120"/>
              <x v="124"/>
              <x v="125"/>
              <x v="128"/>
              <x v="132"/>
              <x v="133"/>
              <x v="134"/>
              <x v="135"/>
              <x v="136"/>
              <x v="137"/>
              <x v="138"/>
              <x v="139"/>
            </reference>
          </references>
        </pivotArea>
      </pivotAreas>
    </conditionalFormat>
    <conditionalFormat priority="76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0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3"/>
              <x v="24"/>
              <x v="26"/>
              <x v="28"/>
              <x v="29"/>
              <x v="30"/>
              <x v="32"/>
              <x v="33"/>
              <x v="34"/>
              <x v="36"/>
              <x v="39"/>
              <x v="40"/>
              <x v="43"/>
              <x v="44"/>
              <x v="45"/>
              <x v="49"/>
              <x v="60"/>
              <x v="61"/>
              <x v="66"/>
              <x v="70"/>
              <x v="90"/>
              <x v="94"/>
              <x v="99"/>
              <x v="105"/>
              <x v="108"/>
              <x v="109"/>
              <x v="110"/>
              <x v="111"/>
              <x v="115"/>
              <x v="116"/>
              <x v="118"/>
              <x v="119"/>
              <x v="120"/>
              <x v="124"/>
              <x v="125"/>
              <x v="128"/>
              <x v="132"/>
              <x v="133"/>
              <x v="134"/>
              <x v="135"/>
              <x v="136"/>
              <x v="137"/>
              <x v="138"/>
              <x v="139"/>
            </reference>
          </references>
        </pivotArea>
      </pivotAreas>
    </conditionalFormat>
    <conditionalFormat priority="8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6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89"/>
              <x v="90"/>
              <x v="93"/>
              <x v="94"/>
              <x v="96"/>
              <x v="99"/>
              <x v="103"/>
              <x v="105"/>
              <x v="106"/>
              <x v="114"/>
              <x v="130"/>
              <x v="131"/>
            </reference>
          </references>
        </pivotArea>
      </pivotAreas>
    </conditionalFormat>
    <conditionalFormat priority="8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6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89"/>
              <x v="90"/>
              <x v="93"/>
              <x v="94"/>
              <x v="96"/>
              <x v="99"/>
              <x v="103"/>
              <x v="105"/>
              <x v="106"/>
              <x v="114"/>
              <x v="130"/>
              <x v="131"/>
            </reference>
          </references>
        </pivotArea>
      </pivotAreas>
    </conditionalFormat>
    <conditionalFormat priority="8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6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89"/>
              <x v="90"/>
              <x v="93"/>
              <x v="94"/>
              <x v="96"/>
              <x v="99"/>
              <x v="103"/>
              <x v="105"/>
              <x v="106"/>
              <x v="114"/>
              <x v="130"/>
              <x v="131"/>
            </reference>
          </references>
        </pivotArea>
      </pivotAreas>
    </conditionalFormat>
    <conditionalFormat priority="10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9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2"/>
              <x v="63"/>
              <x v="65"/>
              <x v="66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3"/>
              <x v="105"/>
              <x v="106"/>
              <x v="130"/>
            </reference>
          </references>
        </pivotArea>
      </pivotAreas>
    </conditionalFormat>
    <conditionalFormat priority="10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9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2"/>
              <x v="63"/>
              <x v="65"/>
              <x v="66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3"/>
              <x v="105"/>
              <x v="106"/>
              <x v="130"/>
            </reference>
          </references>
        </pivotArea>
      </pivotAreas>
    </conditionalFormat>
    <conditionalFormat priority="10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9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2"/>
              <x v="63"/>
              <x v="65"/>
              <x v="66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3"/>
              <x v="105"/>
              <x v="106"/>
              <x v="130"/>
            </reference>
          </references>
        </pivotArea>
      </pivotAreas>
    </conditionalFormat>
    <conditionalFormat priority="109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3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9"/>
              <x v="60"/>
              <x v="61"/>
              <x v="76"/>
              <x v="79"/>
              <x v="90"/>
              <x v="94"/>
              <x v="99"/>
              <x v="107"/>
              <x v="108"/>
              <x v="109"/>
              <x v="110"/>
              <x v="111"/>
              <x v="112"/>
              <x v="113"/>
              <x v="11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</reference>
          </references>
        </pivotArea>
      </pivotAreas>
    </conditionalFormat>
    <conditionalFormat priority="110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3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9"/>
              <x v="60"/>
              <x v="61"/>
              <x v="76"/>
              <x v="79"/>
              <x v="90"/>
              <x v="94"/>
              <x v="99"/>
              <x v="107"/>
              <x v="108"/>
              <x v="109"/>
              <x v="110"/>
              <x v="111"/>
              <x v="112"/>
              <x v="113"/>
              <x v="11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</reference>
          </references>
        </pivotArea>
      </pivotAreas>
    </conditionalFormat>
    <conditionalFormat priority="11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3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9"/>
              <x v="60"/>
              <x v="61"/>
              <x v="76"/>
              <x v="79"/>
              <x v="90"/>
              <x v="94"/>
              <x v="99"/>
              <x v="107"/>
              <x v="108"/>
              <x v="109"/>
              <x v="110"/>
              <x v="111"/>
              <x v="112"/>
              <x v="113"/>
              <x v="11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</reference>
          </references>
        </pivotArea>
      </pivotAreas>
    </conditionalFormat>
    <conditionalFormat priority="121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1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5"/>
              <x v="66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0"/>
              <x v="103"/>
              <x v="105"/>
              <x v="106"/>
            </reference>
          </references>
        </pivotArea>
      </pivotAreas>
    </conditionalFormat>
    <conditionalFormat priority="12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1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5"/>
              <x v="66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0"/>
              <x v="103"/>
              <x v="105"/>
              <x v="106"/>
            </reference>
          </references>
        </pivotArea>
      </pivotAreas>
    </conditionalFormat>
    <conditionalFormat priority="12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1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5"/>
              <x v="66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0"/>
              <x v="103"/>
              <x v="105"/>
              <x v="106"/>
            </reference>
          </references>
        </pivotArea>
      </pivotAreas>
    </conditionalFormat>
    <conditionalFormat priority="130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2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0"/>
              <x v="102"/>
              <x v="103"/>
              <x v="105"/>
            </reference>
          </references>
        </pivotArea>
      </pivotAreas>
    </conditionalFormat>
    <conditionalFormat priority="13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2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0"/>
              <x v="102"/>
              <x v="103"/>
              <x v="105"/>
            </reference>
          </references>
        </pivotArea>
      </pivotAreas>
    </conditionalFormat>
    <conditionalFormat priority="13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2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0"/>
              <x v="102"/>
              <x v="103"/>
              <x v="105"/>
            </reference>
          </references>
        </pivotArea>
      </pivotAreas>
    </conditionalFormat>
    <conditionalFormat priority="151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6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</reference>
          </references>
        </pivotArea>
      </pivotAreas>
    </conditionalFormat>
    <conditionalFormat priority="15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6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</reference>
          </references>
        </pivotArea>
      </pivotAreas>
    </conditionalFormat>
    <conditionalFormat priority="15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6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</reference>
          </references>
        </pivotArea>
      </pivotAreas>
    </conditionalFormat>
    <conditionalFormat priority="15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5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8"/>
              <x v="99"/>
              <x v="100"/>
              <x v="101"/>
              <x v="102"/>
              <x v="103"/>
            </reference>
          </references>
        </pivotArea>
      </pivotAreas>
    </conditionalFormat>
    <conditionalFormat priority="158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5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8"/>
              <x v="99"/>
              <x v="100"/>
              <x v="101"/>
              <x v="102"/>
              <x v="103"/>
            </reference>
          </references>
        </pivotArea>
      </pivotAreas>
    </conditionalFormat>
    <conditionalFormat priority="15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5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8"/>
              <x v="99"/>
              <x v="100"/>
              <x v="101"/>
              <x v="102"/>
              <x v="103"/>
            </reference>
          </references>
        </pivotArea>
      </pivotAreas>
    </conditionalFormat>
    <conditionalFormat priority="166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6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</reference>
          </references>
        </pivotArea>
      </pivotAreas>
    </conditionalFormat>
    <conditionalFormat priority="16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6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</reference>
          </references>
        </pivotArea>
      </pivotAreas>
    </conditionalFormat>
    <conditionalFormat priority="16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6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</reference>
          </references>
        </pivotArea>
      </pivotAreas>
    </conditionalFormat>
    <conditionalFormat priority="172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</reference>
          </references>
        </pivotArea>
      </pivotAreas>
    </conditionalFormat>
    <conditionalFormat priority="17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</reference>
          </references>
        </pivotArea>
      </pivotAreas>
    </conditionalFormat>
    <conditionalFormat priority="17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1:E53" totalsRowShown="0" headerRowDxfId="38" dataDxfId="37" headerRowBorderDxfId="72" tableBorderDxfId="71" totalsRowBorderDxfId="70">
  <autoFilter ref="A1:E53" xr:uid="{00000000-0009-0000-0100-000002000000}"/>
  <tableColumns count="5">
    <tableColumn id="1" xr3:uid="{00000000-0010-0000-0100-000001000000}" name="Atividade" dataDxfId="43"/>
    <tableColumn id="4" xr3:uid="{00000000-0010-0000-0100-000004000000}" name="Data de criação" dataDxfId="42"/>
    <tableColumn id="6" xr3:uid="{00000000-0010-0000-0100-000006000000}" name="Data de última atualização" dataDxfId="41"/>
    <tableColumn id="8" xr3:uid="{00000000-0010-0000-0100-000008000000}" name="Aging" dataDxfId="40">
      <calculatedColumnFormula>NOW()-B2</calculatedColumnFormula>
    </tableColumn>
    <tableColumn id="9" xr3:uid="{00000000-0010-0000-0100-000009000000}" name="Aging Mod" dataDxfId="39">
      <calculatedColumnFormula>NOW()-C2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G186" totalsRowShown="0" headerRowDxfId="36" dataDxfId="35" headerRowBorderDxfId="69" tableBorderDxfId="68" totalsRowBorderDxfId="67">
  <autoFilter ref="A1:G186" xr:uid="{00000000-0009-0000-0100-000003000000}"/>
  <tableColumns count="7">
    <tableColumn id="2" xr3:uid="{00000000-0010-0000-0200-000002000000}" name="Título" dataDxfId="34"/>
    <tableColumn id="4" xr3:uid="{00000000-0010-0000-0200-000004000000}" name="Data de abertura" dataDxfId="33"/>
    <tableColumn id="9" xr3:uid="{00000000-0010-0000-0200-000009000000}" name="Última atualização" dataDxfId="32"/>
    <tableColumn id="10" xr3:uid="{00000000-0010-0000-0200-00000A000000}" name="Tipo" dataDxfId="31"/>
    <tableColumn id="11" xr3:uid="{00000000-0010-0000-0200-00000B000000}" name="Aprovação - Aprovação" dataDxfId="30"/>
    <tableColumn id="13" xr3:uid="{00000000-0010-0000-0200-00000D000000}" name="Aging" dataDxfId="29">
      <calculatedColumnFormula>NOW()-B2</calculatedColumnFormula>
    </tableColumn>
    <tableColumn id="14" xr3:uid="{00000000-0010-0000-0200-00000E000000}" name="Aging Mod" dataDxfId="28">
      <calculatedColumnFormula>NOW()-C2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G180" totalsRowShown="0" headerRowDxfId="20" dataDxfId="19" headerRowBorderDxfId="66" tableBorderDxfId="65" totalsRowBorderDxfId="64">
  <autoFilter ref="A1:G180" xr:uid="{00000000-0009-0000-0100-000004000000}"/>
  <tableColumns count="7">
    <tableColumn id="2" xr3:uid="{00000000-0010-0000-0300-000002000000}" name="Título" dataDxfId="27"/>
    <tableColumn id="4" xr3:uid="{00000000-0010-0000-0300-000004000000}" name="Data de abertura" dataDxfId="26"/>
    <tableColumn id="9" xr3:uid="{00000000-0010-0000-0300-000009000000}" name="Última atualização" dataDxfId="25"/>
    <tableColumn id="10" xr3:uid="{00000000-0010-0000-0300-00000A000000}" name="Tipo" dataDxfId="24"/>
    <tableColumn id="11" xr3:uid="{00000000-0010-0000-0300-00000B000000}" name="Aprovação - Aprovação" dataDxfId="23"/>
    <tableColumn id="13" xr3:uid="{00000000-0010-0000-0300-00000D000000}" name="Aging" dataDxfId="22">
      <calculatedColumnFormula>NOW()-Tabela4[[#This Row],[Data de abertura]]</calculatedColumnFormula>
    </tableColumn>
    <tableColumn id="14" xr3:uid="{00000000-0010-0000-0300-00000E000000}" name="Aging Mod" dataDxfId="21">
      <calculatedColumnFormula>NOW()-C2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57"/>
  <sheetViews>
    <sheetView showGridLines="0" zoomScaleNormal="100" workbookViewId="0">
      <selection activeCell="F6" sqref="A1:XFD1048576"/>
    </sheetView>
  </sheetViews>
  <sheetFormatPr defaultRowHeight="15" x14ac:dyDescent="0.25"/>
  <cols>
    <col min="1" max="1" width="85" style="1" customWidth="1"/>
    <col min="2" max="2" width="23" style="1" bestFit="1" customWidth="1"/>
    <col min="3" max="3" width="35.7109375" style="1" bestFit="1" customWidth="1"/>
    <col min="4" max="4" width="11.5703125" style="1" bestFit="1" customWidth="1"/>
    <col min="5" max="5" width="16.85546875" style="1" bestFit="1" customWidth="1"/>
    <col min="6" max="16384" width="9.140625" style="1"/>
  </cols>
  <sheetData>
    <row r="1" spans="1:5" x14ac:dyDescent="0.25">
      <c r="A1" s="5" t="s">
        <v>1</v>
      </c>
      <c r="B1" s="6" t="s">
        <v>2</v>
      </c>
      <c r="C1" s="6" t="s">
        <v>3</v>
      </c>
      <c r="D1" s="6" t="s">
        <v>0</v>
      </c>
      <c r="E1" s="7" t="s">
        <v>4</v>
      </c>
    </row>
    <row r="2" spans="1:5" x14ac:dyDescent="0.25">
      <c r="A2" s="1" t="s">
        <v>18</v>
      </c>
      <c r="B2" s="2">
        <v>44784</v>
      </c>
      <c r="C2" s="2">
        <v>44832</v>
      </c>
      <c r="D2" s="3">
        <f t="shared" ref="D2:D33" ca="1" si="0">NOW()-B2</f>
        <v>104.78636655092851</v>
      </c>
      <c r="E2" s="4">
        <f t="shared" ref="E2:E33" ca="1" si="1">NOW()-C2</f>
        <v>56.786366550928506</v>
      </c>
    </row>
    <row r="3" spans="1:5" x14ac:dyDescent="0.25">
      <c r="A3" s="1" t="s">
        <v>18</v>
      </c>
      <c r="B3" s="2">
        <v>44799</v>
      </c>
      <c r="C3" s="2">
        <v>44817</v>
      </c>
      <c r="D3" s="3">
        <f t="shared" ca="1" si="0"/>
        <v>89.786366550928506</v>
      </c>
      <c r="E3" s="4">
        <f t="shared" ca="1" si="1"/>
        <v>71.786366550928506</v>
      </c>
    </row>
    <row r="4" spans="1:5" x14ac:dyDescent="0.25">
      <c r="A4" s="1" t="s">
        <v>18</v>
      </c>
      <c r="B4" s="2">
        <v>44809</v>
      </c>
      <c r="C4" s="2">
        <v>44882</v>
      </c>
      <c r="D4" s="3">
        <f t="shared" ca="1" si="0"/>
        <v>79.786366550928506</v>
      </c>
      <c r="E4" s="4">
        <f t="shared" ca="1" si="1"/>
        <v>6.7863665509285056</v>
      </c>
    </row>
    <row r="5" spans="1:5" x14ac:dyDescent="0.25">
      <c r="A5" s="1" t="s">
        <v>18</v>
      </c>
      <c r="B5" s="2">
        <v>44812</v>
      </c>
      <c r="C5" s="2">
        <v>44882</v>
      </c>
      <c r="D5" s="3">
        <f t="shared" ca="1" si="0"/>
        <v>76.786366550928506</v>
      </c>
      <c r="E5" s="4">
        <f t="shared" ca="1" si="1"/>
        <v>6.7863665509285056</v>
      </c>
    </row>
    <row r="6" spans="1:5" x14ac:dyDescent="0.25">
      <c r="A6" s="1" t="s">
        <v>18</v>
      </c>
      <c r="B6" s="2">
        <v>44813</v>
      </c>
      <c r="C6" s="2">
        <v>44882</v>
      </c>
      <c r="D6" s="3">
        <f t="shared" ca="1" si="0"/>
        <v>75.786366550928506</v>
      </c>
      <c r="E6" s="4">
        <f t="shared" ca="1" si="1"/>
        <v>6.7863665509285056</v>
      </c>
    </row>
    <row r="7" spans="1:5" x14ac:dyDescent="0.25">
      <c r="A7" s="1" t="s">
        <v>18</v>
      </c>
      <c r="B7" s="2">
        <v>44816</v>
      </c>
      <c r="C7" s="2">
        <v>44837</v>
      </c>
      <c r="D7" s="3">
        <f t="shared" ca="1" si="0"/>
        <v>72.786366550928506</v>
      </c>
      <c r="E7" s="4">
        <f t="shared" ca="1" si="1"/>
        <v>51.786366550928506</v>
      </c>
    </row>
    <row r="8" spans="1:5" x14ac:dyDescent="0.25">
      <c r="A8" s="1" t="s">
        <v>18</v>
      </c>
      <c r="B8" s="2">
        <v>44816</v>
      </c>
      <c r="C8" s="2">
        <v>44816</v>
      </c>
      <c r="D8" s="3">
        <f t="shared" ca="1" si="0"/>
        <v>72.786366550928506</v>
      </c>
      <c r="E8" s="4">
        <f t="shared" ca="1" si="1"/>
        <v>72.786366550928506</v>
      </c>
    </row>
    <row r="9" spans="1:5" x14ac:dyDescent="0.25">
      <c r="A9" s="1" t="s">
        <v>18</v>
      </c>
      <c r="B9" s="2">
        <v>44816</v>
      </c>
      <c r="C9" s="2">
        <v>44816</v>
      </c>
      <c r="D9" s="3">
        <f t="shared" ca="1" si="0"/>
        <v>72.786366550928506</v>
      </c>
      <c r="E9" s="4">
        <f t="shared" ca="1" si="1"/>
        <v>72.786366550928506</v>
      </c>
    </row>
    <row r="10" spans="1:5" x14ac:dyDescent="0.25">
      <c r="A10" s="1" t="s">
        <v>18</v>
      </c>
      <c r="B10" s="2">
        <v>44817</v>
      </c>
      <c r="C10" s="2">
        <v>44817</v>
      </c>
      <c r="D10" s="3">
        <f t="shared" ca="1" si="0"/>
        <v>71.786366550928506</v>
      </c>
      <c r="E10" s="4">
        <f t="shared" ca="1" si="1"/>
        <v>71.786366550928506</v>
      </c>
    </row>
    <row r="11" spans="1:5" x14ac:dyDescent="0.25">
      <c r="A11" s="1" t="s">
        <v>18</v>
      </c>
      <c r="B11" s="2">
        <v>44818</v>
      </c>
      <c r="C11" s="2">
        <v>44818</v>
      </c>
      <c r="D11" s="3">
        <f t="shared" ca="1" si="0"/>
        <v>70.786366550928506</v>
      </c>
      <c r="E11" s="4">
        <f t="shared" ca="1" si="1"/>
        <v>70.786366550928506</v>
      </c>
    </row>
    <row r="12" spans="1:5" x14ac:dyDescent="0.25">
      <c r="A12" s="1" t="s">
        <v>18</v>
      </c>
      <c r="B12" s="2">
        <v>44819</v>
      </c>
      <c r="C12" s="2">
        <v>44819</v>
      </c>
      <c r="D12" s="3">
        <f t="shared" ca="1" si="0"/>
        <v>69.786366550928506</v>
      </c>
      <c r="E12" s="4">
        <f t="shared" ca="1" si="1"/>
        <v>69.786366550928506</v>
      </c>
    </row>
    <row r="13" spans="1:5" x14ac:dyDescent="0.25">
      <c r="A13" s="1" t="s">
        <v>18</v>
      </c>
      <c r="B13" s="2">
        <v>44821</v>
      </c>
      <c r="C13" s="2">
        <v>44821</v>
      </c>
      <c r="D13" s="3">
        <f t="shared" ca="1" si="0"/>
        <v>67.786366550928506</v>
      </c>
      <c r="E13" s="4">
        <f t="shared" ca="1" si="1"/>
        <v>67.786366550928506</v>
      </c>
    </row>
    <row r="14" spans="1:5" x14ac:dyDescent="0.25">
      <c r="A14" s="1" t="s">
        <v>18</v>
      </c>
      <c r="B14" s="2">
        <v>44823</v>
      </c>
      <c r="C14" s="2">
        <v>44823</v>
      </c>
      <c r="D14" s="3">
        <f t="shared" ca="1" si="0"/>
        <v>65.786366550928506</v>
      </c>
      <c r="E14" s="4">
        <f t="shared" ca="1" si="1"/>
        <v>65.786366550928506</v>
      </c>
    </row>
    <row r="15" spans="1:5" x14ac:dyDescent="0.25">
      <c r="A15" s="1" t="s">
        <v>18</v>
      </c>
      <c r="B15" s="2">
        <v>44824</v>
      </c>
      <c r="C15" s="2">
        <v>44824</v>
      </c>
      <c r="D15" s="3">
        <f t="shared" ca="1" si="0"/>
        <v>64.786366550928506</v>
      </c>
      <c r="E15" s="4">
        <f t="shared" ca="1" si="1"/>
        <v>64.786366550928506</v>
      </c>
    </row>
    <row r="16" spans="1:5" x14ac:dyDescent="0.25">
      <c r="A16" s="1" t="s">
        <v>18</v>
      </c>
      <c r="B16" s="2">
        <v>44826</v>
      </c>
      <c r="C16" s="2">
        <v>44826</v>
      </c>
      <c r="D16" s="3">
        <f t="shared" ca="1" si="0"/>
        <v>62.786366550928506</v>
      </c>
      <c r="E16" s="4">
        <f t="shared" ca="1" si="1"/>
        <v>62.786366550928506</v>
      </c>
    </row>
    <row r="17" spans="1:5" x14ac:dyDescent="0.25">
      <c r="A17" s="1" t="s">
        <v>18</v>
      </c>
      <c r="B17" s="2">
        <v>44832</v>
      </c>
      <c r="C17" s="2">
        <v>44832</v>
      </c>
      <c r="D17" s="3">
        <f t="shared" ca="1" si="0"/>
        <v>56.786366550928506</v>
      </c>
      <c r="E17" s="4">
        <f t="shared" ca="1" si="1"/>
        <v>56.786366550928506</v>
      </c>
    </row>
    <row r="18" spans="1:5" x14ac:dyDescent="0.25">
      <c r="A18" s="1" t="s">
        <v>18</v>
      </c>
      <c r="B18" s="2">
        <v>44833</v>
      </c>
      <c r="C18" s="2">
        <v>44833</v>
      </c>
      <c r="D18" s="3">
        <f t="shared" ca="1" si="0"/>
        <v>55.786366550928506</v>
      </c>
      <c r="E18" s="4">
        <f t="shared" ca="1" si="1"/>
        <v>55.786366550928506</v>
      </c>
    </row>
    <row r="19" spans="1:5" x14ac:dyDescent="0.25">
      <c r="A19" s="1" t="s">
        <v>18</v>
      </c>
      <c r="B19" s="2">
        <v>44833</v>
      </c>
      <c r="C19" s="2">
        <v>44833</v>
      </c>
      <c r="D19" s="3">
        <f t="shared" ca="1" si="0"/>
        <v>55.786366550928506</v>
      </c>
      <c r="E19" s="4">
        <f t="shared" ca="1" si="1"/>
        <v>55.786366550928506</v>
      </c>
    </row>
    <row r="20" spans="1:5" x14ac:dyDescent="0.25">
      <c r="A20" s="1" t="s">
        <v>18</v>
      </c>
      <c r="B20" s="2">
        <v>44833</v>
      </c>
      <c r="C20" s="2">
        <v>44833</v>
      </c>
      <c r="D20" s="3">
        <f t="shared" ca="1" si="0"/>
        <v>55.786366550928506</v>
      </c>
      <c r="E20" s="4">
        <f t="shared" ca="1" si="1"/>
        <v>55.786366550928506</v>
      </c>
    </row>
    <row r="21" spans="1:5" x14ac:dyDescent="0.25">
      <c r="A21" s="1" t="s">
        <v>18</v>
      </c>
      <c r="B21" s="2">
        <v>44834</v>
      </c>
      <c r="C21" s="2">
        <v>44834</v>
      </c>
      <c r="D21" s="3">
        <f t="shared" ca="1" si="0"/>
        <v>54.786366550928506</v>
      </c>
      <c r="E21" s="4">
        <f t="shared" ca="1" si="1"/>
        <v>54.786366550928506</v>
      </c>
    </row>
    <row r="22" spans="1:5" x14ac:dyDescent="0.25">
      <c r="A22" s="1" t="s">
        <v>18</v>
      </c>
      <c r="B22" s="2">
        <v>44834</v>
      </c>
      <c r="C22" s="2">
        <v>44834</v>
      </c>
      <c r="D22" s="3">
        <f t="shared" ca="1" si="0"/>
        <v>54.786366550928506</v>
      </c>
      <c r="E22" s="4">
        <f t="shared" ca="1" si="1"/>
        <v>54.786366550928506</v>
      </c>
    </row>
    <row r="23" spans="1:5" x14ac:dyDescent="0.25">
      <c r="A23" s="1" t="s">
        <v>18</v>
      </c>
      <c r="B23" s="2">
        <v>44834</v>
      </c>
      <c r="C23" s="2">
        <v>44834</v>
      </c>
      <c r="D23" s="3">
        <f t="shared" ca="1" si="0"/>
        <v>54.786366550928506</v>
      </c>
      <c r="E23" s="4">
        <f t="shared" ca="1" si="1"/>
        <v>54.786366550928506</v>
      </c>
    </row>
    <row r="24" spans="1:5" x14ac:dyDescent="0.25">
      <c r="A24" s="1" t="s">
        <v>18</v>
      </c>
      <c r="B24" s="2">
        <v>44841</v>
      </c>
      <c r="C24" s="2">
        <v>44841</v>
      </c>
      <c r="D24" s="3">
        <f t="shared" ca="1" si="0"/>
        <v>47.786366550928506</v>
      </c>
      <c r="E24" s="4">
        <f t="shared" ca="1" si="1"/>
        <v>47.786366550928506</v>
      </c>
    </row>
    <row r="25" spans="1:5" x14ac:dyDescent="0.25">
      <c r="A25" s="1" t="s">
        <v>18</v>
      </c>
      <c r="B25" s="2">
        <v>44844</v>
      </c>
      <c r="C25" s="2">
        <v>44844</v>
      </c>
      <c r="D25" s="3">
        <f t="shared" ca="1" si="0"/>
        <v>44.786366550928506</v>
      </c>
      <c r="E25" s="4">
        <f t="shared" ca="1" si="1"/>
        <v>44.786366550928506</v>
      </c>
    </row>
    <row r="26" spans="1:5" x14ac:dyDescent="0.25">
      <c r="A26" s="1" t="s">
        <v>18</v>
      </c>
      <c r="B26" s="2">
        <v>44844</v>
      </c>
      <c r="C26" s="2">
        <v>44844</v>
      </c>
      <c r="D26" s="3">
        <f t="shared" ca="1" si="0"/>
        <v>44.786366550928506</v>
      </c>
      <c r="E26" s="4">
        <f t="shared" ca="1" si="1"/>
        <v>44.786366550928506</v>
      </c>
    </row>
    <row r="27" spans="1:5" x14ac:dyDescent="0.25">
      <c r="A27" s="1" t="s">
        <v>18</v>
      </c>
      <c r="B27" s="2">
        <v>44845</v>
      </c>
      <c r="C27" s="2">
        <v>44845</v>
      </c>
      <c r="D27" s="3">
        <f t="shared" ca="1" si="0"/>
        <v>43.786366550928506</v>
      </c>
      <c r="E27" s="4">
        <f t="shared" ca="1" si="1"/>
        <v>43.786366550928506</v>
      </c>
    </row>
    <row r="28" spans="1:5" x14ac:dyDescent="0.25">
      <c r="A28" s="1" t="s">
        <v>18</v>
      </c>
      <c r="B28" s="2">
        <v>44845</v>
      </c>
      <c r="C28" s="2">
        <v>44845</v>
      </c>
      <c r="D28" s="3">
        <f t="shared" ca="1" si="0"/>
        <v>43.786366550928506</v>
      </c>
      <c r="E28" s="4">
        <f t="shared" ca="1" si="1"/>
        <v>43.786366550928506</v>
      </c>
    </row>
    <row r="29" spans="1:5" x14ac:dyDescent="0.25">
      <c r="A29" s="1" t="s">
        <v>18</v>
      </c>
      <c r="B29" s="2">
        <v>44845</v>
      </c>
      <c r="C29" s="2">
        <v>44845</v>
      </c>
      <c r="D29" s="3">
        <f t="shared" ca="1" si="0"/>
        <v>43.786366550928506</v>
      </c>
      <c r="E29" s="4">
        <f t="shared" ca="1" si="1"/>
        <v>43.786366550928506</v>
      </c>
    </row>
    <row r="30" spans="1:5" x14ac:dyDescent="0.25">
      <c r="A30" s="1" t="s">
        <v>18</v>
      </c>
      <c r="B30" s="2">
        <v>44852</v>
      </c>
      <c r="C30" s="2">
        <v>44852</v>
      </c>
      <c r="D30" s="3">
        <f t="shared" ca="1" si="0"/>
        <v>36.786366550928506</v>
      </c>
      <c r="E30" s="4">
        <f t="shared" ca="1" si="1"/>
        <v>36.786366550928506</v>
      </c>
    </row>
    <row r="31" spans="1:5" x14ac:dyDescent="0.25">
      <c r="A31" s="1" t="s">
        <v>18</v>
      </c>
      <c r="B31" s="2">
        <v>44854</v>
      </c>
      <c r="C31" s="2">
        <v>44854</v>
      </c>
      <c r="D31" s="3">
        <f t="shared" ca="1" si="0"/>
        <v>34.786366550928506</v>
      </c>
      <c r="E31" s="4">
        <f t="shared" ca="1" si="1"/>
        <v>34.786366550928506</v>
      </c>
    </row>
    <row r="32" spans="1:5" x14ac:dyDescent="0.25">
      <c r="A32" s="1" t="s">
        <v>18</v>
      </c>
      <c r="B32" s="2">
        <v>44860</v>
      </c>
      <c r="C32" s="2">
        <v>44881</v>
      </c>
      <c r="D32" s="3">
        <f t="shared" ca="1" si="0"/>
        <v>28.786366550928506</v>
      </c>
      <c r="E32" s="4">
        <f t="shared" ca="1" si="1"/>
        <v>7.7863665509285056</v>
      </c>
    </row>
    <row r="33" spans="1:5" x14ac:dyDescent="0.25">
      <c r="A33" s="1" t="s">
        <v>18</v>
      </c>
      <c r="B33" s="2">
        <v>44860</v>
      </c>
      <c r="C33" s="2">
        <v>44860</v>
      </c>
      <c r="D33" s="3">
        <f t="shared" ca="1" si="0"/>
        <v>28.786366550928506</v>
      </c>
      <c r="E33" s="4">
        <f t="shared" ca="1" si="1"/>
        <v>28.786366550928506</v>
      </c>
    </row>
    <row r="34" spans="1:5" x14ac:dyDescent="0.25">
      <c r="A34" s="1" t="s">
        <v>18</v>
      </c>
      <c r="B34" s="2">
        <v>44860</v>
      </c>
      <c r="C34" s="2">
        <v>44860</v>
      </c>
      <c r="D34" s="3">
        <f t="shared" ref="D34:D53" ca="1" si="2">NOW()-B34</f>
        <v>28.786366550928506</v>
      </c>
      <c r="E34" s="4">
        <f t="shared" ref="E34:E53" ca="1" si="3">NOW()-C34</f>
        <v>28.786366550928506</v>
      </c>
    </row>
    <row r="35" spans="1:5" x14ac:dyDescent="0.25">
      <c r="A35" s="1" t="s">
        <v>18</v>
      </c>
      <c r="B35" s="2">
        <v>44862</v>
      </c>
      <c r="C35" s="2">
        <v>44862</v>
      </c>
      <c r="D35" s="3">
        <f t="shared" ca="1" si="2"/>
        <v>26.786366550928506</v>
      </c>
      <c r="E35" s="4">
        <f t="shared" ca="1" si="3"/>
        <v>26.786366550928506</v>
      </c>
    </row>
    <row r="36" spans="1:5" x14ac:dyDescent="0.25">
      <c r="A36" s="1" t="s">
        <v>18</v>
      </c>
      <c r="B36" s="2">
        <v>44868</v>
      </c>
      <c r="C36" s="2">
        <v>44868</v>
      </c>
      <c r="D36" s="3">
        <f t="shared" ca="1" si="2"/>
        <v>20.786366550928506</v>
      </c>
      <c r="E36" s="4">
        <f t="shared" ca="1" si="3"/>
        <v>20.786366550928506</v>
      </c>
    </row>
    <row r="37" spans="1:5" x14ac:dyDescent="0.25">
      <c r="A37" s="1" t="s">
        <v>18</v>
      </c>
      <c r="B37" s="2">
        <v>44868</v>
      </c>
      <c r="C37" s="2">
        <v>44868</v>
      </c>
      <c r="D37" s="3">
        <f t="shared" ca="1" si="2"/>
        <v>20.786366550928506</v>
      </c>
      <c r="E37" s="4">
        <f t="shared" ca="1" si="3"/>
        <v>20.786366550928506</v>
      </c>
    </row>
    <row r="38" spans="1:5" x14ac:dyDescent="0.25">
      <c r="A38" s="1" t="s">
        <v>18</v>
      </c>
      <c r="B38" s="2">
        <v>44872</v>
      </c>
      <c r="C38" s="2">
        <v>44872</v>
      </c>
      <c r="D38" s="3">
        <f t="shared" ca="1" si="2"/>
        <v>16.786366550928506</v>
      </c>
      <c r="E38" s="4">
        <f t="shared" ca="1" si="3"/>
        <v>16.786366550928506</v>
      </c>
    </row>
    <row r="39" spans="1:5" x14ac:dyDescent="0.25">
      <c r="A39" s="1" t="s">
        <v>18</v>
      </c>
      <c r="B39" s="2">
        <v>44874</v>
      </c>
      <c r="C39" s="2">
        <v>44874</v>
      </c>
      <c r="D39" s="3">
        <f t="shared" ca="1" si="2"/>
        <v>14.786366550928506</v>
      </c>
      <c r="E39" s="4">
        <f t="shared" ca="1" si="3"/>
        <v>14.786366550928506</v>
      </c>
    </row>
    <row r="40" spans="1:5" x14ac:dyDescent="0.25">
      <c r="A40" s="1" t="s">
        <v>18</v>
      </c>
      <c r="B40" s="2">
        <v>44874</v>
      </c>
      <c r="C40" s="2">
        <v>44874</v>
      </c>
      <c r="D40" s="3">
        <f t="shared" ca="1" si="2"/>
        <v>14.786366550928506</v>
      </c>
      <c r="E40" s="4">
        <f t="shared" ca="1" si="3"/>
        <v>14.786366550928506</v>
      </c>
    </row>
    <row r="41" spans="1:5" x14ac:dyDescent="0.25">
      <c r="A41" s="1" t="s">
        <v>18</v>
      </c>
      <c r="B41" s="2">
        <v>44876</v>
      </c>
      <c r="C41" s="2">
        <v>44876</v>
      </c>
      <c r="D41" s="3">
        <f t="shared" ca="1" si="2"/>
        <v>12.786366550928506</v>
      </c>
      <c r="E41" s="4">
        <f t="shared" ca="1" si="3"/>
        <v>12.786366550928506</v>
      </c>
    </row>
    <row r="42" spans="1:5" x14ac:dyDescent="0.25">
      <c r="A42" s="1" t="s">
        <v>18</v>
      </c>
      <c r="B42" s="2">
        <v>44881</v>
      </c>
      <c r="C42" s="2">
        <v>44881</v>
      </c>
      <c r="D42" s="3">
        <f t="shared" ca="1" si="2"/>
        <v>7.7863665509285056</v>
      </c>
      <c r="E42" s="4">
        <f t="shared" ca="1" si="3"/>
        <v>7.7863665509285056</v>
      </c>
    </row>
    <row r="43" spans="1:5" x14ac:dyDescent="0.25">
      <c r="A43" s="1" t="s">
        <v>18</v>
      </c>
      <c r="B43" s="2">
        <v>44882</v>
      </c>
      <c r="C43" s="2">
        <v>44882</v>
      </c>
      <c r="D43" s="3">
        <f t="shared" ca="1" si="2"/>
        <v>6.7863665509285056</v>
      </c>
      <c r="E43" s="4">
        <f t="shared" ca="1" si="3"/>
        <v>6.7863665509285056</v>
      </c>
    </row>
    <row r="44" spans="1:5" x14ac:dyDescent="0.25">
      <c r="A44" s="1" t="s">
        <v>18</v>
      </c>
      <c r="B44" s="2">
        <v>44887</v>
      </c>
      <c r="C44" s="2">
        <v>44887</v>
      </c>
      <c r="D44" s="3">
        <f t="shared" ca="1" si="2"/>
        <v>1.7863665509285056</v>
      </c>
      <c r="E44" s="4">
        <f t="shared" ca="1" si="3"/>
        <v>1.7863665509285056</v>
      </c>
    </row>
    <row r="45" spans="1:5" x14ac:dyDescent="0.25">
      <c r="A45" s="1" t="s">
        <v>20</v>
      </c>
      <c r="B45" s="2">
        <v>44153</v>
      </c>
      <c r="C45" s="2">
        <v>44855</v>
      </c>
      <c r="D45" s="3">
        <f t="shared" ca="1" si="2"/>
        <v>735.78636655092851</v>
      </c>
      <c r="E45" s="4">
        <f t="shared" ca="1" si="3"/>
        <v>33.786366550928506</v>
      </c>
    </row>
    <row r="46" spans="1:5" x14ac:dyDescent="0.25">
      <c r="A46" s="1" t="s">
        <v>20</v>
      </c>
      <c r="B46" s="2">
        <v>44844</v>
      </c>
      <c r="C46" s="2">
        <v>44844</v>
      </c>
      <c r="D46" s="3">
        <f t="shared" ca="1" si="2"/>
        <v>44.786366550928506</v>
      </c>
      <c r="E46" s="4">
        <f t="shared" ca="1" si="3"/>
        <v>44.786366550928506</v>
      </c>
    </row>
    <row r="47" spans="1:5" x14ac:dyDescent="0.25">
      <c r="A47" s="1" t="s">
        <v>20</v>
      </c>
      <c r="B47" s="2">
        <v>44852</v>
      </c>
      <c r="C47" s="2">
        <v>44852</v>
      </c>
      <c r="D47" s="3">
        <f t="shared" ca="1" si="2"/>
        <v>36.786366550928506</v>
      </c>
      <c r="E47" s="4">
        <f t="shared" ca="1" si="3"/>
        <v>36.786366550928506</v>
      </c>
    </row>
    <row r="48" spans="1:5" x14ac:dyDescent="0.25">
      <c r="A48" s="1" t="s">
        <v>20</v>
      </c>
      <c r="B48" s="2">
        <v>44854</v>
      </c>
      <c r="C48" s="2">
        <v>44854</v>
      </c>
      <c r="D48" s="3">
        <f t="shared" ca="1" si="2"/>
        <v>34.786366550928506</v>
      </c>
      <c r="E48" s="4">
        <f t="shared" ca="1" si="3"/>
        <v>34.786366550928506</v>
      </c>
    </row>
    <row r="49" spans="1:5" x14ac:dyDescent="0.25">
      <c r="A49" s="1" t="s">
        <v>20</v>
      </c>
      <c r="B49" s="2">
        <v>44860</v>
      </c>
      <c r="C49" s="2">
        <v>44860</v>
      </c>
      <c r="D49" s="3">
        <f t="shared" ca="1" si="2"/>
        <v>28.786366550928506</v>
      </c>
      <c r="E49" s="4">
        <f t="shared" ca="1" si="3"/>
        <v>28.786366550928506</v>
      </c>
    </row>
    <row r="50" spans="1:5" x14ac:dyDescent="0.25">
      <c r="A50" s="1" t="s">
        <v>20</v>
      </c>
      <c r="B50" s="2">
        <v>44860</v>
      </c>
      <c r="C50" s="2">
        <v>44860</v>
      </c>
      <c r="D50" s="3">
        <f t="shared" ca="1" si="2"/>
        <v>28.786366550928506</v>
      </c>
      <c r="E50" s="4">
        <f t="shared" ca="1" si="3"/>
        <v>28.786366550928506</v>
      </c>
    </row>
    <row r="51" spans="1:5" x14ac:dyDescent="0.25">
      <c r="A51" s="1" t="s">
        <v>20</v>
      </c>
      <c r="B51" s="2">
        <v>44860</v>
      </c>
      <c r="C51" s="2">
        <v>44860</v>
      </c>
      <c r="D51" s="3">
        <f t="shared" ca="1" si="2"/>
        <v>28.786366550928506</v>
      </c>
      <c r="E51" s="4">
        <f t="shared" ca="1" si="3"/>
        <v>28.786366550928506</v>
      </c>
    </row>
    <row r="52" spans="1:5" x14ac:dyDescent="0.25">
      <c r="A52" s="1" t="s">
        <v>20</v>
      </c>
      <c r="B52" s="2">
        <v>44879</v>
      </c>
      <c r="C52" s="2">
        <v>44879</v>
      </c>
      <c r="D52" s="3">
        <f t="shared" ca="1" si="2"/>
        <v>9.7863665509285056</v>
      </c>
      <c r="E52" s="4">
        <f t="shared" ca="1" si="3"/>
        <v>9.7863665509285056</v>
      </c>
    </row>
    <row r="53" spans="1:5" x14ac:dyDescent="0.25">
      <c r="A53" s="1" t="s">
        <v>20</v>
      </c>
      <c r="B53" s="2">
        <v>44879</v>
      </c>
      <c r="C53" s="2">
        <v>44879</v>
      </c>
      <c r="D53" s="3">
        <f t="shared" ca="1" si="2"/>
        <v>9.7863665509285056</v>
      </c>
      <c r="E53" s="4">
        <f t="shared" ca="1" si="3"/>
        <v>9.7863665509285056</v>
      </c>
    </row>
    <row r="55" spans="1:5" x14ac:dyDescent="0.25">
      <c r="A55" s="8" t="s">
        <v>115</v>
      </c>
    </row>
    <row r="56" spans="1:5" x14ac:dyDescent="0.25">
      <c r="A56" s="8" t="s">
        <v>19</v>
      </c>
    </row>
    <row r="57" spans="1:5" x14ac:dyDescent="0.25">
      <c r="A57" s="9">
        <v>44693</v>
      </c>
    </row>
  </sheetData>
  <sheetProtection algorithmName="SHA-512" hashValue="G/883jzgOXqy8f1capnMfkJ/3UkfkIZi8xM4TM2F1Gu8BkMrU+YOeCGNnkIDuvM6GPez/Sn8V2zWJ2kJ+UWeAA==" saltValue="WyvUsG7OtYzOFZg2CZ551A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86"/>
  <sheetViews>
    <sheetView showGridLines="0" zoomScaleNormal="100" workbookViewId="0">
      <selection activeCell="H5" sqref="A1:XFD1048576"/>
    </sheetView>
  </sheetViews>
  <sheetFormatPr defaultRowHeight="15" x14ac:dyDescent="0.25"/>
  <cols>
    <col min="1" max="1" width="64.7109375" style="1" bestFit="1" customWidth="1"/>
    <col min="2" max="2" width="18.140625" style="1" bestFit="1" customWidth="1"/>
    <col min="3" max="3" width="19.85546875" style="1" bestFit="1" customWidth="1"/>
    <col min="4" max="4" width="10.5703125" style="1" bestFit="1" customWidth="1"/>
    <col min="5" max="5" width="27.28515625" style="1" bestFit="1" customWidth="1"/>
    <col min="6" max="7" width="14.85546875" style="1" bestFit="1" customWidth="1"/>
    <col min="8" max="16384" width="9.140625" style="1"/>
  </cols>
  <sheetData>
    <row r="1" spans="1:7" x14ac:dyDescent="0.25">
      <c r="A1" s="10" t="s">
        <v>5</v>
      </c>
      <c r="B1" s="10" t="s">
        <v>6</v>
      </c>
      <c r="C1" s="10" t="s">
        <v>7</v>
      </c>
      <c r="D1" s="10" t="s">
        <v>8</v>
      </c>
      <c r="E1" s="10" t="s">
        <v>9</v>
      </c>
      <c r="F1" s="10" t="s">
        <v>0</v>
      </c>
      <c r="G1" s="11" t="s">
        <v>4</v>
      </c>
    </row>
    <row r="2" spans="1:7" x14ac:dyDescent="0.25">
      <c r="A2" s="1" t="s">
        <v>5</v>
      </c>
      <c r="B2" s="1" t="s">
        <v>6</v>
      </c>
      <c r="C2" s="1" t="s">
        <v>7</v>
      </c>
      <c r="D2" s="1" t="s">
        <v>8</v>
      </c>
      <c r="E2" s="1" t="s">
        <v>9</v>
      </c>
      <c r="F2" s="12" t="e">
        <f t="shared" ref="F2:F33" ca="1" si="0">NOW()-B2</f>
        <v>#VALUE!</v>
      </c>
      <c r="G2" s="13" t="e">
        <f t="shared" ref="G2:G33" ca="1" si="1">NOW()-C2</f>
        <v>#VALUE!</v>
      </c>
    </row>
    <row r="3" spans="1:7" x14ac:dyDescent="0.25">
      <c r="A3" s="1" t="s">
        <v>21</v>
      </c>
      <c r="B3" s="14">
        <v>44887.813194444447</v>
      </c>
      <c r="C3" s="14">
        <v>44887.813194444447</v>
      </c>
      <c r="D3" s="1" t="s">
        <v>22</v>
      </c>
      <c r="E3" s="1" t="s">
        <v>23</v>
      </c>
      <c r="F3" s="12">
        <f t="shared" ca="1" si="0"/>
        <v>0.97317210648179753</v>
      </c>
      <c r="G3" s="13">
        <f t="shared" ca="1" si="1"/>
        <v>0.97317210648179753</v>
      </c>
    </row>
    <row r="4" spans="1:7" x14ac:dyDescent="0.25">
      <c r="A4" s="1" t="s">
        <v>24</v>
      </c>
      <c r="B4" s="14">
        <v>44887.789583333331</v>
      </c>
      <c r="C4" s="14">
        <v>44887.789583333331</v>
      </c>
      <c r="D4" s="1" t="s">
        <v>25</v>
      </c>
      <c r="E4" s="1" t="s">
        <v>26</v>
      </c>
      <c r="F4" s="12">
        <f t="shared" ca="1" si="0"/>
        <v>0.99678321759711253</v>
      </c>
      <c r="G4" s="13">
        <f t="shared" ca="1" si="1"/>
        <v>0.99678321759711253</v>
      </c>
    </row>
    <row r="5" spans="1:7" x14ac:dyDescent="0.25">
      <c r="A5" s="1" t="s">
        <v>27</v>
      </c>
      <c r="B5" s="14">
        <v>44886.761805555558</v>
      </c>
      <c r="C5" s="14">
        <v>44887.731249999997</v>
      </c>
      <c r="D5" s="1" t="s">
        <v>22</v>
      </c>
      <c r="E5" s="1" t="s">
        <v>28</v>
      </c>
      <c r="F5" s="12">
        <f t="shared" ca="1" si="0"/>
        <v>2.0245609953708481</v>
      </c>
      <c r="G5" s="13">
        <f t="shared" ca="1" si="1"/>
        <v>1.055116550931416</v>
      </c>
    </row>
    <row r="6" spans="1:7" x14ac:dyDescent="0.25">
      <c r="A6" s="1" t="s">
        <v>29</v>
      </c>
      <c r="B6" s="14">
        <v>44887.724999999999</v>
      </c>
      <c r="C6" s="14">
        <v>44887.724999999999</v>
      </c>
      <c r="D6" s="1" t="s">
        <v>22</v>
      </c>
      <c r="E6" s="1" t="s">
        <v>23</v>
      </c>
      <c r="F6" s="12">
        <f t="shared" ca="1" si="0"/>
        <v>1.0613665509299608</v>
      </c>
      <c r="G6" s="13">
        <f t="shared" ca="1" si="1"/>
        <v>1.0613665509299608</v>
      </c>
    </row>
    <row r="7" spans="1:7" x14ac:dyDescent="0.25">
      <c r="A7" s="1" t="s">
        <v>30</v>
      </c>
      <c r="B7" s="14">
        <v>44875.428472222222</v>
      </c>
      <c r="C7" s="14">
        <v>44887.698611111111</v>
      </c>
      <c r="D7" s="1" t="s">
        <v>22</v>
      </c>
      <c r="E7" s="1" t="s">
        <v>28</v>
      </c>
      <c r="F7" s="12">
        <f t="shared" ca="1" si="0"/>
        <v>13.357894328706607</v>
      </c>
      <c r="G7" s="13">
        <f t="shared" ca="1" si="1"/>
        <v>1.0877554398175562</v>
      </c>
    </row>
    <row r="8" spans="1:7" x14ac:dyDescent="0.25">
      <c r="A8" s="1" t="s">
        <v>31</v>
      </c>
      <c r="B8" s="14">
        <v>44887.686111111114</v>
      </c>
      <c r="C8" s="14">
        <v>44887.686111111114</v>
      </c>
      <c r="D8" s="1" t="s">
        <v>22</v>
      </c>
      <c r="E8" s="1" t="s">
        <v>26</v>
      </c>
      <c r="F8" s="12">
        <f t="shared" ca="1" si="0"/>
        <v>1.1002554398146458</v>
      </c>
      <c r="G8" s="13">
        <f t="shared" ca="1" si="1"/>
        <v>1.1002554398146458</v>
      </c>
    </row>
    <row r="9" spans="1:7" x14ac:dyDescent="0.25">
      <c r="A9" s="1" t="s">
        <v>32</v>
      </c>
      <c r="B9" s="14">
        <v>44887.678472222222</v>
      </c>
      <c r="C9" s="14">
        <v>44887.678472222222</v>
      </c>
      <c r="D9" s="1" t="s">
        <v>22</v>
      </c>
      <c r="E9" s="1" t="s">
        <v>26</v>
      </c>
      <c r="F9" s="12">
        <f t="shared" ca="1" si="0"/>
        <v>1.1078943287066068</v>
      </c>
      <c r="G9" s="13">
        <f t="shared" ca="1" si="1"/>
        <v>1.1078943287066068</v>
      </c>
    </row>
    <row r="10" spans="1:7" x14ac:dyDescent="0.25">
      <c r="A10" s="1" t="s">
        <v>33</v>
      </c>
      <c r="B10" s="14">
        <v>44887.621527777781</v>
      </c>
      <c r="C10" s="14">
        <v>44887.677083333336</v>
      </c>
      <c r="D10" s="1" t="s">
        <v>22</v>
      </c>
      <c r="E10" s="1" t="s">
        <v>28</v>
      </c>
      <c r="F10" s="12">
        <f t="shared" ca="1" si="0"/>
        <v>1.1648387731474941</v>
      </c>
      <c r="G10" s="13">
        <f t="shared" ca="1" si="1"/>
        <v>1.109283217592747</v>
      </c>
    </row>
    <row r="11" spans="1:7" x14ac:dyDescent="0.25">
      <c r="A11" s="1" t="s">
        <v>33</v>
      </c>
      <c r="B11" s="14">
        <v>44887.625</v>
      </c>
      <c r="C11" s="14">
        <v>44887.676388888889</v>
      </c>
      <c r="D11" s="1" t="s">
        <v>22</v>
      </c>
      <c r="E11" s="1" t="s">
        <v>28</v>
      </c>
      <c r="F11" s="12">
        <f t="shared" ca="1" si="0"/>
        <v>1.1613665509285056</v>
      </c>
      <c r="G11" s="13">
        <f t="shared" ca="1" si="1"/>
        <v>1.109977662039455</v>
      </c>
    </row>
    <row r="12" spans="1:7" x14ac:dyDescent="0.25">
      <c r="A12" s="1" t="s">
        <v>27</v>
      </c>
      <c r="B12" s="14">
        <v>44887.445138888892</v>
      </c>
      <c r="C12" s="14">
        <v>44887.673611111109</v>
      </c>
      <c r="D12" s="1" t="s">
        <v>22</v>
      </c>
      <c r="E12" s="1" t="s">
        <v>28</v>
      </c>
      <c r="F12" s="12">
        <f t="shared" ca="1" si="0"/>
        <v>1.3412276620365446</v>
      </c>
      <c r="G12" s="13">
        <f t="shared" ca="1" si="1"/>
        <v>1.1127554398190114</v>
      </c>
    </row>
    <row r="13" spans="1:7" x14ac:dyDescent="0.25">
      <c r="A13" s="1" t="s">
        <v>34</v>
      </c>
      <c r="B13" s="14">
        <v>44887.518750000003</v>
      </c>
      <c r="C13" s="14">
        <v>44887.655555555553</v>
      </c>
      <c r="D13" s="1" t="s">
        <v>22</v>
      </c>
      <c r="E13" s="1" t="s">
        <v>28</v>
      </c>
      <c r="F13" s="12">
        <f t="shared" ca="1" si="0"/>
        <v>1.2676165509255952</v>
      </c>
      <c r="G13" s="13">
        <f t="shared" ca="1" si="1"/>
        <v>1.1308109953752137</v>
      </c>
    </row>
    <row r="14" spans="1:7" x14ac:dyDescent="0.25">
      <c r="A14" s="1" t="s">
        <v>30</v>
      </c>
      <c r="B14" s="14">
        <v>44887.631944444445</v>
      </c>
      <c r="C14" s="14">
        <v>44887.640277777777</v>
      </c>
      <c r="D14" s="1" t="s">
        <v>22</v>
      </c>
      <c r="E14" s="1" t="s">
        <v>28</v>
      </c>
      <c r="F14" s="12">
        <f t="shared" ca="1" si="0"/>
        <v>1.1544221064832527</v>
      </c>
      <c r="G14" s="13">
        <f t="shared" ca="1" si="1"/>
        <v>1.1460887731518596</v>
      </c>
    </row>
    <row r="15" spans="1:7" x14ac:dyDescent="0.25">
      <c r="A15" s="1" t="s">
        <v>35</v>
      </c>
      <c r="B15" s="14">
        <v>44887.630555555559</v>
      </c>
      <c r="C15" s="14">
        <v>44887.632638888892</v>
      </c>
      <c r="D15" s="1" t="s">
        <v>22</v>
      </c>
      <c r="E15" s="1" t="s">
        <v>28</v>
      </c>
      <c r="F15" s="12">
        <f t="shared" ca="1" si="0"/>
        <v>1.1558109953693929</v>
      </c>
      <c r="G15" s="13">
        <f t="shared" ca="1" si="1"/>
        <v>1.1537276620365446</v>
      </c>
    </row>
    <row r="16" spans="1:7" x14ac:dyDescent="0.25">
      <c r="A16" s="1" t="s">
        <v>36</v>
      </c>
      <c r="B16" s="14">
        <v>44883.376388888886</v>
      </c>
      <c r="C16" s="14">
        <v>44887.62222222222</v>
      </c>
      <c r="D16" s="1" t="s">
        <v>22</v>
      </c>
      <c r="E16" s="1" t="s">
        <v>26</v>
      </c>
      <c r="F16" s="12">
        <f t="shared" ca="1" si="0"/>
        <v>5.4099776620423654</v>
      </c>
      <c r="G16" s="13">
        <f t="shared" ca="1" si="1"/>
        <v>1.1641443287080619</v>
      </c>
    </row>
    <row r="17" spans="1:7" x14ac:dyDescent="0.25">
      <c r="A17" s="1" t="s">
        <v>34</v>
      </c>
      <c r="B17" s="14">
        <v>44886.378472222219</v>
      </c>
      <c r="C17" s="14">
        <v>44887.609722222223</v>
      </c>
      <c r="D17" s="1" t="s">
        <v>22</v>
      </c>
      <c r="E17" s="1" t="s">
        <v>28</v>
      </c>
      <c r="F17" s="12">
        <f t="shared" ca="1" si="0"/>
        <v>2.4078943287095171</v>
      </c>
      <c r="G17" s="13">
        <f t="shared" ca="1" si="1"/>
        <v>1.1766443287051516</v>
      </c>
    </row>
    <row r="18" spans="1:7" x14ac:dyDescent="0.25">
      <c r="A18" s="1" t="s">
        <v>34</v>
      </c>
      <c r="B18" s="14">
        <v>44886.383333333331</v>
      </c>
      <c r="C18" s="14">
        <v>44887.605555555558</v>
      </c>
      <c r="D18" s="1" t="s">
        <v>22</v>
      </c>
      <c r="E18" s="1" t="s">
        <v>28</v>
      </c>
      <c r="F18" s="12">
        <f t="shared" ca="1" si="0"/>
        <v>2.4030332175971125</v>
      </c>
      <c r="G18" s="13">
        <f t="shared" ca="1" si="1"/>
        <v>1.1808109953708481</v>
      </c>
    </row>
    <row r="19" spans="1:7" x14ac:dyDescent="0.25">
      <c r="A19" s="1" t="s">
        <v>37</v>
      </c>
      <c r="B19" s="14">
        <v>44883.732638888891</v>
      </c>
      <c r="C19" s="14">
        <v>44887.604861111111</v>
      </c>
      <c r="D19" s="1" t="s">
        <v>22</v>
      </c>
      <c r="E19" s="1" t="s">
        <v>23</v>
      </c>
      <c r="F19" s="12">
        <f t="shared" ca="1" si="0"/>
        <v>5.0537276620379998</v>
      </c>
      <c r="G19" s="13">
        <f t="shared" ca="1" si="1"/>
        <v>1.1815054398175562</v>
      </c>
    </row>
    <row r="20" spans="1:7" x14ac:dyDescent="0.25">
      <c r="A20" s="1" t="s">
        <v>38</v>
      </c>
      <c r="B20" s="14">
        <v>44887.595138888886</v>
      </c>
      <c r="C20" s="14">
        <v>44887.595138888886</v>
      </c>
      <c r="D20" s="1" t="s">
        <v>25</v>
      </c>
      <c r="E20" s="1" t="s">
        <v>26</v>
      </c>
      <c r="F20" s="12">
        <f t="shared" ca="1" si="0"/>
        <v>1.1912276620423654</v>
      </c>
      <c r="G20" s="13">
        <f t="shared" ca="1" si="1"/>
        <v>1.1912276620423654</v>
      </c>
    </row>
    <row r="21" spans="1:7" x14ac:dyDescent="0.25">
      <c r="A21" s="1" t="s">
        <v>38</v>
      </c>
      <c r="B21" s="14">
        <v>44887.591666666667</v>
      </c>
      <c r="C21" s="14">
        <v>44887.591666666667</v>
      </c>
      <c r="D21" s="1" t="s">
        <v>25</v>
      </c>
      <c r="E21" s="1" t="s">
        <v>26</v>
      </c>
      <c r="F21" s="12">
        <f t="shared" ca="1" si="0"/>
        <v>1.1946998842613539</v>
      </c>
      <c r="G21" s="13">
        <f t="shared" ca="1" si="1"/>
        <v>1.1946998842613539</v>
      </c>
    </row>
    <row r="22" spans="1:7" x14ac:dyDescent="0.25">
      <c r="A22" s="1" t="s">
        <v>39</v>
      </c>
      <c r="B22" s="14">
        <v>44887.585416666669</v>
      </c>
      <c r="C22" s="14">
        <v>44887.586111111108</v>
      </c>
      <c r="D22" s="1" t="s">
        <v>25</v>
      </c>
      <c r="E22" s="1" t="s">
        <v>26</v>
      </c>
      <c r="F22" s="12">
        <f t="shared" ca="1" si="0"/>
        <v>1.2009498842598987</v>
      </c>
      <c r="G22" s="13">
        <f t="shared" ca="1" si="1"/>
        <v>1.2002554398204666</v>
      </c>
    </row>
    <row r="23" spans="1:7" x14ac:dyDescent="0.25">
      <c r="A23" s="1" t="s">
        <v>27</v>
      </c>
      <c r="B23" s="14">
        <v>44887.584027777775</v>
      </c>
      <c r="C23" s="14">
        <v>44887.584027777775</v>
      </c>
      <c r="D23" s="1" t="s">
        <v>22</v>
      </c>
      <c r="E23" s="1" t="s">
        <v>26</v>
      </c>
      <c r="F23" s="12">
        <f t="shared" ca="1" si="0"/>
        <v>1.2023387731533148</v>
      </c>
      <c r="G23" s="13">
        <f t="shared" ca="1" si="1"/>
        <v>1.2023387731533148</v>
      </c>
    </row>
    <row r="24" spans="1:7" x14ac:dyDescent="0.25">
      <c r="A24" s="1" t="s">
        <v>34</v>
      </c>
      <c r="B24" s="14">
        <v>44883.6</v>
      </c>
      <c r="C24" s="14">
        <v>44887.57916666667</v>
      </c>
      <c r="D24" s="1" t="s">
        <v>22</v>
      </c>
      <c r="E24" s="1" t="s">
        <v>28</v>
      </c>
      <c r="F24" s="12">
        <f t="shared" ca="1" si="0"/>
        <v>5.1863665509299608</v>
      </c>
      <c r="G24" s="13">
        <f t="shared" ca="1" si="1"/>
        <v>1.2071998842584435</v>
      </c>
    </row>
    <row r="25" spans="1:7" x14ac:dyDescent="0.25">
      <c r="A25" s="1" t="s">
        <v>33</v>
      </c>
      <c r="B25" s="14">
        <v>44882.42291666667</v>
      </c>
      <c r="C25" s="14">
        <v>44887.568055555559</v>
      </c>
      <c r="D25" s="1" t="s">
        <v>22</v>
      </c>
      <c r="E25" s="1" t="s">
        <v>28</v>
      </c>
      <c r="F25" s="12">
        <f t="shared" ca="1" si="0"/>
        <v>6.3634498842584435</v>
      </c>
      <c r="G25" s="13">
        <f t="shared" ca="1" si="1"/>
        <v>1.2183109953693929</v>
      </c>
    </row>
    <row r="26" spans="1:7" x14ac:dyDescent="0.25">
      <c r="A26" s="1" t="s">
        <v>33</v>
      </c>
      <c r="B26" s="14">
        <v>44882.424305555556</v>
      </c>
      <c r="C26" s="14">
        <v>44887.567361111112</v>
      </c>
      <c r="D26" s="1" t="s">
        <v>22</v>
      </c>
      <c r="E26" s="1" t="s">
        <v>23</v>
      </c>
      <c r="F26" s="12">
        <f t="shared" ca="1" si="0"/>
        <v>6.3620609953723033</v>
      </c>
      <c r="G26" s="13">
        <f t="shared" ca="1" si="1"/>
        <v>1.219005439816101</v>
      </c>
    </row>
    <row r="27" spans="1:7" x14ac:dyDescent="0.25">
      <c r="A27" s="1" t="s">
        <v>40</v>
      </c>
      <c r="B27" s="14">
        <v>44887.554166666669</v>
      </c>
      <c r="C27" s="14">
        <v>44887.554166666669</v>
      </c>
      <c r="D27" s="1" t="s">
        <v>22</v>
      </c>
      <c r="E27" s="1" t="s">
        <v>26</v>
      </c>
      <c r="F27" s="12">
        <f t="shared" ca="1" si="0"/>
        <v>1.2321998842598987</v>
      </c>
      <c r="G27" s="13">
        <f t="shared" ca="1" si="1"/>
        <v>1.2321998842598987</v>
      </c>
    </row>
    <row r="28" spans="1:7" x14ac:dyDescent="0.25">
      <c r="A28" s="1" t="s">
        <v>32</v>
      </c>
      <c r="B28" s="14">
        <v>44887.513194444444</v>
      </c>
      <c r="C28" s="14">
        <v>44887.513194444444</v>
      </c>
      <c r="D28" s="1" t="s">
        <v>22</v>
      </c>
      <c r="E28" s="1" t="s">
        <v>26</v>
      </c>
      <c r="F28" s="12">
        <f t="shared" ca="1" si="0"/>
        <v>1.2731721064847079</v>
      </c>
      <c r="G28" s="13">
        <f t="shared" ca="1" si="1"/>
        <v>1.2731721064847079</v>
      </c>
    </row>
    <row r="29" spans="1:7" x14ac:dyDescent="0.25">
      <c r="A29" s="1" t="s">
        <v>27</v>
      </c>
      <c r="B29" s="14">
        <v>44887.456944444442</v>
      </c>
      <c r="C29" s="14">
        <v>44887.510416666664</v>
      </c>
      <c r="D29" s="1" t="s">
        <v>22</v>
      </c>
      <c r="E29" s="1" t="s">
        <v>28</v>
      </c>
      <c r="F29" s="12">
        <f t="shared" ca="1" si="0"/>
        <v>1.3294221064861631</v>
      </c>
      <c r="G29" s="13">
        <f t="shared" ca="1" si="1"/>
        <v>1.2759498842642643</v>
      </c>
    </row>
    <row r="30" spans="1:7" x14ac:dyDescent="0.25">
      <c r="A30" s="1" t="s">
        <v>33</v>
      </c>
      <c r="B30" s="14">
        <v>44882.420138888891</v>
      </c>
      <c r="C30" s="14">
        <v>44887.501388888886</v>
      </c>
      <c r="D30" s="1" t="s">
        <v>22</v>
      </c>
      <c r="E30" s="1" t="s">
        <v>23</v>
      </c>
      <c r="F30" s="12">
        <f t="shared" ca="1" si="0"/>
        <v>6.3662276620379998</v>
      </c>
      <c r="G30" s="13">
        <f t="shared" ca="1" si="1"/>
        <v>1.2849776620423654</v>
      </c>
    </row>
    <row r="31" spans="1:7" x14ac:dyDescent="0.25">
      <c r="A31" s="1" t="s">
        <v>41</v>
      </c>
      <c r="B31" s="14">
        <v>44887.5</v>
      </c>
      <c r="C31" s="14">
        <v>44887.5</v>
      </c>
      <c r="D31" s="1" t="s">
        <v>22</v>
      </c>
      <c r="E31" s="1" t="s">
        <v>26</v>
      </c>
      <c r="F31" s="12">
        <f t="shared" ca="1" si="0"/>
        <v>1.2863665509285056</v>
      </c>
      <c r="G31" s="13">
        <f t="shared" ca="1" si="1"/>
        <v>1.2863665509285056</v>
      </c>
    </row>
    <row r="32" spans="1:7" x14ac:dyDescent="0.25">
      <c r="A32" s="1" t="s">
        <v>42</v>
      </c>
      <c r="B32" s="14">
        <v>44883.741666666669</v>
      </c>
      <c r="C32" s="14">
        <v>44887.490972222222</v>
      </c>
      <c r="D32" s="1" t="s">
        <v>22</v>
      </c>
      <c r="E32" s="1" t="s">
        <v>28</v>
      </c>
      <c r="F32" s="12">
        <f t="shared" ca="1" si="0"/>
        <v>5.0446998842598987</v>
      </c>
      <c r="G32" s="13">
        <f t="shared" ca="1" si="1"/>
        <v>1.2953943287066068</v>
      </c>
    </row>
    <row r="33" spans="1:7" x14ac:dyDescent="0.25">
      <c r="A33" s="1" t="s">
        <v>27</v>
      </c>
      <c r="B33" s="14">
        <v>44887.40902777778</v>
      </c>
      <c r="C33" s="14">
        <v>44887.480555555558</v>
      </c>
      <c r="D33" s="1" t="s">
        <v>22</v>
      </c>
      <c r="E33" s="1" t="s">
        <v>26</v>
      </c>
      <c r="F33" s="12">
        <f t="shared" ca="1" si="0"/>
        <v>1.3773387731489493</v>
      </c>
      <c r="G33" s="13">
        <f t="shared" ca="1" si="1"/>
        <v>1.3058109953708481</v>
      </c>
    </row>
    <row r="34" spans="1:7" x14ac:dyDescent="0.25">
      <c r="A34" s="1" t="s">
        <v>43</v>
      </c>
      <c r="B34" s="14">
        <v>44887.47152777778</v>
      </c>
      <c r="C34" s="14">
        <v>44887.47152777778</v>
      </c>
      <c r="D34" s="1" t="s">
        <v>22</v>
      </c>
      <c r="E34" s="1" t="s">
        <v>26</v>
      </c>
      <c r="F34" s="12">
        <f t="shared" ref="F34:F65" ca="1" si="2">NOW()-B34</f>
        <v>1.3148387731489493</v>
      </c>
      <c r="G34" s="13">
        <f t="shared" ref="G34:G65" ca="1" si="3">NOW()-C34</f>
        <v>1.3148387731489493</v>
      </c>
    </row>
    <row r="35" spans="1:7" x14ac:dyDescent="0.25">
      <c r="A35" s="1" t="s">
        <v>27</v>
      </c>
      <c r="B35" s="14">
        <v>44887.411111111112</v>
      </c>
      <c r="C35" s="14">
        <v>44887.46875</v>
      </c>
      <c r="D35" s="1" t="s">
        <v>22</v>
      </c>
      <c r="E35" s="1" t="s">
        <v>26</v>
      </c>
      <c r="F35" s="12">
        <f t="shared" ca="1" si="2"/>
        <v>1.375255439816101</v>
      </c>
      <c r="G35" s="13">
        <f t="shared" ca="1" si="3"/>
        <v>1.3176165509285056</v>
      </c>
    </row>
    <row r="36" spans="1:7" x14ac:dyDescent="0.25">
      <c r="A36" s="1" t="s">
        <v>27</v>
      </c>
      <c r="B36" s="14">
        <v>44887.42083333333</v>
      </c>
      <c r="C36" s="14">
        <v>44887.46875</v>
      </c>
      <c r="D36" s="1" t="s">
        <v>22</v>
      </c>
      <c r="E36" s="1" t="s">
        <v>26</v>
      </c>
      <c r="F36" s="12">
        <f t="shared" ca="1" si="2"/>
        <v>1.3655332175985677</v>
      </c>
      <c r="G36" s="13">
        <f t="shared" ca="1" si="3"/>
        <v>1.3176165509285056</v>
      </c>
    </row>
    <row r="37" spans="1:7" x14ac:dyDescent="0.25">
      <c r="A37" s="1" t="s">
        <v>44</v>
      </c>
      <c r="B37" s="14">
        <v>44886.716666666667</v>
      </c>
      <c r="C37" s="14">
        <v>44887.461111111108</v>
      </c>
      <c r="D37" s="1" t="s">
        <v>22</v>
      </c>
      <c r="E37" s="1" t="s">
        <v>28</v>
      </c>
      <c r="F37" s="12">
        <f t="shared" ca="1" si="2"/>
        <v>2.0696998842613539</v>
      </c>
      <c r="G37" s="13">
        <f t="shared" ca="1" si="3"/>
        <v>1.3252554398204666</v>
      </c>
    </row>
    <row r="38" spans="1:7" x14ac:dyDescent="0.25">
      <c r="A38" s="1" t="s">
        <v>45</v>
      </c>
      <c r="B38" s="14">
        <v>44887.461111111108</v>
      </c>
      <c r="C38" s="14">
        <v>44887.461111111108</v>
      </c>
      <c r="D38" s="1" t="s">
        <v>22</v>
      </c>
      <c r="E38" s="1" t="s">
        <v>26</v>
      </c>
      <c r="F38" s="12">
        <f t="shared" ca="1" si="2"/>
        <v>1.3252554398204666</v>
      </c>
      <c r="G38" s="13">
        <f t="shared" ca="1" si="3"/>
        <v>1.3252554398204666</v>
      </c>
    </row>
    <row r="39" spans="1:7" x14ac:dyDescent="0.25">
      <c r="A39" s="1" t="s">
        <v>46</v>
      </c>
      <c r="B39" s="14">
        <v>44876.705555555556</v>
      </c>
      <c r="C39" s="14">
        <v>44887.453472222223</v>
      </c>
      <c r="D39" s="1" t="s">
        <v>22</v>
      </c>
      <c r="E39" s="1" t="s">
        <v>26</v>
      </c>
      <c r="F39" s="12">
        <f t="shared" ca="1" si="2"/>
        <v>12.080810995372303</v>
      </c>
      <c r="G39" s="13">
        <f t="shared" ca="1" si="3"/>
        <v>1.3328943287051516</v>
      </c>
    </row>
    <row r="40" spans="1:7" x14ac:dyDescent="0.25">
      <c r="A40" s="1" t="s">
        <v>33</v>
      </c>
      <c r="B40" s="14">
        <v>44886.491666666669</v>
      </c>
      <c r="C40" s="14">
        <v>44887.45208333333</v>
      </c>
      <c r="D40" s="1" t="s">
        <v>22</v>
      </c>
      <c r="E40" s="1" t="s">
        <v>28</v>
      </c>
      <c r="F40" s="12">
        <f t="shared" ca="1" si="2"/>
        <v>2.2946998842598987</v>
      </c>
      <c r="G40" s="13">
        <f t="shared" ca="1" si="3"/>
        <v>1.3342832175985677</v>
      </c>
    </row>
    <row r="41" spans="1:7" x14ac:dyDescent="0.25">
      <c r="A41" s="1" t="s">
        <v>44</v>
      </c>
      <c r="B41" s="14">
        <v>44887.447222222225</v>
      </c>
      <c r="C41" s="14">
        <v>44887.447222222225</v>
      </c>
      <c r="D41" s="1" t="s">
        <v>22</v>
      </c>
      <c r="E41" s="1" t="s">
        <v>23</v>
      </c>
      <c r="F41" s="12">
        <f t="shared" ca="1" si="2"/>
        <v>1.3391443287036964</v>
      </c>
      <c r="G41" s="13">
        <f t="shared" ca="1" si="3"/>
        <v>1.3391443287036964</v>
      </c>
    </row>
    <row r="42" spans="1:7" x14ac:dyDescent="0.25">
      <c r="A42" s="1" t="s">
        <v>24</v>
      </c>
      <c r="B42" s="14">
        <v>44887.44027777778</v>
      </c>
      <c r="C42" s="14">
        <v>44887.44027777778</v>
      </c>
      <c r="D42" s="1" t="s">
        <v>25</v>
      </c>
      <c r="E42" s="1" t="s">
        <v>26</v>
      </c>
      <c r="F42" s="12">
        <f t="shared" ca="1" si="2"/>
        <v>1.3460887731489493</v>
      </c>
      <c r="G42" s="13">
        <f t="shared" ca="1" si="3"/>
        <v>1.3460887731489493</v>
      </c>
    </row>
    <row r="43" spans="1:7" x14ac:dyDescent="0.25">
      <c r="A43" s="1" t="s">
        <v>47</v>
      </c>
      <c r="B43" s="14">
        <v>44887.419444444444</v>
      </c>
      <c r="C43" s="14">
        <v>44887.419444444444</v>
      </c>
      <c r="D43" s="1" t="s">
        <v>22</v>
      </c>
      <c r="E43" s="1" t="s">
        <v>28</v>
      </c>
      <c r="F43" s="12">
        <f t="shared" ca="1" si="2"/>
        <v>1.3669221064847079</v>
      </c>
      <c r="G43" s="13">
        <f t="shared" ca="1" si="3"/>
        <v>1.3669221064847079</v>
      </c>
    </row>
    <row r="44" spans="1:7" x14ac:dyDescent="0.25">
      <c r="A44" s="1" t="s">
        <v>33</v>
      </c>
      <c r="B44" s="14">
        <v>44882.421527777777</v>
      </c>
      <c r="C44" s="14">
        <v>44887.409722222219</v>
      </c>
      <c r="D44" s="1" t="s">
        <v>22</v>
      </c>
      <c r="E44" s="1" t="s">
        <v>23</v>
      </c>
      <c r="F44" s="12">
        <f t="shared" ca="1" si="2"/>
        <v>6.3648387731518596</v>
      </c>
      <c r="G44" s="13">
        <f t="shared" ca="1" si="3"/>
        <v>1.3766443287095171</v>
      </c>
    </row>
    <row r="45" spans="1:7" x14ac:dyDescent="0.25">
      <c r="A45" s="1" t="s">
        <v>44</v>
      </c>
      <c r="B45" s="14">
        <v>44872.59375</v>
      </c>
      <c r="C45" s="14">
        <v>44887.374305555553</v>
      </c>
      <c r="D45" s="1" t="s">
        <v>22</v>
      </c>
      <c r="E45" s="1" t="s">
        <v>28</v>
      </c>
      <c r="F45" s="12">
        <f t="shared" ca="1" si="2"/>
        <v>16.192616550928506</v>
      </c>
      <c r="G45" s="13">
        <f t="shared" ca="1" si="3"/>
        <v>1.4120609953752137</v>
      </c>
    </row>
    <row r="46" spans="1:7" x14ac:dyDescent="0.25">
      <c r="A46" s="1" t="s">
        <v>33</v>
      </c>
      <c r="B46" s="14">
        <v>44879.740277777775</v>
      </c>
      <c r="C46" s="14">
        <v>44887.370138888888</v>
      </c>
      <c r="D46" s="1" t="s">
        <v>22</v>
      </c>
      <c r="E46" s="1" t="s">
        <v>28</v>
      </c>
      <c r="F46" s="12">
        <f t="shared" ca="1" si="2"/>
        <v>9.0460887731533148</v>
      </c>
      <c r="G46" s="13">
        <f t="shared" ca="1" si="3"/>
        <v>1.4162276620409102</v>
      </c>
    </row>
    <row r="47" spans="1:7" x14ac:dyDescent="0.25">
      <c r="A47" s="1" t="s">
        <v>48</v>
      </c>
      <c r="B47" s="14">
        <v>44887.367361111108</v>
      </c>
      <c r="C47" s="14">
        <v>44887.367361111108</v>
      </c>
      <c r="D47" s="1" t="s">
        <v>25</v>
      </c>
      <c r="E47" s="1" t="s">
        <v>26</v>
      </c>
      <c r="F47" s="12">
        <f t="shared" ca="1" si="2"/>
        <v>1.4190054398204666</v>
      </c>
      <c r="G47" s="13">
        <f t="shared" ca="1" si="3"/>
        <v>1.4190054398204666</v>
      </c>
    </row>
    <row r="48" spans="1:7" x14ac:dyDescent="0.25">
      <c r="A48" s="1" t="s">
        <v>45</v>
      </c>
      <c r="B48" s="14">
        <v>44887.352777777778</v>
      </c>
      <c r="C48" s="14">
        <v>44887.352777777778</v>
      </c>
      <c r="D48" s="1" t="s">
        <v>22</v>
      </c>
      <c r="E48" s="1" t="s">
        <v>26</v>
      </c>
      <c r="F48" s="12">
        <f t="shared" ca="1" si="2"/>
        <v>1.4335887731504044</v>
      </c>
      <c r="G48" s="13">
        <f t="shared" ca="1" si="3"/>
        <v>1.4335887731504044</v>
      </c>
    </row>
    <row r="49" spans="1:7" x14ac:dyDescent="0.25">
      <c r="A49" s="1" t="s">
        <v>34</v>
      </c>
      <c r="B49" s="14">
        <v>44883.491666666669</v>
      </c>
      <c r="C49" s="14">
        <v>44887.336111111108</v>
      </c>
      <c r="D49" s="1" t="s">
        <v>22</v>
      </c>
      <c r="E49" s="1" t="s">
        <v>28</v>
      </c>
      <c r="F49" s="12">
        <f t="shared" ca="1" si="2"/>
        <v>5.2946998842598987</v>
      </c>
      <c r="G49" s="13">
        <f t="shared" ca="1" si="3"/>
        <v>1.4502554398204666</v>
      </c>
    </row>
    <row r="50" spans="1:7" x14ac:dyDescent="0.25">
      <c r="A50" s="1" t="s">
        <v>34</v>
      </c>
      <c r="B50" s="14">
        <v>44883.494444444441</v>
      </c>
      <c r="C50" s="14">
        <v>44887.336111111108</v>
      </c>
      <c r="D50" s="1" t="s">
        <v>22</v>
      </c>
      <c r="E50" s="1" t="s">
        <v>28</v>
      </c>
      <c r="F50" s="12">
        <f t="shared" ca="1" si="2"/>
        <v>5.2919221064876183</v>
      </c>
      <c r="G50" s="13">
        <f t="shared" ca="1" si="3"/>
        <v>1.4502554398204666</v>
      </c>
    </row>
    <row r="51" spans="1:7" x14ac:dyDescent="0.25">
      <c r="A51" s="1" t="s">
        <v>34</v>
      </c>
      <c r="B51" s="14">
        <v>44883.496527777781</v>
      </c>
      <c r="C51" s="14">
        <v>44887.336111111108</v>
      </c>
      <c r="D51" s="1" t="s">
        <v>22</v>
      </c>
      <c r="E51" s="1" t="s">
        <v>28</v>
      </c>
      <c r="F51" s="12">
        <f t="shared" ca="1" si="2"/>
        <v>5.2898387731474941</v>
      </c>
      <c r="G51" s="13">
        <f t="shared" ca="1" si="3"/>
        <v>1.4502554398204666</v>
      </c>
    </row>
    <row r="52" spans="1:7" x14ac:dyDescent="0.25">
      <c r="A52" s="1" t="s">
        <v>34</v>
      </c>
      <c r="B52" s="14">
        <v>44883.490277777775</v>
      </c>
      <c r="C52" s="14">
        <v>44887.335416666669</v>
      </c>
      <c r="D52" s="1" t="s">
        <v>22</v>
      </c>
      <c r="E52" s="1" t="s">
        <v>28</v>
      </c>
      <c r="F52" s="12">
        <f t="shared" ca="1" si="2"/>
        <v>5.2960887731533148</v>
      </c>
      <c r="G52" s="13">
        <f t="shared" ca="1" si="3"/>
        <v>1.4509498842598987</v>
      </c>
    </row>
    <row r="53" spans="1:7" x14ac:dyDescent="0.25">
      <c r="A53" s="1" t="s">
        <v>34</v>
      </c>
      <c r="B53" s="14">
        <v>44883.488888888889</v>
      </c>
      <c r="C53" s="14">
        <v>44887.335416666669</v>
      </c>
      <c r="D53" s="1" t="s">
        <v>22</v>
      </c>
      <c r="E53" s="1" t="s">
        <v>28</v>
      </c>
      <c r="F53" s="12">
        <f t="shared" ca="1" si="2"/>
        <v>5.297477662039455</v>
      </c>
      <c r="G53" s="13">
        <f t="shared" ca="1" si="3"/>
        <v>1.4509498842598987</v>
      </c>
    </row>
    <row r="54" spans="1:7" x14ac:dyDescent="0.25">
      <c r="A54" s="1" t="s">
        <v>35</v>
      </c>
      <c r="B54" s="14">
        <v>44883.609722222223</v>
      </c>
      <c r="C54" s="14">
        <v>44887.331944444442</v>
      </c>
      <c r="D54" s="1" t="s">
        <v>22</v>
      </c>
      <c r="E54" s="1" t="s">
        <v>26</v>
      </c>
      <c r="F54" s="12">
        <f t="shared" ca="1" si="2"/>
        <v>5.1766443287051516</v>
      </c>
      <c r="G54" s="13">
        <f t="shared" ca="1" si="3"/>
        <v>1.4544221064861631</v>
      </c>
    </row>
    <row r="55" spans="1:7" x14ac:dyDescent="0.25">
      <c r="A55" s="1" t="s">
        <v>49</v>
      </c>
      <c r="B55" s="14">
        <v>44886.716666666667</v>
      </c>
      <c r="C55" s="14">
        <v>44886.720833333333</v>
      </c>
      <c r="D55" s="1" t="s">
        <v>25</v>
      </c>
      <c r="E55" s="1" t="s">
        <v>26</v>
      </c>
      <c r="F55" s="12">
        <f t="shared" ca="1" si="2"/>
        <v>2.0696998842613539</v>
      </c>
      <c r="G55" s="13">
        <f t="shared" ca="1" si="3"/>
        <v>2.0655332175956573</v>
      </c>
    </row>
    <row r="56" spans="1:7" x14ac:dyDescent="0.25">
      <c r="A56" s="1" t="s">
        <v>50</v>
      </c>
      <c r="B56" s="14">
        <v>44886.618750000001</v>
      </c>
      <c r="C56" s="14">
        <v>44886.70416666667</v>
      </c>
      <c r="D56" s="1" t="s">
        <v>22</v>
      </c>
      <c r="E56" s="1" t="s">
        <v>26</v>
      </c>
      <c r="F56" s="12">
        <f t="shared" ca="1" si="2"/>
        <v>2.1676165509270504</v>
      </c>
      <c r="G56" s="13">
        <f t="shared" ca="1" si="3"/>
        <v>2.0821998842584435</v>
      </c>
    </row>
    <row r="57" spans="1:7" x14ac:dyDescent="0.25">
      <c r="A57" s="1" t="s">
        <v>51</v>
      </c>
      <c r="B57" s="14">
        <v>44882.676388888889</v>
      </c>
      <c r="C57" s="14">
        <v>44886.703472222223</v>
      </c>
      <c r="D57" s="1" t="s">
        <v>22</v>
      </c>
      <c r="E57" s="1" t="s">
        <v>26</v>
      </c>
      <c r="F57" s="12">
        <f t="shared" ca="1" si="2"/>
        <v>6.109977662039455</v>
      </c>
      <c r="G57" s="13">
        <f t="shared" ca="1" si="3"/>
        <v>2.0828943287051516</v>
      </c>
    </row>
    <row r="58" spans="1:7" x14ac:dyDescent="0.25">
      <c r="A58" s="1" t="s">
        <v>52</v>
      </c>
      <c r="B58" s="14">
        <v>44886.663888888892</v>
      </c>
      <c r="C58" s="14">
        <v>44886.663888888892</v>
      </c>
      <c r="D58" s="1" t="s">
        <v>22</v>
      </c>
      <c r="E58" s="1" t="s">
        <v>26</v>
      </c>
      <c r="F58" s="12">
        <f t="shared" ca="1" si="2"/>
        <v>2.1224776620365446</v>
      </c>
      <c r="G58" s="13">
        <f t="shared" ca="1" si="3"/>
        <v>2.1224776620365446</v>
      </c>
    </row>
    <row r="59" spans="1:7" x14ac:dyDescent="0.25">
      <c r="A59" s="1" t="s">
        <v>53</v>
      </c>
      <c r="B59" s="14">
        <v>44886.620833333334</v>
      </c>
      <c r="C59" s="14">
        <v>44886.620833333334</v>
      </c>
      <c r="D59" s="1" t="s">
        <v>25</v>
      </c>
      <c r="E59" s="1" t="s">
        <v>26</v>
      </c>
      <c r="F59" s="12">
        <f t="shared" ca="1" si="2"/>
        <v>2.1655332175942021</v>
      </c>
      <c r="G59" s="13">
        <f t="shared" ca="1" si="3"/>
        <v>2.1655332175942021</v>
      </c>
    </row>
    <row r="60" spans="1:7" x14ac:dyDescent="0.25">
      <c r="A60" s="1" t="s">
        <v>46</v>
      </c>
      <c r="B60" s="14">
        <v>44886.380555555559</v>
      </c>
      <c r="C60" s="14">
        <v>44886.579861111109</v>
      </c>
      <c r="D60" s="1" t="s">
        <v>22</v>
      </c>
      <c r="E60" s="1" t="s">
        <v>28</v>
      </c>
      <c r="F60" s="12">
        <f t="shared" ca="1" si="2"/>
        <v>2.4058109953693929</v>
      </c>
      <c r="G60" s="13">
        <f t="shared" ca="1" si="3"/>
        <v>2.2065054398190114</v>
      </c>
    </row>
    <row r="61" spans="1:7" x14ac:dyDescent="0.25">
      <c r="A61" s="1" t="s">
        <v>46</v>
      </c>
      <c r="B61" s="14">
        <v>44886.384027777778</v>
      </c>
      <c r="C61" s="14">
        <v>44886.57916666667</v>
      </c>
      <c r="D61" s="1" t="s">
        <v>22</v>
      </c>
      <c r="E61" s="1" t="s">
        <v>28</v>
      </c>
      <c r="F61" s="12">
        <f t="shared" ca="1" si="2"/>
        <v>2.4023387731504044</v>
      </c>
      <c r="G61" s="13">
        <f t="shared" ca="1" si="3"/>
        <v>2.2071998842584435</v>
      </c>
    </row>
    <row r="62" spans="1:7" x14ac:dyDescent="0.25">
      <c r="A62" s="1" t="s">
        <v>42</v>
      </c>
      <c r="B62" s="14">
        <v>44886.577777777777</v>
      </c>
      <c r="C62" s="14">
        <v>44886.577777777777</v>
      </c>
      <c r="D62" s="1" t="s">
        <v>22</v>
      </c>
      <c r="E62" s="1" t="s">
        <v>26</v>
      </c>
      <c r="F62" s="12">
        <f t="shared" ca="1" si="2"/>
        <v>2.2085887731518596</v>
      </c>
      <c r="G62" s="13">
        <f t="shared" ca="1" si="3"/>
        <v>2.2085887731518596</v>
      </c>
    </row>
    <row r="63" spans="1:7" x14ac:dyDescent="0.25">
      <c r="A63" s="1" t="s">
        <v>54</v>
      </c>
      <c r="B63" s="14">
        <v>44886.459027777775</v>
      </c>
      <c r="C63" s="14">
        <v>44886.525000000001</v>
      </c>
      <c r="D63" s="1" t="s">
        <v>22</v>
      </c>
      <c r="E63" s="1" t="s">
        <v>26</v>
      </c>
      <c r="F63" s="12">
        <f t="shared" ca="1" si="2"/>
        <v>2.3273387731533148</v>
      </c>
      <c r="G63" s="13">
        <f t="shared" ca="1" si="3"/>
        <v>2.2613665509270504</v>
      </c>
    </row>
    <row r="64" spans="1:7" x14ac:dyDescent="0.25">
      <c r="A64" s="1" t="s">
        <v>35</v>
      </c>
      <c r="B64" s="14">
        <v>44876.648611111108</v>
      </c>
      <c r="C64" s="14">
        <v>44886.523611111108</v>
      </c>
      <c r="D64" s="1" t="s">
        <v>22</v>
      </c>
      <c r="E64" s="1" t="s">
        <v>28</v>
      </c>
      <c r="F64" s="12">
        <f t="shared" ca="1" si="2"/>
        <v>12.137755439820467</v>
      </c>
      <c r="G64" s="13">
        <f t="shared" ca="1" si="3"/>
        <v>2.2627554398204666</v>
      </c>
    </row>
    <row r="65" spans="1:7" x14ac:dyDescent="0.25">
      <c r="A65" s="1" t="s">
        <v>55</v>
      </c>
      <c r="B65" s="14">
        <v>44886.370138888888</v>
      </c>
      <c r="C65" s="14">
        <v>44886.519444444442</v>
      </c>
      <c r="D65" s="1" t="s">
        <v>22</v>
      </c>
      <c r="E65" s="1" t="s">
        <v>23</v>
      </c>
      <c r="F65" s="12">
        <f t="shared" ca="1" si="2"/>
        <v>2.4162276620409102</v>
      </c>
      <c r="G65" s="13">
        <f t="shared" ca="1" si="3"/>
        <v>2.2669221064861631</v>
      </c>
    </row>
    <row r="66" spans="1:7" x14ac:dyDescent="0.25">
      <c r="A66" s="1" t="s">
        <v>56</v>
      </c>
      <c r="B66" s="14">
        <v>44886.461805555555</v>
      </c>
      <c r="C66" s="14">
        <v>44886.461805555555</v>
      </c>
      <c r="D66" s="1" t="s">
        <v>25</v>
      </c>
      <c r="E66" s="1" t="s">
        <v>26</v>
      </c>
      <c r="F66" s="12">
        <f t="shared" ref="F66:F97" ca="1" si="4">NOW()-B66</f>
        <v>2.3245609953737585</v>
      </c>
      <c r="G66" s="13">
        <f t="shared" ref="G66:G97" ca="1" si="5">NOW()-C66</f>
        <v>2.3245609953737585</v>
      </c>
    </row>
    <row r="67" spans="1:7" x14ac:dyDescent="0.25">
      <c r="A67" s="1" t="s">
        <v>57</v>
      </c>
      <c r="B67" s="14">
        <v>44886.414583333331</v>
      </c>
      <c r="C67" s="14">
        <v>44886.45416666667</v>
      </c>
      <c r="D67" s="1" t="s">
        <v>22</v>
      </c>
      <c r="E67" s="1" t="s">
        <v>28</v>
      </c>
      <c r="F67" s="12">
        <f t="shared" ca="1" si="4"/>
        <v>2.3717832175971125</v>
      </c>
      <c r="G67" s="13">
        <f t="shared" ca="1" si="5"/>
        <v>2.3321998842584435</v>
      </c>
    </row>
    <row r="68" spans="1:7" x14ac:dyDescent="0.25">
      <c r="A68" s="1" t="s">
        <v>21</v>
      </c>
      <c r="B68" s="14">
        <v>44886.37777777778</v>
      </c>
      <c r="C68" s="14">
        <v>44886.442361111112</v>
      </c>
      <c r="D68" s="1" t="s">
        <v>22</v>
      </c>
      <c r="E68" s="1" t="s">
        <v>28</v>
      </c>
      <c r="F68" s="12">
        <f t="shared" ca="1" si="4"/>
        <v>2.4085887731489493</v>
      </c>
      <c r="G68" s="13">
        <f t="shared" ca="1" si="5"/>
        <v>2.344005439816101</v>
      </c>
    </row>
    <row r="69" spans="1:7" x14ac:dyDescent="0.25">
      <c r="A69" s="1" t="s">
        <v>58</v>
      </c>
      <c r="B69" s="14">
        <v>44881.699305555558</v>
      </c>
      <c r="C69" s="14">
        <v>44886.435416666667</v>
      </c>
      <c r="D69" s="1" t="s">
        <v>22</v>
      </c>
      <c r="E69" s="1" t="s">
        <v>26</v>
      </c>
      <c r="F69" s="12">
        <f t="shared" ca="1" si="4"/>
        <v>7.0870609953708481</v>
      </c>
      <c r="G69" s="13">
        <f t="shared" ca="1" si="5"/>
        <v>2.3509498842613539</v>
      </c>
    </row>
    <row r="70" spans="1:7" x14ac:dyDescent="0.25">
      <c r="A70" s="1" t="s">
        <v>21</v>
      </c>
      <c r="B70" s="14">
        <v>44882.370138888888</v>
      </c>
      <c r="C70" s="14">
        <v>44886.424305555556</v>
      </c>
      <c r="D70" s="1" t="s">
        <v>22</v>
      </c>
      <c r="E70" s="1" t="s">
        <v>28</v>
      </c>
      <c r="F70" s="12">
        <f t="shared" ca="1" si="4"/>
        <v>6.4162276620409102</v>
      </c>
      <c r="G70" s="13">
        <f t="shared" ca="1" si="5"/>
        <v>2.3620609953723033</v>
      </c>
    </row>
    <row r="71" spans="1:7" x14ac:dyDescent="0.25">
      <c r="A71" s="1" t="s">
        <v>59</v>
      </c>
      <c r="B71" s="14">
        <v>44872.644444444442</v>
      </c>
      <c r="C71" s="14">
        <v>44886.414583333331</v>
      </c>
      <c r="D71" s="1" t="s">
        <v>22</v>
      </c>
      <c r="E71" s="1" t="s">
        <v>26</v>
      </c>
      <c r="F71" s="12">
        <f t="shared" ca="1" si="4"/>
        <v>16.141922106486163</v>
      </c>
      <c r="G71" s="13">
        <f t="shared" ca="1" si="5"/>
        <v>2.3717832175971125</v>
      </c>
    </row>
    <row r="72" spans="1:7" x14ac:dyDescent="0.25">
      <c r="A72" s="1" t="s">
        <v>24</v>
      </c>
      <c r="B72" s="14">
        <v>44886.404166666667</v>
      </c>
      <c r="C72" s="14">
        <v>44886.404166666667</v>
      </c>
      <c r="D72" s="1" t="s">
        <v>25</v>
      </c>
      <c r="E72" s="1" t="s">
        <v>26</v>
      </c>
      <c r="F72" s="12">
        <f t="shared" ca="1" si="4"/>
        <v>2.3821998842613539</v>
      </c>
      <c r="G72" s="13">
        <f t="shared" ca="1" si="5"/>
        <v>2.3821998842613539</v>
      </c>
    </row>
    <row r="73" spans="1:7" x14ac:dyDescent="0.25">
      <c r="A73" s="1" t="s">
        <v>47</v>
      </c>
      <c r="B73" s="14">
        <v>44886.392361111109</v>
      </c>
      <c r="C73" s="14">
        <v>44886.393055555556</v>
      </c>
      <c r="D73" s="1" t="s">
        <v>22</v>
      </c>
      <c r="E73" s="1" t="s">
        <v>28</v>
      </c>
      <c r="F73" s="12">
        <f t="shared" ca="1" si="4"/>
        <v>2.3940054398190114</v>
      </c>
      <c r="G73" s="13">
        <f t="shared" ca="1" si="5"/>
        <v>2.3933109953723033</v>
      </c>
    </row>
    <row r="74" spans="1:7" x14ac:dyDescent="0.25">
      <c r="A74" s="1" t="s">
        <v>60</v>
      </c>
      <c r="B74" s="14">
        <v>44886.380555555559</v>
      </c>
      <c r="C74" s="14">
        <v>44886.388888888891</v>
      </c>
      <c r="D74" s="1" t="s">
        <v>22</v>
      </c>
      <c r="E74" s="1" t="s">
        <v>28</v>
      </c>
      <c r="F74" s="12">
        <f t="shared" ca="1" si="4"/>
        <v>2.4058109953693929</v>
      </c>
      <c r="G74" s="13">
        <f t="shared" ca="1" si="5"/>
        <v>2.3974776620379998</v>
      </c>
    </row>
    <row r="75" spans="1:7" x14ac:dyDescent="0.25">
      <c r="A75" s="1" t="s">
        <v>53</v>
      </c>
      <c r="B75" s="14">
        <v>44886.35</v>
      </c>
      <c r="C75" s="14">
        <v>44886.35</v>
      </c>
      <c r="D75" s="1" t="s">
        <v>25</v>
      </c>
      <c r="E75" s="1" t="s">
        <v>26</v>
      </c>
      <c r="F75" s="12">
        <f t="shared" ca="1" si="4"/>
        <v>2.4363665509299608</v>
      </c>
      <c r="G75" s="13">
        <f t="shared" ca="1" si="5"/>
        <v>2.4363665509299608</v>
      </c>
    </row>
    <row r="76" spans="1:7" x14ac:dyDescent="0.25">
      <c r="A76" s="1" t="s">
        <v>24</v>
      </c>
      <c r="B76" s="14">
        <v>44886.344444444447</v>
      </c>
      <c r="C76" s="14">
        <v>44886.344444444447</v>
      </c>
      <c r="D76" s="1" t="s">
        <v>25</v>
      </c>
      <c r="E76" s="1" t="s">
        <v>26</v>
      </c>
      <c r="F76" s="12">
        <f t="shared" ca="1" si="4"/>
        <v>2.4419221064817975</v>
      </c>
      <c r="G76" s="13">
        <f t="shared" ca="1" si="5"/>
        <v>2.4419221064817975</v>
      </c>
    </row>
    <row r="77" spans="1:7" x14ac:dyDescent="0.25">
      <c r="A77" s="1" t="s">
        <v>33</v>
      </c>
      <c r="B77" s="14">
        <v>44873.553472222222</v>
      </c>
      <c r="C77" s="14">
        <v>44886.336805555555</v>
      </c>
      <c r="D77" s="1" t="s">
        <v>22</v>
      </c>
      <c r="E77" s="1" t="s">
        <v>23</v>
      </c>
      <c r="F77" s="12">
        <f t="shared" ca="1" si="4"/>
        <v>15.232894328706607</v>
      </c>
      <c r="G77" s="13">
        <f t="shared" ca="1" si="5"/>
        <v>2.4495609953737585</v>
      </c>
    </row>
    <row r="78" spans="1:7" x14ac:dyDescent="0.25">
      <c r="A78" s="1" t="s">
        <v>46</v>
      </c>
      <c r="B78" s="14">
        <v>44879.669444444444</v>
      </c>
      <c r="C78" s="14">
        <v>44884.525694444441</v>
      </c>
      <c r="D78" s="1" t="s">
        <v>22</v>
      </c>
      <c r="E78" s="1" t="s">
        <v>28</v>
      </c>
      <c r="F78" s="12">
        <f t="shared" ca="1" si="4"/>
        <v>9.1169221064847079</v>
      </c>
      <c r="G78" s="13">
        <f t="shared" ca="1" si="5"/>
        <v>4.2606721064876183</v>
      </c>
    </row>
    <row r="79" spans="1:7" x14ac:dyDescent="0.25">
      <c r="A79" s="1" t="s">
        <v>61</v>
      </c>
      <c r="B79" s="14">
        <v>44838.67083333333</v>
      </c>
      <c r="C79" s="14">
        <v>44884.455555555556</v>
      </c>
      <c r="D79" s="1" t="s">
        <v>22</v>
      </c>
      <c r="E79" s="1" t="s">
        <v>23</v>
      </c>
      <c r="F79" s="12">
        <f t="shared" ca="1" si="4"/>
        <v>50.115533217598568</v>
      </c>
      <c r="G79" s="13">
        <f t="shared" ca="1" si="5"/>
        <v>4.3308109953723033</v>
      </c>
    </row>
    <row r="80" spans="1:7" x14ac:dyDescent="0.25">
      <c r="A80" s="1" t="s">
        <v>24</v>
      </c>
      <c r="B80" s="14">
        <v>44883.693749999999</v>
      </c>
      <c r="C80" s="14">
        <v>44883.693749999999</v>
      </c>
      <c r="D80" s="1" t="s">
        <v>25</v>
      </c>
      <c r="E80" s="1" t="s">
        <v>26</v>
      </c>
      <c r="F80" s="12">
        <f t="shared" ca="1" si="4"/>
        <v>5.0926165509299608</v>
      </c>
      <c r="G80" s="13">
        <f t="shared" ca="1" si="5"/>
        <v>5.0926165509299608</v>
      </c>
    </row>
    <row r="81" spans="1:7" x14ac:dyDescent="0.25">
      <c r="A81" s="1" t="s">
        <v>62</v>
      </c>
      <c r="B81" s="14">
        <v>44883.64166666667</v>
      </c>
      <c r="C81" s="14">
        <v>44883.643750000003</v>
      </c>
      <c r="D81" s="1" t="s">
        <v>22</v>
      </c>
      <c r="E81" s="1" t="s">
        <v>28</v>
      </c>
      <c r="F81" s="12">
        <f t="shared" ca="1" si="4"/>
        <v>5.1446998842584435</v>
      </c>
      <c r="G81" s="13">
        <f t="shared" ca="1" si="5"/>
        <v>5.1426165509255952</v>
      </c>
    </row>
    <row r="82" spans="1:7" x14ac:dyDescent="0.25">
      <c r="A82" s="1" t="s">
        <v>34</v>
      </c>
      <c r="B82" s="14">
        <v>44883.504861111112</v>
      </c>
      <c r="C82" s="14">
        <v>44883.588888888888</v>
      </c>
      <c r="D82" s="1" t="s">
        <v>22</v>
      </c>
      <c r="E82" s="1" t="s">
        <v>28</v>
      </c>
      <c r="F82" s="12">
        <f t="shared" ca="1" si="4"/>
        <v>5.281505439816101</v>
      </c>
      <c r="G82" s="13">
        <f t="shared" ca="1" si="5"/>
        <v>5.1974776620409102</v>
      </c>
    </row>
    <row r="83" spans="1:7" x14ac:dyDescent="0.25">
      <c r="A83" s="1" t="s">
        <v>35</v>
      </c>
      <c r="B83" s="14">
        <v>44876.644444444442</v>
      </c>
      <c r="C83" s="14">
        <v>44883.502083333333</v>
      </c>
      <c r="D83" s="1" t="s">
        <v>22</v>
      </c>
      <c r="E83" s="1" t="s">
        <v>23</v>
      </c>
      <c r="F83" s="12">
        <f t="shared" ca="1" si="4"/>
        <v>12.141922106486163</v>
      </c>
      <c r="G83" s="13">
        <f t="shared" ca="1" si="5"/>
        <v>5.2842832175956573</v>
      </c>
    </row>
    <row r="84" spans="1:7" x14ac:dyDescent="0.25">
      <c r="A84" s="1" t="s">
        <v>35</v>
      </c>
      <c r="B84" s="14">
        <v>44883.478472222225</v>
      </c>
      <c r="C84" s="14">
        <v>44883.501388888886</v>
      </c>
      <c r="D84" s="1" t="s">
        <v>22</v>
      </c>
      <c r="E84" s="1" t="s">
        <v>26</v>
      </c>
      <c r="F84" s="12">
        <f t="shared" ca="1" si="4"/>
        <v>5.3078943287036964</v>
      </c>
      <c r="G84" s="13">
        <f t="shared" ca="1" si="5"/>
        <v>5.2849776620423654</v>
      </c>
    </row>
    <row r="85" spans="1:7" x14ac:dyDescent="0.25">
      <c r="A85" s="1" t="s">
        <v>35</v>
      </c>
      <c r="B85" s="14">
        <v>44883.456944444442</v>
      </c>
      <c r="C85" s="14">
        <v>44883.456944444442</v>
      </c>
      <c r="D85" s="1" t="s">
        <v>22</v>
      </c>
      <c r="E85" s="1" t="s">
        <v>26</v>
      </c>
      <c r="F85" s="12">
        <f t="shared" ca="1" si="4"/>
        <v>5.3294221064861631</v>
      </c>
      <c r="G85" s="13">
        <f t="shared" ca="1" si="5"/>
        <v>5.3294221064861631</v>
      </c>
    </row>
    <row r="86" spans="1:7" x14ac:dyDescent="0.25">
      <c r="A86" s="1" t="s">
        <v>53</v>
      </c>
      <c r="B86" s="14">
        <v>44883.429861111108</v>
      </c>
      <c r="C86" s="14">
        <v>44883.429861111108</v>
      </c>
      <c r="D86" s="1" t="s">
        <v>25</v>
      </c>
      <c r="E86" s="1" t="s">
        <v>26</v>
      </c>
      <c r="F86" s="12">
        <f t="shared" ca="1" si="4"/>
        <v>5.3565054398204666</v>
      </c>
      <c r="G86" s="13">
        <f t="shared" ca="1" si="5"/>
        <v>5.3565054398204666</v>
      </c>
    </row>
    <row r="87" spans="1:7" x14ac:dyDescent="0.25">
      <c r="A87" s="1" t="s">
        <v>63</v>
      </c>
      <c r="B87" s="14">
        <v>44883.356944444444</v>
      </c>
      <c r="C87" s="14">
        <v>44883.40347222222</v>
      </c>
      <c r="D87" s="1" t="s">
        <v>22</v>
      </c>
      <c r="E87" s="1" t="s">
        <v>28</v>
      </c>
      <c r="F87" s="12">
        <f t="shared" ca="1" si="4"/>
        <v>5.4294221064847079</v>
      </c>
      <c r="G87" s="13">
        <f t="shared" ca="1" si="5"/>
        <v>5.3828943287080619</v>
      </c>
    </row>
    <row r="88" spans="1:7" x14ac:dyDescent="0.25">
      <c r="A88" s="1" t="s">
        <v>64</v>
      </c>
      <c r="B88" s="14">
        <v>44840.432638888888</v>
      </c>
      <c r="C88" s="14">
        <v>44883.316666666666</v>
      </c>
      <c r="D88" s="1" t="s">
        <v>25</v>
      </c>
      <c r="E88" s="1" t="s">
        <v>26</v>
      </c>
      <c r="F88" s="12">
        <f t="shared" ca="1" si="4"/>
        <v>48.35372766204091</v>
      </c>
      <c r="G88" s="13">
        <f t="shared" ca="1" si="5"/>
        <v>5.4696998842628091</v>
      </c>
    </row>
    <row r="89" spans="1:7" x14ac:dyDescent="0.25">
      <c r="A89" s="1" t="s">
        <v>34</v>
      </c>
      <c r="B89" s="14">
        <v>44875.470138888886</v>
      </c>
      <c r="C89" s="14">
        <v>44883.315972222219</v>
      </c>
      <c r="D89" s="1" t="s">
        <v>22</v>
      </c>
      <c r="E89" s="1" t="s">
        <v>28</v>
      </c>
      <c r="F89" s="12">
        <f t="shared" ca="1" si="4"/>
        <v>13.316227662042365</v>
      </c>
      <c r="G89" s="13">
        <f t="shared" ca="1" si="5"/>
        <v>5.4703943287095171</v>
      </c>
    </row>
    <row r="90" spans="1:7" x14ac:dyDescent="0.25">
      <c r="A90" s="1" t="s">
        <v>43</v>
      </c>
      <c r="B90" s="14">
        <v>44882.738194444442</v>
      </c>
      <c r="C90" s="14">
        <v>44882.738194444442</v>
      </c>
      <c r="D90" s="1" t="s">
        <v>22</v>
      </c>
      <c r="E90" s="1" t="s">
        <v>26</v>
      </c>
      <c r="F90" s="12">
        <f t="shared" ca="1" si="4"/>
        <v>6.0481721064861631</v>
      </c>
      <c r="G90" s="13">
        <f t="shared" ca="1" si="5"/>
        <v>6.0481721064861631</v>
      </c>
    </row>
    <row r="91" spans="1:7" x14ac:dyDescent="0.25">
      <c r="A91" s="1" t="s">
        <v>65</v>
      </c>
      <c r="B91" s="14">
        <v>44882.581250000003</v>
      </c>
      <c r="C91" s="14">
        <v>44882.702777777777</v>
      </c>
      <c r="D91" s="1" t="s">
        <v>25</v>
      </c>
      <c r="E91" s="1" t="s">
        <v>26</v>
      </c>
      <c r="F91" s="12">
        <f t="shared" ca="1" si="4"/>
        <v>6.2051165509255952</v>
      </c>
      <c r="G91" s="13">
        <f t="shared" ca="1" si="5"/>
        <v>6.0835887731518596</v>
      </c>
    </row>
    <row r="92" spans="1:7" x14ac:dyDescent="0.25">
      <c r="A92" s="1" t="s">
        <v>24</v>
      </c>
      <c r="B92" s="14">
        <v>44882.581944444442</v>
      </c>
      <c r="C92" s="14">
        <v>44882.581944444442</v>
      </c>
      <c r="D92" s="1" t="s">
        <v>25</v>
      </c>
      <c r="E92" s="1" t="s">
        <v>26</v>
      </c>
      <c r="F92" s="12">
        <f t="shared" ca="1" si="4"/>
        <v>6.2044221064861631</v>
      </c>
      <c r="G92" s="13">
        <f t="shared" ca="1" si="5"/>
        <v>6.2044221064861631</v>
      </c>
    </row>
    <row r="93" spans="1:7" x14ac:dyDescent="0.25">
      <c r="A93" s="1" t="s">
        <v>66</v>
      </c>
      <c r="B93" s="14">
        <v>44882.507638888892</v>
      </c>
      <c r="C93" s="14">
        <v>44882.507638888892</v>
      </c>
      <c r="D93" s="1" t="s">
        <v>22</v>
      </c>
      <c r="E93" s="1" t="s">
        <v>26</v>
      </c>
      <c r="F93" s="12">
        <f t="shared" ca="1" si="4"/>
        <v>6.2787276620365446</v>
      </c>
      <c r="G93" s="13">
        <f t="shared" ca="1" si="5"/>
        <v>6.2787276620365446</v>
      </c>
    </row>
    <row r="94" spans="1:7" x14ac:dyDescent="0.25">
      <c r="A94" s="1" t="s">
        <v>36</v>
      </c>
      <c r="B94" s="14">
        <v>44882.493055555555</v>
      </c>
      <c r="C94" s="14">
        <v>44882.493055555555</v>
      </c>
      <c r="D94" s="1" t="s">
        <v>22</v>
      </c>
      <c r="E94" s="1" t="s">
        <v>26</v>
      </c>
      <c r="F94" s="12">
        <f t="shared" ca="1" si="4"/>
        <v>6.2933109953737585</v>
      </c>
      <c r="G94" s="13">
        <f t="shared" ca="1" si="5"/>
        <v>6.2933109953737585</v>
      </c>
    </row>
    <row r="95" spans="1:7" x14ac:dyDescent="0.25">
      <c r="A95" s="1" t="s">
        <v>38</v>
      </c>
      <c r="B95" s="14">
        <v>44882.478472222225</v>
      </c>
      <c r="C95" s="14">
        <v>44882.478472222225</v>
      </c>
      <c r="D95" s="1" t="s">
        <v>25</v>
      </c>
      <c r="E95" s="1" t="s">
        <v>26</v>
      </c>
      <c r="F95" s="12">
        <f t="shared" ca="1" si="4"/>
        <v>6.3078943287036964</v>
      </c>
      <c r="G95" s="13">
        <f t="shared" ca="1" si="5"/>
        <v>6.3078943287036964</v>
      </c>
    </row>
    <row r="96" spans="1:7" x14ac:dyDescent="0.25">
      <c r="A96" s="1" t="s">
        <v>21</v>
      </c>
      <c r="B96" s="14">
        <v>44882.470138888886</v>
      </c>
      <c r="C96" s="14">
        <v>44882.470138888886</v>
      </c>
      <c r="D96" s="1" t="s">
        <v>22</v>
      </c>
      <c r="E96" s="1" t="s">
        <v>26</v>
      </c>
      <c r="F96" s="12">
        <f t="shared" ca="1" si="4"/>
        <v>6.3162276620423654</v>
      </c>
      <c r="G96" s="13">
        <f t="shared" ca="1" si="5"/>
        <v>6.3162276620423654</v>
      </c>
    </row>
    <row r="97" spans="1:7" x14ac:dyDescent="0.25">
      <c r="A97" s="1" t="s">
        <v>67</v>
      </c>
      <c r="B97" s="14">
        <v>44882.46875</v>
      </c>
      <c r="C97" s="14">
        <v>44882.46875</v>
      </c>
      <c r="D97" s="1" t="s">
        <v>25</v>
      </c>
      <c r="E97" s="1" t="s">
        <v>26</v>
      </c>
      <c r="F97" s="12">
        <f t="shared" ca="1" si="4"/>
        <v>6.3176165509285056</v>
      </c>
      <c r="G97" s="13">
        <f t="shared" ca="1" si="5"/>
        <v>6.3176165509285056</v>
      </c>
    </row>
    <row r="98" spans="1:7" x14ac:dyDescent="0.25">
      <c r="A98" s="1" t="s">
        <v>21</v>
      </c>
      <c r="B98" s="14">
        <v>44882.395833333336</v>
      </c>
      <c r="C98" s="14">
        <v>44882.417361111111</v>
      </c>
      <c r="D98" s="1" t="s">
        <v>22</v>
      </c>
      <c r="E98" s="1" t="s">
        <v>28</v>
      </c>
      <c r="F98" s="12">
        <f t="shared" ref="F98:F129" ca="1" si="6">NOW()-B98</f>
        <v>6.390533217592747</v>
      </c>
      <c r="G98" s="13">
        <f t="shared" ref="G98:G129" ca="1" si="7">NOW()-C98</f>
        <v>6.3690054398175562</v>
      </c>
    </row>
    <row r="99" spans="1:7" x14ac:dyDescent="0.25">
      <c r="A99" s="1" t="s">
        <v>21</v>
      </c>
      <c r="B99" s="14">
        <v>44882.380555555559</v>
      </c>
      <c r="C99" s="14">
        <v>44882.401388888888</v>
      </c>
      <c r="D99" s="1" t="s">
        <v>22</v>
      </c>
      <c r="E99" s="1" t="s">
        <v>28</v>
      </c>
      <c r="F99" s="12">
        <f t="shared" ca="1" si="6"/>
        <v>6.4058109953693929</v>
      </c>
      <c r="G99" s="13">
        <f t="shared" ca="1" si="7"/>
        <v>6.3849776620409102</v>
      </c>
    </row>
    <row r="100" spans="1:7" x14ac:dyDescent="0.25">
      <c r="A100" s="1" t="s">
        <v>35</v>
      </c>
      <c r="B100" s="14">
        <v>44881.359722222223</v>
      </c>
      <c r="C100" s="14">
        <v>44882.38958333333</v>
      </c>
      <c r="D100" s="1" t="s">
        <v>22</v>
      </c>
      <c r="E100" s="1" t="s">
        <v>28</v>
      </c>
      <c r="F100" s="12">
        <f t="shared" ca="1" si="6"/>
        <v>7.4266443287051516</v>
      </c>
      <c r="G100" s="13">
        <f t="shared" ca="1" si="7"/>
        <v>6.3967832175985677</v>
      </c>
    </row>
    <row r="101" spans="1:7" x14ac:dyDescent="0.25">
      <c r="A101" s="1" t="s">
        <v>35</v>
      </c>
      <c r="B101" s="14">
        <v>44882.35</v>
      </c>
      <c r="C101" s="14">
        <v>44882.35</v>
      </c>
      <c r="D101" s="1" t="s">
        <v>22</v>
      </c>
      <c r="E101" s="1" t="s">
        <v>26</v>
      </c>
      <c r="F101" s="12">
        <f t="shared" ca="1" si="6"/>
        <v>6.4363665509299608</v>
      </c>
      <c r="G101" s="13">
        <f t="shared" ca="1" si="7"/>
        <v>6.4363665509299608</v>
      </c>
    </row>
    <row r="102" spans="1:7" x14ac:dyDescent="0.25">
      <c r="A102" s="1" t="s">
        <v>21</v>
      </c>
      <c r="B102" s="14">
        <v>44882.347916666666</v>
      </c>
      <c r="C102" s="14">
        <v>44882.347916666666</v>
      </c>
      <c r="D102" s="1" t="s">
        <v>22</v>
      </c>
      <c r="E102" s="1" t="s">
        <v>26</v>
      </c>
      <c r="F102" s="12">
        <f t="shared" ca="1" si="6"/>
        <v>6.4384498842628091</v>
      </c>
      <c r="G102" s="13">
        <f t="shared" ca="1" si="7"/>
        <v>6.4384498842628091</v>
      </c>
    </row>
    <row r="103" spans="1:7" x14ac:dyDescent="0.25">
      <c r="A103" s="1" t="s">
        <v>47</v>
      </c>
      <c r="B103" s="14">
        <v>44881.744444444441</v>
      </c>
      <c r="C103" s="14">
        <v>44881.744444444441</v>
      </c>
      <c r="D103" s="1" t="s">
        <v>22</v>
      </c>
      <c r="E103" s="1" t="s">
        <v>26</v>
      </c>
      <c r="F103" s="12">
        <f t="shared" ca="1" si="6"/>
        <v>7.0419221064876183</v>
      </c>
      <c r="G103" s="13">
        <f t="shared" ca="1" si="7"/>
        <v>7.0419221064876183</v>
      </c>
    </row>
    <row r="104" spans="1:7" x14ac:dyDescent="0.25">
      <c r="A104" s="1" t="s">
        <v>57</v>
      </c>
      <c r="B104" s="14">
        <v>44881.724999999999</v>
      </c>
      <c r="C104" s="14">
        <v>44881.734722222223</v>
      </c>
      <c r="D104" s="1" t="s">
        <v>22</v>
      </c>
      <c r="E104" s="1" t="s">
        <v>28</v>
      </c>
      <c r="F104" s="12">
        <f t="shared" ca="1" si="6"/>
        <v>7.0613665509299608</v>
      </c>
      <c r="G104" s="13">
        <f t="shared" ca="1" si="7"/>
        <v>7.0516443287051516</v>
      </c>
    </row>
    <row r="105" spans="1:7" x14ac:dyDescent="0.25">
      <c r="A105" s="1" t="s">
        <v>38</v>
      </c>
      <c r="B105" s="14">
        <v>44881.711805555555</v>
      </c>
      <c r="C105" s="14">
        <v>44881.711805555555</v>
      </c>
      <c r="D105" s="1" t="s">
        <v>25</v>
      </c>
      <c r="E105" s="1" t="s">
        <v>26</v>
      </c>
      <c r="F105" s="12">
        <f t="shared" ca="1" si="6"/>
        <v>7.0745609953737585</v>
      </c>
      <c r="G105" s="13">
        <f t="shared" ca="1" si="7"/>
        <v>7.0745609953737585</v>
      </c>
    </row>
    <row r="106" spans="1:7" x14ac:dyDescent="0.25">
      <c r="A106" s="1" t="s">
        <v>35</v>
      </c>
      <c r="B106" s="14">
        <v>44881.663194444445</v>
      </c>
      <c r="C106" s="14">
        <v>44881.695833333331</v>
      </c>
      <c r="D106" s="1" t="s">
        <v>22</v>
      </c>
      <c r="E106" s="1" t="s">
        <v>28</v>
      </c>
      <c r="F106" s="12">
        <f t="shared" ca="1" si="6"/>
        <v>7.1231721064832527</v>
      </c>
      <c r="G106" s="13">
        <f t="shared" ca="1" si="7"/>
        <v>7.0905332175971125</v>
      </c>
    </row>
    <row r="107" spans="1:7" x14ac:dyDescent="0.25">
      <c r="A107" s="1" t="s">
        <v>68</v>
      </c>
      <c r="B107" s="14">
        <v>44865.679166666669</v>
      </c>
      <c r="C107" s="14">
        <v>44881.695138888892</v>
      </c>
      <c r="D107" s="1" t="s">
        <v>22</v>
      </c>
      <c r="E107" s="1" t="s">
        <v>26</v>
      </c>
      <c r="F107" s="12">
        <f t="shared" ca="1" si="6"/>
        <v>23.107199884259899</v>
      </c>
      <c r="G107" s="13">
        <f t="shared" ca="1" si="7"/>
        <v>7.0912276620365446</v>
      </c>
    </row>
    <row r="108" spans="1:7" x14ac:dyDescent="0.25">
      <c r="A108" s="1" t="s">
        <v>68</v>
      </c>
      <c r="B108" s="14">
        <v>44873.67083333333</v>
      </c>
      <c r="C108" s="14">
        <v>44881.695138888892</v>
      </c>
      <c r="D108" s="1" t="s">
        <v>22</v>
      </c>
      <c r="E108" s="1" t="s">
        <v>26</v>
      </c>
      <c r="F108" s="12">
        <f t="shared" ca="1" si="6"/>
        <v>15.115533217598568</v>
      </c>
      <c r="G108" s="13">
        <f t="shared" ca="1" si="7"/>
        <v>7.0912276620365446</v>
      </c>
    </row>
    <row r="109" spans="1:7" x14ac:dyDescent="0.25">
      <c r="A109" s="1" t="s">
        <v>68</v>
      </c>
      <c r="B109" s="14">
        <v>44873.675000000003</v>
      </c>
      <c r="C109" s="14">
        <v>44881.695138888892</v>
      </c>
      <c r="D109" s="1" t="s">
        <v>22</v>
      </c>
      <c r="E109" s="1" t="s">
        <v>26</v>
      </c>
      <c r="F109" s="12">
        <f t="shared" ca="1" si="6"/>
        <v>15.111366550925595</v>
      </c>
      <c r="G109" s="13">
        <f t="shared" ca="1" si="7"/>
        <v>7.0912276620365446</v>
      </c>
    </row>
    <row r="110" spans="1:7" x14ac:dyDescent="0.25">
      <c r="A110" s="1" t="s">
        <v>68</v>
      </c>
      <c r="B110" s="14">
        <v>44873.676388888889</v>
      </c>
      <c r="C110" s="14">
        <v>44881.695138888892</v>
      </c>
      <c r="D110" s="1" t="s">
        <v>22</v>
      </c>
      <c r="E110" s="1" t="s">
        <v>26</v>
      </c>
      <c r="F110" s="12">
        <f t="shared" ca="1" si="6"/>
        <v>15.109977662039455</v>
      </c>
      <c r="G110" s="13">
        <f t="shared" ca="1" si="7"/>
        <v>7.0912276620365446</v>
      </c>
    </row>
    <row r="111" spans="1:7" x14ac:dyDescent="0.25">
      <c r="A111" s="1" t="s">
        <v>68</v>
      </c>
      <c r="B111" s="14">
        <v>44873.682638888888</v>
      </c>
      <c r="C111" s="14">
        <v>44881.695138888892</v>
      </c>
      <c r="D111" s="1" t="s">
        <v>22</v>
      </c>
      <c r="E111" s="1" t="s">
        <v>26</v>
      </c>
      <c r="F111" s="12">
        <f t="shared" ca="1" si="6"/>
        <v>15.10372766204091</v>
      </c>
      <c r="G111" s="13">
        <f t="shared" ca="1" si="7"/>
        <v>7.0912276620365446</v>
      </c>
    </row>
    <row r="112" spans="1:7" x14ac:dyDescent="0.25">
      <c r="A112" s="1" t="s">
        <v>68</v>
      </c>
      <c r="B112" s="14">
        <v>44876.409722222219</v>
      </c>
      <c r="C112" s="14">
        <v>44881.695138888892</v>
      </c>
      <c r="D112" s="1" t="s">
        <v>22</v>
      </c>
      <c r="E112" s="1" t="s">
        <v>26</v>
      </c>
      <c r="F112" s="12">
        <f t="shared" ca="1" si="6"/>
        <v>12.376644328709517</v>
      </c>
      <c r="G112" s="13">
        <f t="shared" ca="1" si="7"/>
        <v>7.0912276620365446</v>
      </c>
    </row>
    <row r="113" spans="1:7" x14ac:dyDescent="0.25">
      <c r="A113" s="1" t="s">
        <v>69</v>
      </c>
      <c r="B113" s="14">
        <v>44881.663194444445</v>
      </c>
      <c r="C113" s="14">
        <v>44881.663194444445</v>
      </c>
      <c r="D113" s="1" t="s">
        <v>22</v>
      </c>
      <c r="E113" s="1" t="s">
        <v>23</v>
      </c>
      <c r="F113" s="12">
        <f t="shared" ca="1" si="6"/>
        <v>7.1231721064832527</v>
      </c>
      <c r="G113" s="13">
        <f t="shared" ca="1" si="7"/>
        <v>7.1231721064832527</v>
      </c>
    </row>
    <row r="114" spans="1:7" x14ac:dyDescent="0.25">
      <c r="A114" s="1" t="s">
        <v>62</v>
      </c>
      <c r="B114" s="14">
        <v>44881.606944444444</v>
      </c>
      <c r="C114" s="14">
        <v>44881.607638888891</v>
      </c>
      <c r="D114" s="1" t="s">
        <v>22</v>
      </c>
      <c r="E114" s="1" t="s">
        <v>28</v>
      </c>
      <c r="F114" s="12">
        <f t="shared" ca="1" si="6"/>
        <v>7.1794221064847079</v>
      </c>
      <c r="G114" s="13">
        <f t="shared" ca="1" si="7"/>
        <v>7.1787276620379998</v>
      </c>
    </row>
    <row r="115" spans="1:7" x14ac:dyDescent="0.25">
      <c r="A115" s="1" t="s">
        <v>38</v>
      </c>
      <c r="B115" s="14">
        <v>44881.49722222222</v>
      </c>
      <c r="C115" s="14">
        <v>44881.49722222222</v>
      </c>
      <c r="D115" s="1" t="s">
        <v>25</v>
      </c>
      <c r="E115" s="1" t="s">
        <v>26</v>
      </c>
      <c r="F115" s="12">
        <f t="shared" ca="1" si="6"/>
        <v>7.2891443287080619</v>
      </c>
      <c r="G115" s="13">
        <f t="shared" ca="1" si="7"/>
        <v>7.2891443287080619</v>
      </c>
    </row>
    <row r="116" spans="1:7" x14ac:dyDescent="0.25">
      <c r="A116" s="1" t="s">
        <v>55</v>
      </c>
      <c r="B116" s="14">
        <v>44881.356944444444</v>
      </c>
      <c r="C116" s="14">
        <v>44881.450694444444</v>
      </c>
      <c r="D116" s="1" t="s">
        <v>22</v>
      </c>
      <c r="E116" s="1" t="s">
        <v>26</v>
      </c>
      <c r="F116" s="12">
        <f t="shared" ca="1" si="6"/>
        <v>7.4294221064847079</v>
      </c>
      <c r="G116" s="13">
        <f t="shared" ca="1" si="7"/>
        <v>7.3356721064847079</v>
      </c>
    </row>
    <row r="117" spans="1:7" x14ac:dyDescent="0.25">
      <c r="A117" s="1" t="s">
        <v>52</v>
      </c>
      <c r="B117" s="14">
        <v>44879.597916666666</v>
      </c>
      <c r="C117" s="14">
        <v>44881.405555555553</v>
      </c>
      <c r="D117" s="1" t="s">
        <v>22</v>
      </c>
      <c r="E117" s="1" t="s">
        <v>26</v>
      </c>
      <c r="F117" s="12">
        <f t="shared" ca="1" si="6"/>
        <v>9.1884498842628091</v>
      </c>
      <c r="G117" s="13">
        <f t="shared" ca="1" si="7"/>
        <v>7.3808109953752137</v>
      </c>
    </row>
    <row r="118" spans="1:7" x14ac:dyDescent="0.25">
      <c r="A118" s="1" t="s">
        <v>47</v>
      </c>
      <c r="B118" s="14">
        <v>44853.638888888891</v>
      </c>
      <c r="C118" s="14">
        <v>44881.371527777781</v>
      </c>
      <c r="D118" s="1" t="s">
        <v>22</v>
      </c>
      <c r="E118" s="1" t="s">
        <v>28</v>
      </c>
      <c r="F118" s="12">
        <f t="shared" ca="1" si="6"/>
        <v>35.147477662038</v>
      </c>
      <c r="G118" s="13">
        <f t="shared" ca="1" si="7"/>
        <v>7.4148387731474941</v>
      </c>
    </row>
    <row r="119" spans="1:7" x14ac:dyDescent="0.25">
      <c r="A119" s="1" t="s">
        <v>37</v>
      </c>
      <c r="B119" s="14">
        <v>44875.667361111111</v>
      </c>
      <c r="C119" s="14">
        <v>44881.331250000003</v>
      </c>
      <c r="D119" s="1" t="s">
        <v>22</v>
      </c>
      <c r="E119" s="1" t="s">
        <v>23</v>
      </c>
      <c r="F119" s="12">
        <f t="shared" ca="1" si="6"/>
        <v>13.119005439817556</v>
      </c>
      <c r="G119" s="13">
        <f t="shared" ca="1" si="7"/>
        <v>7.4551165509255952</v>
      </c>
    </row>
    <row r="120" spans="1:7" x14ac:dyDescent="0.25">
      <c r="A120" s="1" t="s">
        <v>67</v>
      </c>
      <c r="B120" s="14">
        <v>44879.65902777778</v>
      </c>
      <c r="C120" s="14">
        <v>44879.65902777778</v>
      </c>
      <c r="D120" s="1" t="s">
        <v>25</v>
      </c>
      <c r="E120" s="1" t="s">
        <v>26</v>
      </c>
      <c r="F120" s="12">
        <f t="shared" ca="1" si="6"/>
        <v>9.1273387731489493</v>
      </c>
      <c r="G120" s="13">
        <f t="shared" ca="1" si="7"/>
        <v>9.1273387731489493</v>
      </c>
    </row>
    <row r="121" spans="1:7" x14ac:dyDescent="0.25">
      <c r="A121" s="1" t="s">
        <v>70</v>
      </c>
      <c r="B121" s="14">
        <v>44879.554861111108</v>
      </c>
      <c r="C121" s="14">
        <v>44879.588194444441</v>
      </c>
      <c r="D121" s="1" t="s">
        <v>22</v>
      </c>
      <c r="E121" s="1" t="s">
        <v>28</v>
      </c>
      <c r="F121" s="12">
        <f t="shared" ca="1" si="6"/>
        <v>9.2315054398204666</v>
      </c>
      <c r="G121" s="13">
        <f t="shared" ca="1" si="7"/>
        <v>9.1981721064876183</v>
      </c>
    </row>
    <row r="122" spans="1:7" x14ac:dyDescent="0.25">
      <c r="A122" s="1" t="s">
        <v>21</v>
      </c>
      <c r="B122" s="14">
        <v>44879.587500000001</v>
      </c>
      <c r="C122" s="14">
        <v>44879.587500000001</v>
      </c>
      <c r="D122" s="1" t="s">
        <v>22</v>
      </c>
      <c r="E122" s="1" t="s">
        <v>28</v>
      </c>
      <c r="F122" s="12">
        <f t="shared" ca="1" si="6"/>
        <v>9.1988665509270504</v>
      </c>
      <c r="G122" s="13">
        <f t="shared" ca="1" si="7"/>
        <v>9.1988665509270504</v>
      </c>
    </row>
    <row r="123" spans="1:7" x14ac:dyDescent="0.25">
      <c r="A123" s="1" t="s">
        <v>42</v>
      </c>
      <c r="B123" s="14">
        <v>44879.37777777778</v>
      </c>
      <c r="C123" s="14">
        <v>44879.380555555559</v>
      </c>
      <c r="D123" s="1" t="s">
        <v>22</v>
      </c>
      <c r="E123" s="1" t="s">
        <v>28</v>
      </c>
      <c r="F123" s="12">
        <f t="shared" ca="1" si="6"/>
        <v>9.4085887731489493</v>
      </c>
      <c r="G123" s="13">
        <f t="shared" ca="1" si="7"/>
        <v>9.4058109953693929</v>
      </c>
    </row>
    <row r="124" spans="1:7" x14ac:dyDescent="0.25">
      <c r="A124" s="1" t="s">
        <v>71</v>
      </c>
      <c r="B124" s="14">
        <v>44876.709027777775</v>
      </c>
      <c r="C124" s="14">
        <v>44879.345138888886</v>
      </c>
      <c r="D124" s="1" t="s">
        <v>22</v>
      </c>
      <c r="E124" s="1" t="s">
        <v>28</v>
      </c>
      <c r="F124" s="12">
        <f t="shared" ca="1" si="6"/>
        <v>12.077338773153315</v>
      </c>
      <c r="G124" s="13">
        <f t="shared" ca="1" si="7"/>
        <v>9.4412276620423654</v>
      </c>
    </row>
    <row r="125" spans="1:7" x14ac:dyDescent="0.25">
      <c r="A125" s="1" t="s">
        <v>35</v>
      </c>
      <c r="B125" s="14">
        <v>44872.570138888892</v>
      </c>
      <c r="C125" s="14">
        <v>44877.454861111109</v>
      </c>
      <c r="D125" s="1" t="s">
        <v>22</v>
      </c>
      <c r="E125" s="1" t="s">
        <v>28</v>
      </c>
      <c r="F125" s="12">
        <f t="shared" ca="1" si="6"/>
        <v>16.216227662036545</v>
      </c>
      <c r="G125" s="13">
        <f t="shared" ca="1" si="7"/>
        <v>11.331505439819011</v>
      </c>
    </row>
    <row r="126" spans="1:7" x14ac:dyDescent="0.25">
      <c r="A126" s="1" t="s">
        <v>35</v>
      </c>
      <c r="B126" s="14">
        <v>44876.643750000003</v>
      </c>
      <c r="C126" s="14">
        <v>44877.45416666667</v>
      </c>
      <c r="D126" s="1" t="s">
        <v>22</v>
      </c>
      <c r="E126" s="1" t="s">
        <v>28</v>
      </c>
      <c r="F126" s="12">
        <f t="shared" ca="1" si="6"/>
        <v>12.142616550925595</v>
      </c>
      <c r="G126" s="13">
        <f t="shared" ca="1" si="7"/>
        <v>11.332199884258443</v>
      </c>
    </row>
    <row r="127" spans="1:7" x14ac:dyDescent="0.25">
      <c r="A127" s="1" t="s">
        <v>34</v>
      </c>
      <c r="B127" s="14">
        <v>44872.575694444444</v>
      </c>
      <c r="C127" s="14">
        <v>44877.45416666667</v>
      </c>
      <c r="D127" s="1" t="s">
        <v>22</v>
      </c>
      <c r="E127" s="1" t="s">
        <v>28</v>
      </c>
      <c r="F127" s="12">
        <f t="shared" ca="1" si="6"/>
        <v>16.210672106484708</v>
      </c>
      <c r="G127" s="13">
        <f t="shared" ca="1" si="7"/>
        <v>11.332199884258443</v>
      </c>
    </row>
    <row r="128" spans="1:7" x14ac:dyDescent="0.25">
      <c r="A128" s="1" t="s">
        <v>24</v>
      </c>
      <c r="B128" s="14">
        <v>44876.754166666666</v>
      </c>
      <c r="C128" s="14">
        <v>44876.754166666666</v>
      </c>
      <c r="D128" s="1" t="s">
        <v>25</v>
      </c>
      <c r="E128" s="1" t="s">
        <v>26</v>
      </c>
      <c r="F128" s="12">
        <f t="shared" ca="1" si="6"/>
        <v>12.032199884262809</v>
      </c>
      <c r="G128" s="13">
        <f t="shared" ca="1" si="7"/>
        <v>12.032199884262809</v>
      </c>
    </row>
    <row r="129" spans="1:7" x14ac:dyDescent="0.25">
      <c r="A129" s="1" t="s">
        <v>47</v>
      </c>
      <c r="B129" s="14">
        <v>44875.495833333334</v>
      </c>
      <c r="C129" s="14">
        <v>44876.718055555553</v>
      </c>
      <c r="D129" s="1" t="s">
        <v>22</v>
      </c>
      <c r="E129" s="1" t="s">
        <v>28</v>
      </c>
      <c r="F129" s="12">
        <f t="shared" ca="1" si="6"/>
        <v>13.290533217594202</v>
      </c>
      <c r="G129" s="13">
        <f t="shared" ca="1" si="7"/>
        <v>12.068310995375214</v>
      </c>
    </row>
    <row r="130" spans="1:7" x14ac:dyDescent="0.25">
      <c r="A130" s="1" t="s">
        <v>21</v>
      </c>
      <c r="B130" s="14">
        <v>44876.351388888892</v>
      </c>
      <c r="C130" s="14">
        <v>44876.711805555555</v>
      </c>
      <c r="D130" s="1" t="s">
        <v>22</v>
      </c>
      <c r="E130" s="1" t="s">
        <v>28</v>
      </c>
      <c r="F130" s="12">
        <f t="shared" ref="F130:F161" ca="1" si="8">NOW()-B130</f>
        <v>12.434977662036545</v>
      </c>
      <c r="G130" s="13">
        <f t="shared" ref="G130:G161" ca="1" si="9">NOW()-C130</f>
        <v>12.074560995373758</v>
      </c>
    </row>
    <row r="131" spans="1:7" x14ac:dyDescent="0.25">
      <c r="A131" s="1" t="s">
        <v>24</v>
      </c>
      <c r="B131" s="14">
        <v>44866.688194444447</v>
      </c>
      <c r="C131" s="14">
        <v>44876.664583333331</v>
      </c>
      <c r="D131" s="1" t="s">
        <v>25</v>
      </c>
      <c r="E131" s="1" t="s">
        <v>72</v>
      </c>
      <c r="F131" s="12">
        <f t="shared" ca="1" si="8"/>
        <v>22.098172106481798</v>
      </c>
      <c r="G131" s="13">
        <f t="shared" ca="1" si="9"/>
        <v>12.121783217597113</v>
      </c>
    </row>
    <row r="132" spans="1:7" x14ac:dyDescent="0.25">
      <c r="A132" s="1" t="s">
        <v>39</v>
      </c>
      <c r="B132" s="14">
        <v>44830.467361111114</v>
      </c>
      <c r="C132" s="14">
        <v>44876.661805555559</v>
      </c>
      <c r="D132" s="1" t="s">
        <v>25</v>
      </c>
      <c r="E132" s="1" t="s">
        <v>26</v>
      </c>
      <c r="F132" s="12">
        <f t="shared" ca="1" si="8"/>
        <v>58.319005439814646</v>
      </c>
      <c r="G132" s="13">
        <f t="shared" ca="1" si="9"/>
        <v>12.124560995369393</v>
      </c>
    </row>
    <row r="133" spans="1:7" x14ac:dyDescent="0.25">
      <c r="A133" s="1" t="s">
        <v>46</v>
      </c>
      <c r="B133" s="14">
        <v>44876.652083333334</v>
      </c>
      <c r="C133" s="14">
        <v>44876.652083333334</v>
      </c>
      <c r="D133" s="1" t="s">
        <v>22</v>
      </c>
      <c r="E133" s="1" t="s">
        <v>26</v>
      </c>
      <c r="F133" s="12">
        <f t="shared" ca="1" si="8"/>
        <v>12.134283217594202</v>
      </c>
      <c r="G133" s="13">
        <f t="shared" ca="1" si="9"/>
        <v>12.134283217594202</v>
      </c>
    </row>
    <row r="134" spans="1:7" x14ac:dyDescent="0.25">
      <c r="A134" s="1" t="s">
        <v>42</v>
      </c>
      <c r="B134" s="14">
        <v>44869.586111111108</v>
      </c>
      <c r="C134" s="14">
        <v>44876.589583333334</v>
      </c>
      <c r="D134" s="1" t="s">
        <v>22</v>
      </c>
      <c r="E134" s="1" t="s">
        <v>28</v>
      </c>
      <c r="F134" s="12">
        <f t="shared" ca="1" si="8"/>
        <v>19.200255439820467</v>
      </c>
      <c r="G134" s="13">
        <f t="shared" ca="1" si="9"/>
        <v>12.196783217594202</v>
      </c>
    </row>
    <row r="135" spans="1:7" x14ac:dyDescent="0.25">
      <c r="A135" s="1" t="s">
        <v>36</v>
      </c>
      <c r="B135" s="14">
        <v>44876.377083333333</v>
      </c>
      <c r="C135" s="14">
        <v>44876.561111111114</v>
      </c>
      <c r="D135" s="1" t="s">
        <v>22</v>
      </c>
      <c r="E135" s="1" t="s">
        <v>26</v>
      </c>
      <c r="F135" s="12">
        <f t="shared" ca="1" si="8"/>
        <v>12.409283217595657</v>
      </c>
      <c r="G135" s="13">
        <f t="shared" ca="1" si="9"/>
        <v>12.225255439814646</v>
      </c>
    </row>
    <row r="136" spans="1:7" x14ac:dyDescent="0.25">
      <c r="A136" s="1" t="s">
        <v>42</v>
      </c>
      <c r="B136" s="14">
        <v>44866.741666666669</v>
      </c>
      <c r="C136" s="14">
        <v>44876.430555555555</v>
      </c>
      <c r="D136" s="1" t="s">
        <v>22</v>
      </c>
      <c r="E136" s="1" t="s">
        <v>28</v>
      </c>
      <c r="F136" s="12">
        <f t="shared" ca="1" si="8"/>
        <v>22.044699884259899</v>
      </c>
      <c r="G136" s="13">
        <f t="shared" ca="1" si="9"/>
        <v>12.355810995373758</v>
      </c>
    </row>
    <row r="137" spans="1:7" x14ac:dyDescent="0.25">
      <c r="A137" s="1" t="s">
        <v>63</v>
      </c>
      <c r="B137" s="14">
        <v>44874.71597222222</v>
      </c>
      <c r="C137" s="14">
        <v>44875.685416666667</v>
      </c>
      <c r="D137" s="1" t="s">
        <v>22</v>
      </c>
      <c r="E137" s="1" t="s">
        <v>28</v>
      </c>
      <c r="F137" s="12">
        <f t="shared" ca="1" si="8"/>
        <v>14.070394328708062</v>
      </c>
      <c r="G137" s="13">
        <f t="shared" ca="1" si="9"/>
        <v>13.100949884261354</v>
      </c>
    </row>
    <row r="138" spans="1:7" x14ac:dyDescent="0.25">
      <c r="A138" s="1" t="s">
        <v>47</v>
      </c>
      <c r="B138" s="14">
        <v>44875.622916666667</v>
      </c>
      <c r="C138" s="14">
        <v>44875.622916666667</v>
      </c>
      <c r="D138" s="1" t="s">
        <v>22</v>
      </c>
      <c r="E138" s="1" t="s">
        <v>26</v>
      </c>
      <c r="F138" s="12">
        <f t="shared" ca="1" si="8"/>
        <v>13.163449884261354</v>
      </c>
      <c r="G138" s="13">
        <f t="shared" ca="1" si="9"/>
        <v>13.163449884261354</v>
      </c>
    </row>
    <row r="139" spans="1:7" x14ac:dyDescent="0.25">
      <c r="A139" s="1" t="s">
        <v>47</v>
      </c>
      <c r="B139" s="14">
        <v>44862.418749999997</v>
      </c>
      <c r="C139" s="14">
        <v>44875.586111111108</v>
      </c>
      <c r="D139" s="1" t="s">
        <v>22</v>
      </c>
      <c r="E139" s="1" t="s">
        <v>23</v>
      </c>
      <c r="F139" s="12">
        <f t="shared" ca="1" si="8"/>
        <v>26.367616550931416</v>
      </c>
      <c r="G139" s="13">
        <f t="shared" ca="1" si="9"/>
        <v>13.200255439820467</v>
      </c>
    </row>
    <row r="140" spans="1:7" x14ac:dyDescent="0.25">
      <c r="A140" s="1" t="s">
        <v>73</v>
      </c>
      <c r="B140" s="14">
        <v>44868.634027777778</v>
      </c>
      <c r="C140" s="14">
        <v>44875.586111111108</v>
      </c>
      <c r="D140" s="1" t="s">
        <v>22</v>
      </c>
      <c r="E140" s="1" t="s">
        <v>23</v>
      </c>
      <c r="F140" s="12">
        <f t="shared" ca="1" si="8"/>
        <v>20.152338773150404</v>
      </c>
      <c r="G140" s="13">
        <f t="shared" ca="1" si="9"/>
        <v>13.200255439820467</v>
      </c>
    </row>
    <row r="141" spans="1:7" x14ac:dyDescent="0.25">
      <c r="A141" s="1" t="s">
        <v>34</v>
      </c>
      <c r="B141" s="14">
        <v>44869.484722222223</v>
      </c>
      <c r="C141" s="14">
        <v>44875.586111111108</v>
      </c>
      <c r="D141" s="1" t="s">
        <v>22</v>
      </c>
      <c r="E141" s="1" t="s">
        <v>23</v>
      </c>
      <c r="F141" s="12">
        <f t="shared" ca="1" si="8"/>
        <v>19.301644328705152</v>
      </c>
      <c r="G141" s="13">
        <f t="shared" ca="1" si="9"/>
        <v>13.200255439820467</v>
      </c>
    </row>
    <row r="142" spans="1:7" x14ac:dyDescent="0.25">
      <c r="A142" s="1" t="s">
        <v>43</v>
      </c>
      <c r="B142" s="14">
        <v>44875.474305555559</v>
      </c>
      <c r="C142" s="14">
        <v>44875.474305555559</v>
      </c>
      <c r="D142" s="1" t="s">
        <v>22</v>
      </c>
      <c r="E142" s="1" t="s">
        <v>26</v>
      </c>
      <c r="F142" s="12">
        <f t="shared" ca="1" si="8"/>
        <v>13.312060995369393</v>
      </c>
      <c r="G142" s="13">
        <f t="shared" ca="1" si="9"/>
        <v>13.312060995369393</v>
      </c>
    </row>
    <row r="143" spans="1:7" x14ac:dyDescent="0.25">
      <c r="A143" s="1" t="s">
        <v>47</v>
      </c>
      <c r="B143" s="14">
        <v>44875.461805555555</v>
      </c>
      <c r="C143" s="14">
        <v>44875.467361111114</v>
      </c>
      <c r="D143" s="1" t="s">
        <v>22</v>
      </c>
      <c r="E143" s="1" t="s">
        <v>28</v>
      </c>
      <c r="F143" s="12">
        <f t="shared" ca="1" si="8"/>
        <v>13.324560995373758</v>
      </c>
      <c r="G143" s="13">
        <f t="shared" ca="1" si="9"/>
        <v>13.319005439814646</v>
      </c>
    </row>
    <row r="144" spans="1:7" x14ac:dyDescent="0.25">
      <c r="A144" s="1" t="s">
        <v>47</v>
      </c>
      <c r="B144" s="14">
        <v>44866.590277777781</v>
      </c>
      <c r="C144" s="14">
        <v>44875.448611111111</v>
      </c>
      <c r="D144" s="1" t="s">
        <v>22</v>
      </c>
      <c r="E144" s="1" t="s">
        <v>28</v>
      </c>
      <c r="F144" s="12">
        <f t="shared" ca="1" si="8"/>
        <v>22.196088773147494</v>
      </c>
      <c r="G144" s="13">
        <f t="shared" ca="1" si="9"/>
        <v>13.337755439817556</v>
      </c>
    </row>
    <row r="145" spans="1:7" x14ac:dyDescent="0.25">
      <c r="A145" s="1" t="s">
        <v>46</v>
      </c>
      <c r="B145" s="14">
        <v>44875.418749999997</v>
      </c>
      <c r="C145" s="14">
        <v>44875.429166666669</v>
      </c>
      <c r="D145" s="1" t="s">
        <v>22</v>
      </c>
      <c r="E145" s="1" t="s">
        <v>28</v>
      </c>
      <c r="F145" s="12">
        <f t="shared" ca="1" si="8"/>
        <v>13.367616550931416</v>
      </c>
      <c r="G145" s="13">
        <f t="shared" ca="1" si="9"/>
        <v>13.357199884259899</v>
      </c>
    </row>
    <row r="146" spans="1:7" x14ac:dyDescent="0.25">
      <c r="A146" s="1" t="s">
        <v>67</v>
      </c>
      <c r="B146" s="14">
        <v>44875.341666666667</v>
      </c>
      <c r="C146" s="14">
        <v>44875.341666666667</v>
      </c>
      <c r="D146" s="1" t="s">
        <v>25</v>
      </c>
      <c r="E146" s="1" t="s">
        <v>26</v>
      </c>
      <c r="F146" s="12">
        <f t="shared" ca="1" si="8"/>
        <v>13.444699884261354</v>
      </c>
      <c r="G146" s="13">
        <f t="shared" ca="1" si="9"/>
        <v>13.444699884261354</v>
      </c>
    </row>
    <row r="147" spans="1:7" x14ac:dyDescent="0.25">
      <c r="A147" s="1" t="s">
        <v>47</v>
      </c>
      <c r="B147" s="14">
        <v>44874.623611111114</v>
      </c>
      <c r="C147" s="14">
        <v>44874.623611111114</v>
      </c>
      <c r="D147" s="1" t="s">
        <v>22</v>
      </c>
      <c r="E147" s="1" t="s">
        <v>26</v>
      </c>
      <c r="F147" s="12">
        <f t="shared" ca="1" si="8"/>
        <v>14.162755439814646</v>
      </c>
      <c r="G147" s="13">
        <f t="shared" ca="1" si="9"/>
        <v>14.162755439814646</v>
      </c>
    </row>
    <row r="148" spans="1:7" x14ac:dyDescent="0.25">
      <c r="A148" s="1" t="s">
        <v>70</v>
      </c>
      <c r="B148" s="14">
        <v>44873.369444444441</v>
      </c>
      <c r="C148" s="14">
        <v>44874.597222222219</v>
      </c>
      <c r="D148" s="1" t="s">
        <v>22</v>
      </c>
      <c r="E148" s="1" t="s">
        <v>26</v>
      </c>
      <c r="F148" s="12">
        <f t="shared" ca="1" si="8"/>
        <v>15.416922106487618</v>
      </c>
      <c r="G148" s="13">
        <f t="shared" ca="1" si="9"/>
        <v>14.189144328709517</v>
      </c>
    </row>
    <row r="149" spans="1:7" x14ac:dyDescent="0.25">
      <c r="A149" s="1" t="s">
        <v>47</v>
      </c>
      <c r="B149" s="14">
        <v>44860.342361111114</v>
      </c>
      <c r="C149" s="14">
        <v>44874.456250000003</v>
      </c>
      <c r="D149" s="1" t="s">
        <v>22</v>
      </c>
      <c r="E149" s="1" t="s">
        <v>28</v>
      </c>
      <c r="F149" s="12">
        <f t="shared" ca="1" si="8"/>
        <v>28.444005439814646</v>
      </c>
      <c r="G149" s="13">
        <f t="shared" ca="1" si="9"/>
        <v>14.330116550925595</v>
      </c>
    </row>
    <row r="150" spans="1:7" x14ac:dyDescent="0.25">
      <c r="A150" s="1" t="s">
        <v>47</v>
      </c>
      <c r="B150" s="14">
        <v>44869.793749999997</v>
      </c>
      <c r="C150" s="14">
        <v>44874.419444444444</v>
      </c>
      <c r="D150" s="1" t="s">
        <v>22</v>
      </c>
      <c r="E150" s="1" t="s">
        <v>28</v>
      </c>
      <c r="F150" s="12">
        <f t="shared" ca="1" si="8"/>
        <v>18.992616550931416</v>
      </c>
      <c r="G150" s="13">
        <f t="shared" ca="1" si="9"/>
        <v>14.366922106484708</v>
      </c>
    </row>
    <row r="151" spans="1:7" x14ac:dyDescent="0.25">
      <c r="A151" s="1" t="s">
        <v>74</v>
      </c>
      <c r="B151" s="14">
        <v>44874.370138888888</v>
      </c>
      <c r="C151" s="14">
        <v>44874.413888888892</v>
      </c>
      <c r="D151" s="1" t="s">
        <v>22</v>
      </c>
      <c r="E151" s="1" t="s">
        <v>28</v>
      </c>
      <c r="F151" s="12">
        <f t="shared" ca="1" si="8"/>
        <v>14.41622766204091</v>
      </c>
      <c r="G151" s="13">
        <f t="shared" ca="1" si="9"/>
        <v>14.372477662036545</v>
      </c>
    </row>
    <row r="152" spans="1:7" x14ac:dyDescent="0.25">
      <c r="A152" s="1" t="s">
        <v>46</v>
      </c>
      <c r="B152" s="14">
        <v>44873.604861111111</v>
      </c>
      <c r="C152" s="14">
        <v>44874.395138888889</v>
      </c>
      <c r="D152" s="1" t="s">
        <v>22</v>
      </c>
      <c r="E152" s="1" t="s">
        <v>28</v>
      </c>
      <c r="F152" s="12">
        <f t="shared" ca="1" si="8"/>
        <v>15.181505439817556</v>
      </c>
      <c r="G152" s="13">
        <f t="shared" ca="1" si="9"/>
        <v>14.391227662039455</v>
      </c>
    </row>
    <row r="153" spans="1:7" x14ac:dyDescent="0.25">
      <c r="A153" s="1" t="s">
        <v>46</v>
      </c>
      <c r="B153" s="14">
        <v>44873.604166666664</v>
      </c>
      <c r="C153" s="14">
        <v>44874.395138888889</v>
      </c>
      <c r="D153" s="1" t="s">
        <v>22</v>
      </c>
      <c r="E153" s="1" t="s">
        <v>28</v>
      </c>
      <c r="F153" s="12">
        <f t="shared" ca="1" si="8"/>
        <v>15.182199884264264</v>
      </c>
      <c r="G153" s="13">
        <f t="shared" ca="1" si="9"/>
        <v>14.391227662039455</v>
      </c>
    </row>
    <row r="154" spans="1:7" x14ac:dyDescent="0.25">
      <c r="A154" s="1" t="s">
        <v>67</v>
      </c>
      <c r="B154" s="14">
        <v>44872.706250000003</v>
      </c>
      <c r="C154" s="14">
        <v>44874.384722222225</v>
      </c>
      <c r="D154" s="1" t="s">
        <v>25</v>
      </c>
      <c r="E154" s="1" t="s">
        <v>26</v>
      </c>
      <c r="F154" s="12">
        <f t="shared" ca="1" si="8"/>
        <v>16.080116550925595</v>
      </c>
      <c r="G154" s="13">
        <f t="shared" ca="1" si="9"/>
        <v>14.401644328703696</v>
      </c>
    </row>
    <row r="155" spans="1:7" x14ac:dyDescent="0.25">
      <c r="A155" s="1" t="s">
        <v>42</v>
      </c>
      <c r="B155" s="14">
        <v>44874.299305555556</v>
      </c>
      <c r="C155" s="14">
        <v>44874.299305555556</v>
      </c>
      <c r="D155" s="1" t="s">
        <v>22</v>
      </c>
      <c r="E155" s="1" t="s">
        <v>26</v>
      </c>
      <c r="F155" s="12">
        <f t="shared" ca="1" si="8"/>
        <v>14.487060995372303</v>
      </c>
      <c r="G155" s="13">
        <f t="shared" ca="1" si="9"/>
        <v>14.487060995372303</v>
      </c>
    </row>
    <row r="156" spans="1:7" x14ac:dyDescent="0.25">
      <c r="A156" s="1" t="s">
        <v>65</v>
      </c>
      <c r="B156" s="14">
        <v>44873.618750000001</v>
      </c>
      <c r="C156" s="14">
        <v>44873.638888888891</v>
      </c>
      <c r="D156" s="1" t="s">
        <v>25</v>
      </c>
      <c r="E156" s="1" t="s">
        <v>26</v>
      </c>
      <c r="F156" s="12">
        <f t="shared" ca="1" si="8"/>
        <v>15.16761655092705</v>
      </c>
      <c r="G156" s="13">
        <f t="shared" ca="1" si="9"/>
        <v>15.147477662038</v>
      </c>
    </row>
    <row r="157" spans="1:7" x14ac:dyDescent="0.25">
      <c r="A157" s="1" t="s">
        <v>42</v>
      </c>
      <c r="B157" s="14">
        <v>44873.637499999997</v>
      </c>
      <c r="C157" s="14">
        <v>44873.637499999997</v>
      </c>
      <c r="D157" s="1" t="s">
        <v>22</v>
      </c>
      <c r="E157" s="1" t="s">
        <v>26</v>
      </c>
      <c r="F157" s="12">
        <f t="shared" ca="1" si="8"/>
        <v>15.148866550931416</v>
      </c>
      <c r="G157" s="13">
        <f t="shared" ca="1" si="9"/>
        <v>15.148866550931416</v>
      </c>
    </row>
    <row r="158" spans="1:7" x14ac:dyDescent="0.25">
      <c r="A158" s="1" t="s">
        <v>47</v>
      </c>
      <c r="B158" s="14">
        <v>44861.604861111111</v>
      </c>
      <c r="C158" s="14">
        <v>44873.439583333333</v>
      </c>
      <c r="D158" s="1" t="s">
        <v>22</v>
      </c>
      <c r="E158" s="1" t="s">
        <v>28</v>
      </c>
      <c r="F158" s="12">
        <f t="shared" ca="1" si="8"/>
        <v>27.181505439817556</v>
      </c>
      <c r="G158" s="13">
        <f t="shared" ca="1" si="9"/>
        <v>15.346783217595657</v>
      </c>
    </row>
    <row r="159" spans="1:7" x14ac:dyDescent="0.25">
      <c r="A159" s="1" t="s">
        <v>29</v>
      </c>
      <c r="B159" s="14">
        <v>44873.415972222225</v>
      </c>
      <c r="C159" s="14">
        <v>44873.418055555558</v>
      </c>
      <c r="D159" s="1" t="s">
        <v>22</v>
      </c>
      <c r="E159" s="1" t="s">
        <v>28</v>
      </c>
      <c r="F159" s="12">
        <f t="shared" ca="1" si="8"/>
        <v>15.370394328703696</v>
      </c>
      <c r="G159" s="13">
        <f t="shared" ca="1" si="9"/>
        <v>15.368310995370848</v>
      </c>
    </row>
    <row r="160" spans="1:7" x14ac:dyDescent="0.25">
      <c r="A160" s="1" t="s">
        <v>62</v>
      </c>
      <c r="B160" s="14">
        <v>44873.402083333334</v>
      </c>
      <c r="C160" s="14">
        <v>44873.40347222222</v>
      </c>
      <c r="D160" s="1" t="s">
        <v>22</v>
      </c>
      <c r="E160" s="1" t="s">
        <v>28</v>
      </c>
      <c r="F160" s="12">
        <f t="shared" ca="1" si="8"/>
        <v>15.384283217594202</v>
      </c>
      <c r="G160" s="13">
        <f t="shared" ca="1" si="9"/>
        <v>15.382894328708062</v>
      </c>
    </row>
    <row r="161" spans="1:7" x14ac:dyDescent="0.25">
      <c r="A161" s="1" t="s">
        <v>42</v>
      </c>
      <c r="B161" s="14">
        <v>44873.359027777777</v>
      </c>
      <c r="C161" s="14">
        <v>44873.399305555555</v>
      </c>
      <c r="D161" s="1" t="s">
        <v>22</v>
      </c>
      <c r="E161" s="1" t="s">
        <v>28</v>
      </c>
      <c r="F161" s="12">
        <f t="shared" ca="1" si="8"/>
        <v>15.42733877315186</v>
      </c>
      <c r="G161" s="13">
        <f t="shared" ca="1" si="9"/>
        <v>15.387060995373758</v>
      </c>
    </row>
    <row r="162" spans="1:7" x14ac:dyDescent="0.25">
      <c r="A162" s="1" t="s">
        <v>42</v>
      </c>
      <c r="B162" s="14">
        <v>44873.361111111109</v>
      </c>
      <c r="C162" s="14">
        <v>44873.398611111108</v>
      </c>
      <c r="D162" s="1" t="s">
        <v>22</v>
      </c>
      <c r="E162" s="1" t="s">
        <v>28</v>
      </c>
      <c r="F162" s="12">
        <f t="shared" ref="F162:F186" ca="1" si="10">NOW()-B162</f>
        <v>15.425255439819011</v>
      </c>
      <c r="G162" s="13">
        <f t="shared" ref="G162:G186" ca="1" si="11">NOW()-C162</f>
        <v>15.387755439820467</v>
      </c>
    </row>
    <row r="163" spans="1:7" x14ac:dyDescent="0.25">
      <c r="A163" s="1" t="s">
        <v>42</v>
      </c>
      <c r="B163" s="14">
        <v>44873.38958333333</v>
      </c>
      <c r="C163" s="14">
        <v>44873.393750000003</v>
      </c>
      <c r="D163" s="1" t="s">
        <v>22</v>
      </c>
      <c r="E163" s="1" t="s">
        <v>28</v>
      </c>
      <c r="F163" s="12">
        <f t="shared" ca="1" si="10"/>
        <v>15.396783217598568</v>
      </c>
      <c r="G163" s="13">
        <f t="shared" ca="1" si="11"/>
        <v>15.392616550925595</v>
      </c>
    </row>
    <row r="164" spans="1:7" x14ac:dyDescent="0.25">
      <c r="A164" s="1" t="s">
        <v>75</v>
      </c>
      <c r="B164" s="14">
        <v>44872.484722222223</v>
      </c>
      <c r="C164" s="14">
        <v>44872.834027777775</v>
      </c>
      <c r="D164" s="1" t="s">
        <v>22</v>
      </c>
      <c r="E164" s="1" t="s">
        <v>26</v>
      </c>
      <c r="F164" s="12">
        <f t="shared" ca="1" si="10"/>
        <v>16.301644328705152</v>
      </c>
      <c r="G164" s="13">
        <f t="shared" ca="1" si="11"/>
        <v>15.952338773153315</v>
      </c>
    </row>
    <row r="165" spans="1:7" x14ac:dyDescent="0.25">
      <c r="A165" s="1" t="s">
        <v>52</v>
      </c>
      <c r="B165" s="14">
        <v>44872.65902777778</v>
      </c>
      <c r="C165" s="14">
        <v>44872.65902777778</v>
      </c>
      <c r="D165" s="1" t="s">
        <v>22</v>
      </c>
      <c r="E165" s="1" t="s">
        <v>26</v>
      </c>
      <c r="F165" s="12">
        <f t="shared" ca="1" si="10"/>
        <v>16.127338773148949</v>
      </c>
      <c r="G165" s="13">
        <f t="shared" ca="1" si="11"/>
        <v>16.127338773148949</v>
      </c>
    </row>
    <row r="166" spans="1:7" x14ac:dyDescent="0.25">
      <c r="A166" s="1" t="s">
        <v>59</v>
      </c>
      <c r="B166" s="14">
        <v>44872.629166666666</v>
      </c>
      <c r="C166" s="14">
        <v>44872.646527777775</v>
      </c>
      <c r="D166" s="1" t="s">
        <v>22</v>
      </c>
      <c r="E166" s="1" t="s">
        <v>26</v>
      </c>
      <c r="F166" s="12">
        <f t="shared" ca="1" si="10"/>
        <v>16.157199884262809</v>
      </c>
      <c r="G166" s="13">
        <f t="shared" ca="1" si="11"/>
        <v>16.139838773153315</v>
      </c>
    </row>
    <row r="167" spans="1:7" x14ac:dyDescent="0.25">
      <c r="A167" s="1" t="s">
        <v>46</v>
      </c>
      <c r="B167" s="14">
        <v>44872.636111111111</v>
      </c>
      <c r="C167" s="14">
        <v>44872.64166666667</v>
      </c>
      <c r="D167" s="1" t="s">
        <v>22</v>
      </c>
      <c r="E167" s="1" t="s">
        <v>28</v>
      </c>
      <c r="F167" s="12">
        <f t="shared" ca="1" si="10"/>
        <v>16.150255439817556</v>
      </c>
      <c r="G167" s="13">
        <f t="shared" ca="1" si="11"/>
        <v>16.144699884258443</v>
      </c>
    </row>
    <row r="168" spans="1:7" x14ac:dyDescent="0.25">
      <c r="A168" s="1" t="s">
        <v>47</v>
      </c>
      <c r="B168" s="14">
        <v>44869.420138888891</v>
      </c>
      <c r="C168" s="14">
        <v>44872.602777777778</v>
      </c>
      <c r="D168" s="1" t="s">
        <v>22</v>
      </c>
      <c r="E168" s="1" t="s">
        <v>28</v>
      </c>
      <c r="F168" s="12">
        <f t="shared" ca="1" si="10"/>
        <v>19.366227662038</v>
      </c>
      <c r="G168" s="13">
        <f t="shared" ca="1" si="11"/>
        <v>16.183588773150404</v>
      </c>
    </row>
    <row r="169" spans="1:7" x14ac:dyDescent="0.25">
      <c r="A169" s="1" t="s">
        <v>70</v>
      </c>
      <c r="B169" s="14">
        <v>44872.336805555555</v>
      </c>
      <c r="C169" s="14">
        <v>44872.336805555555</v>
      </c>
      <c r="D169" s="1" t="s">
        <v>22</v>
      </c>
      <c r="E169" s="1" t="s">
        <v>26</v>
      </c>
      <c r="F169" s="12">
        <f t="shared" ca="1" si="10"/>
        <v>16.449560995373758</v>
      </c>
      <c r="G169" s="13">
        <f t="shared" ca="1" si="11"/>
        <v>16.449560995373758</v>
      </c>
    </row>
    <row r="170" spans="1:7" x14ac:dyDescent="0.25">
      <c r="A170" s="1" t="s">
        <v>47</v>
      </c>
      <c r="B170" s="14">
        <v>44869.32916666667</v>
      </c>
      <c r="C170" s="14">
        <v>44869.427777777775</v>
      </c>
      <c r="D170" s="1" t="s">
        <v>22</v>
      </c>
      <c r="E170" s="1" t="s">
        <v>28</v>
      </c>
      <c r="F170" s="12">
        <f t="shared" ca="1" si="10"/>
        <v>19.457199884258443</v>
      </c>
      <c r="G170" s="13">
        <f t="shared" ca="1" si="11"/>
        <v>19.358588773153315</v>
      </c>
    </row>
    <row r="171" spans="1:7" x14ac:dyDescent="0.25">
      <c r="A171" s="1" t="s">
        <v>65</v>
      </c>
      <c r="B171" s="14">
        <v>44868.667361111111</v>
      </c>
      <c r="C171" s="14">
        <v>44868.761805555558</v>
      </c>
      <c r="D171" s="1" t="s">
        <v>25</v>
      </c>
      <c r="E171" s="1" t="s">
        <v>26</v>
      </c>
      <c r="F171" s="12">
        <f t="shared" ca="1" si="10"/>
        <v>20.119005439817556</v>
      </c>
      <c r="G171" s="13">
        <f t="shared" ca="1" si="11"/>
        <v>20.024560995370848</v>
      </c>
    </row>
    <row r="172" spans="1:7" x14ac:dyDescent="0.25">
      <c r="A172" s="1" t="s">
        <v>46</v>
      </c>
      <c r="B172" s="14">
        <v>44868.709027777775</v>
      </c>
      <c r="C172" s="14">
        <v>44868.709027777775</v>
      </c>
      <c r="D172" s="1" t="s">
        <v>22</v>
      </c>
      <c r="E172" s="1" t="s">
        <v>26</v>
      </c>
      <c r="F172" s="12">
        <f t="shared" ca="1" si="10"/>
        <v>20.077338773153315</v>
      </c>
      <c r="G172" s="13">
        <f t="shared" ca="1" si="11"/>
        <v>20.077338773153315</v>
      </c>
    </row>
    <row r="173" spans="1:7" x14ac:dyDescent="0.25">
      <c r="A173" s="1" t="s">
        <v>47</v>
      </c>
      <c r="B173" s="14">
        <v>44868.412499999999</v>
      </c>
      <c r="C173" s="14">
        <v>44868.415972222225</v>
      </c>
      <c r="D173" s="1" t="s">
        <v>22</v>
      </c>
      <c r="E173" s="1" t="s">
        <v>28</v>
      </c>
      <c r="F173" s="12">
        <f t="shared" ca="1" si="10"/>
        <v>20.373866550929961</v>
      </c>
      <c r="G173" s="13">
        <f t="shared" ca="1" si="11"/>
        <v>20.370394328703696</v>
      </c>
    </row>
    <row r="174" spans="1:7" x14ac:dyDescent="0.25">
      <c r="A174" s="1" t="s">
        <v>47</v>
      </c>
      <c r="B174" s="14">
        <v>44866.462500000001</v>
      </c>
      <c r="C174" s="14">
        <v>44866.677083333336</v>
      </c>
      <c r="D174" s="1" t="s">
        <v>22</v>
      </c>
      <c r="E174" s="1" t="s">
        <v>28</v>
      </c>
      <c r="F174" s="12">
        <f t="shared" ca="1" si="10"/>
        <v>22.32386655092705</v>
      </c>
      <c r="G174" s="13">
        <f t="shared" ca="1" si="11"/>
        <v>22.109283217592747</v>
      </c>
    </row>
    <row r="175" spans="1:7" x14ac:dyDescent="0.25">
      <c r="A175" s="1" t="s">
        <v>76</v>
      </c>
      <c r="B175" s="14">
        <v>44866.611805555556</v>
      </c>
      <c r="C175" s="14">
        <v>44866.611805555556</v>
      </c>
      <c r="D175" s="1" t="s">
        <v>22</v>
      </c>
      <c r="E175" s="1" t="s">
        <v>26</v>
      </c>
      <c r="F175" s="12">
        <f t="shared" ca="1" si="10"/>
        <v>22.174560995372303</v>
      </c>
      <c r="G175" s="13">
        <f t="shared" ca="1" si="11"/>
        <v>22.174560995372303</v>
      </c>
    </row>
    <row r="176" spans="1:7" x14ac:dyDescent="0.25">
      <c r="A176" s="1" t="s">
        <v>77</v>
      </c>
      <c r="B176" s="14">
        <v>44862.638888888891</v>
      </c>
      <c r="C176" s="14">
        <v>44866.47152777778</v>
      </c>
      <c r="D176" s="1" t="s">
        <v>22</v>
      </c>
      <c r="E176" s="1" t="s">
        <v>26</v>
      </c>
      <c r="F176" s="12">
        <f t="shared" ca="1" si="10"/>
        <v>26.147477662038</v>
      </c>
      <c r="G176" s="13">
        <f t="shared" ca="1" si="11"/>
        <v>22.314838773148949</v>
      </c>
    </row>
    <row r="177" spans="1:7" x14ac:dyDescent="0.25">
      <c r="A177" s="1" t="s">
        <v>47</v>
      </c>
      <c r="B177" s="14">
        <v>44865.661111111112</v>
      </c>
      <c r="C177" s="14">
        <v>44865.842361111114</v>
      </c>
      <c r="D177" s="1" t="s">
        <v>22</v>
      </c>
      <c r="E177" s="1" t="s">
        <v>28</v>
      </c>
      <c r="F177" s="12">
        <f t="shared" ca="1" si="10"/>
        <v>23.125255439816101</v>
      </c>
      <c r="G177" s="13">
        <f t="shared" ca="1" si="11"/>
        <v>22.944005439814646</v>
      </c>
    </row>
    <row r="178" spans="1:7" x14ac:dyDescent="0.25">
      <c r="A178" s="1" t="s">
        <v>78</v>
      </c>
      <c r="B178" s="14">
        <v>44862.607638888891</v>
      </c>
      <c r="C178" s="14">
        <v>44865.586805555555</v>
      </c>
      <c r="D178" s="1" t="s">
        <v>22</v>
      </c>
      <c r="E178" s="1" t="s">
        <v>28</v>
      </c>
      <c r="F178" s="12">
        <f t="shared" ca="1" si="10"/>
        <v>26.178727662038</v>
      </c>
      <c r="G178" s="13">
        <f t="shared" ca="1" si="11"/>
        <v>23.199560995373758</v>
      </c>
    </row>
    <row r="179" spans="1:7" x14ac:dyDescent="0.25">
      <c r="A179" s="1" t="s">
        <v>47</v>
      </c>
      <c r="B179" s="14">
        <v>44861.665972222225</v>
      </c>
      <c r="C179" s="14">
        <v>44865.37777777778</v>
      </c>
      <c r="D179" s="1" t="s">
        <v>22</v>
      </c>
      <c r="E179" s="1" t="s">
        <v>28</v>
      </c>
      <c r="F179" s="12">
        <f t="shared" ca="1" si="10"/>
        <v>27.120394328703696</v>
      </c>
      <c r="G179" s="13">
        <f t="shared" ca="1" si="11"/>
        <v>23.408588773148949</v>
      </c>
    </row>
    <row r="180" spans="1:7" x14ac:dyDescent="0.25">
      <c r="A180" s="1" t="s">
        <v>47</v>
      </c>
      <c r="B180" s="14">
        <v>44861.425694444442</v>
      </c>
      <c r="C180" s="14">
        <v>44861.540277777778</v>
      </c>
      <c r="D180" s="1" t="s">
        <v>22</v>
      </c>
      <c r="E180" s="1" t="s">
        <v>28</v>
      </c>
      <c r="F180" s="12">
        <f t="shared" ca="1" si="10"/>
        <v>27.360672106486163</v>
      </c>
      <c r="G180" s="13">
        <f t="shared" ca="1" si="11"/>
        <v>27.246088773150404</v>
      </c>
    </row>
    <row r="181" spans="1:7" x14ac:dyDescent="0.25">
      <c r="A181" s="1" t="s">
        <v>42</v>
      </c>
      <c r="B181" s="14">
        <v>44845.671527777777</v>
      </c>
      <c r="C181" s="14">
        <v>44861.339583333334</v>
      </c>
      <c r="D181" s="1" t="s">
        <v>22</v>
      </c>
      <c r="E181" s="1" t="s">
        <v>26</v>
      </c>
      <c r="F181" s="12">
        <f t="shared" ca="1" si="10"/>
        <v>43.11483877315186</v>
      </c>
      <c r="G181" s="13">
        <f t="shared" ca="1" si="11"/>
        <v>27.446783217594202</v>
      </c>
    </row>
    <row r="182" spans="1:7" x14ac:dyDescent="0.25">
      <c r="A182" s="1" t="s">
        <v>47</v>
      </c>
      <c r="B182" s="14">
        <v>44859.352777777778</v>
      </c>
      <c r="C182" s="14">
        <v>44859.413194444445</v>
      </c>
      <c r="D182" s="1" t="s">
        <v>22</v>
      </c>
      <c r="E182" s="1" t="s">
        <v>28</v>
      </c>
      <c r="F182" s="12">
        <f t="shared" ca="1" si="10"/>
        <v>29.433588773150404</v>
      </c>
      <c r="G182" s="13">
        <f t="shared" ca="1" si="11"/>
        <v>29.373172106483253</v>
      </c>
    </row>
    <row r="183" spans="1:7" x14ac:dyDescent="0.25">
      <c r="A183" s="1" t="s">
        <v>24</v>
      </c>
      <c r="B183" s="14">
        <v>44852.359027777777</v>
      </c>
      <c r="C183" s="14">
        <v>44854.686805555553</v>
      </c>
      <c r="D183" s="1" t="s">
        <v>25</v>
      </c>
      <c r="E183" s="1" t="s">
        <v>26</v>
      </c>
      <c r="F183" s="12">
        <f t="shared" ca="1" si="10"/>
        <v>36.42733877315186</v>
      </c>
      <c r="G183" s="13">
        <f t="shared" ca="1" si="11"/>
        <v>34.099560995375214</v>
      </c>
    </row>
    <row r="184" spans="1:7" x14ac:dyDescent="0.25">
      <c r="A184" s="1" t="s">
        <v>79</v>
      </c>
      <c r="B184" s="14">
        <v>44852.412499999999</v>
      </c>
      <c r="C184" s="14">
        <v>44852.684027777781</v>
      </c>
      <c r="D184" s="1" t="s">
        <v>25</v>
      </c>
      <c r="E184" s="1" t="s">
        <v>26</v>
      </c>
      <c r="F184" s="12">
        <f t="shared" ca="1" si="10"/>
        <v>36.373866550929961</v>
      </c>
      <c r="G184" s="13">
        <f t="shared" ca="1" si="11"/>
        <v>36.102338773147494</v>
      </c>
    </row>
    <row r="185" spans="1:7" x14ac:dyDescent="0.25">
      <c r="A185" s="1" t="s">
        <v>42</v>
      </c>
      <c r="B185" s="14">
        <v>44826.65902777778</v>
      </c>
      <c r="C185" s="14">
        <v>44848.76666666667</v>
      </c>
      <c r="D185" s="1" t="s">
        <v>22</v>
      </c>
      <c r="E185" s="1" t="s">
        <v>28</v>
      </c>
      <c r="F185" s="12">
        <f t="shared" ca="1" si="10"/>
        <v>62.127338773148949</v>
      </c>
      <c r="G185" s="13">
        <f t="shared" ca="1" si="11"/>
        <v>40.019699884258443</v>
      </c>
    </row>
    <row r="186" spans="1:7" x14ac:dyDescent="0.25">
      <c r="A186" s="1" t="s">
        <v>24</v>
      </c>
      <c r="B186" s="14">
        <v>44834.376388888886</v>
      </c>
      <c r="C186" s="14">
        <v>44838.486805555556</v>
      </c>
      <c r="D186" s="1" t="s">
        <v>25</v>
      </c>
      <c r="E186" s="1" t="s">
        <v>26</v>
      </c>
      <c r="F186" s="12">
        <f t="shared" ca="1" si="10"/>
        <v>54.409977662042365</v>
      </c>
      <c r="G186" s="13">
        <f t="shared" ca="1" si="11"/>
        <v>50.299560995372303</v>
      </c>
    </row>
  </sheetData>
  <sheetProtection algorithmName="SHA-512" hashValue="W7uPZySOP/z+N4Q7iXQK5TjBGQjNHErhPQCgsHnvocJdAN90PlelqoKROaJclYoomZkioddg6OGeVkYNn/DhIw==" saltValue="JmIry7XJB9qFr1I2BdTT2A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180"/>
  <sheetViews>
    <sheetView showGridLines="0" zoomScaleNormal="100" workbookViewId="0">
      <selection activeCell="I10" sqref="A1:XFD1048576"/>
    </sheetView>
  </sheetViews>
  <sheetFormatPr defaultRowHeight="15" x14ac:dyDescent="0.25"/>
  <cols>
    <col min="1" max="1" width="60.140625" style="1" bestFit="1" customWidth="1"/>
    <col min="2" max="2" width="18.140625" style="1" bestFit="1" customWidth="1"/>
    <col min="3" max="3" width="19.85546875" style="1" bestFit="1" customWidth="1"/>
    <col min="4" max="4" width="10.5703125" style="1" bestFit="1" customWidth="1"/>
    <col min="5" max="5" width="27.28515625" style="1" bestFit="1" customWidth="1"/>
    <col min="6" max="7" width="14.85546875" style="1" bestFit="1" customWidth="1"/>
    <col min="8" max="16384" width="9.140625" style="1"/>
  </cols>
  <sheetData>
    <row r="1" spans="1:7" x14ac:dyDescent="0.25">
      <c r="A1" s="10" t="s">
        <v>5</v>
      </c>
      <c r="B1" s="10" t="s">
        <v>6</v>
      </c>
      <c r="C1" s="10" t="s">
        <v>7</v>
      </c>
      <c r="D1" s="10" t="s">
        <v>8</v>
      </c>
      <c r="E1" s="10" t="s">
        <v>9</v>
      </c>
      <c r="F1" s="10" t="s">
        <v>0</v>
      </c>
      <c r="G1" s="11" t="s">
        <v>4</v>
      </c>
    </row>
    <row r="2" spans="1:7" x14ac:dyDescent="0.25">
      <c r="A2" s="1" t="s">
        <v>80</v>
      </c>
      <c r="B2" s="14">
        <v>44887.620833333334</v>
      </c>
      <c r="C2" s="14">
        <v>44887.625</v>
      </c>
      <c r="D2" s="1" t="s">
        <v>22</v>
      </c>
      <c r="E2" s="1" t="s">
        <v>26</v>
      </c>
      <c r="F2" s="15">
        <f ca="1">NOW()-Tabela4[[#This Row],[Data de abertura]]</f>
        <v>1.1655332175942021</v>
      </c>
      <c r="G2" s="13">
        <f t="shared" ref="G2:G33" ca="1" si="0">NOW()-C2</f>
        <v>1.1613665509285056</v>
      </c>
    </row>
    <row r="3" spans="1:7" x14ac:dyDescent="0.25">
      <c r="A3" s="1" t="s">
        <v>80</v>
      </c>
      <c r="B3" s="14">
        <v>44862.604166666664</v>
      </c>
      <c r="C3" s="14">
        <v>44887.618055555555</v>
      </c>
      <c r="D3" s="1" t="s">
        <v>22</v>
      </c>
      <c r="E3" s="1" t="s">
        <v>26</v>
      </c>
      <c r="F3" s="15">
        <f ca="1">NOW()-Tabela4[[#This Row],[Data de abertura]]</f>
        <v>26.182199884264264</v>
      </c>
      <c r="G3" s="13">
        <f t="shared" ca="1" si="0"/>
        <v>1.1683109953737585</v>
      </c>
    </row>
    <row r="4" spans="1:7" x14ac:dyDescent="0.25">
      <c r="A4" s="1" t="s">
        <v>80</v>
      </c>
      <c r="B4" s="14">
        <v>44873.686805555553</v>
      </c>
      <c r="C4" s="14">
        <v>44887.616666666669</v>
      </c>
      <c r="D4" s="1" t="s">
        <v>22</v>
      </c>
      <c r="E4" s="1" t="s">
        <v>26</v>
      </c>
      <c r="F4" s="15">
        <f ca="1">NOW()-Tabela4[[#This Row],[Data de abertura]]</f>
        <v>15.099560995375214</v>
      </c>
      <c r="G4" s="13">
        <f t="shared" ca="1" si="0"/>
        <v>1.1696998842598987</v>
      </c>
    </row>
    <row r="5" spans="1:7" x14ac:dyDescent="0.25">
      <c r="A5" s="1" t="s">
        <v>80</v>
      </c>
      <c r="B5" s="14">
        <v>44862.607638888891</v>
      </c>
      <c r="C5" s="14">
        <v>44887.613888888889</v>
      </c>
      <c r="D5" s="1" t="s">
        <v>22</v>
      </c>
      <c r="E5" s="1" t="s">
        <v>26</v>
      </c>
      <c r="F5" s="15">
        <f ca="1">NOW()-Tabela4[[#This Row],[Data de abertura]]</f>
        <v>26.178727662038</v>
      </c>
      <c r="G5" s="13">
        <f t="shared" ca="1" si="0"/>
        <v>1.172477662039455</v>
      </c>
    </row>
    <row r="6" spans="1:7" x14ac:dyDescent="0.25">
      <c r="A6" s="1" t="s">
        <v>80</v>
      </c>
      <c r="B6" s="14">
        <v>44862.599305555559</v>
      </c>
      <c r="C6" s="14">
        <v>44887.611805555556</v>
      </c>
      <c r="D6" s="1" t="s">
        <v>22</v>
      </c>
      <c r="E6" s="1" t="s">
        <v>26</v>
      </c>
      <c r="F6" s="15">
        <f ca="1">NOW()-Tabela4[[#This Row],[Data de abertura]]</f>
        <v>26.187060995369393</v>
      </c>
      <c r="G6" s="13">
        <f t="shared" ca="1" si="0"/>
        <v>1.1745609953723033</v>
      </c>
    </row>
    <row r="7" spans="1:7" x14ac:dyDescent="0.25">
      <c r="A7" s="1" t="s">
        <v>80</v>
      </c>
      <c r="B7" s="14">
        <v>44862.612500000003</v>
      </c>
      <c r="C7" s="14">
        <v>44887.611111111109</v>
      </c>
      <c r="D7" s="1" t="s">
        <v>22</v>
      </c>
      <c r="E7" s="1" t="s">
        <v>26</v>
      </c>
      <c r="F7" s="15">
        <f ca="1">NOW()-Tabela4[[#This Row],[Data de abertura]]</f>
        <v>26.173866550925595</v>
      </c>
      <c r="G7" s="13">
        <f t="shared" ca="1" si="0"/>
        <v>1.1752554398190114</v>
      </c>
    </row>
    <row r="8" spans="1:7" x14ac:dyDescent="0.25">
      <c r="A8" s="1" t="s">
        <v>81</v>
      </c>
      <c r="B8" s="14">
        <v>44858.445833333331</v>
      </c>
      <c r="C8" s="14">
        <v>44887.61041666667</v>
      </c>
      <c r="D8" s="1" t="s">
        <v>22</v>
      </c>
      <c r="E8" s="1" t="s">
        <v>26</v>
      </c>
      <c r="F8" s="15">
        <f ca="1">NOW()-Tabela4[[#This Row],[Data de abertura]]</f>
        <v>30.340533217597113</v>
      </c>
      <c r="G8" s="13">
        <f t="shared" ca="1" si="0"/>
        <v>1.1759498842584435</v>
      </c>
    </row>
    <row r="9" spans="1:7" x14ac:dyDescent="0.25">
      <c r="A9" s="1" t="s">
        <v>82</v>
      </c>
      <c r="B9" s="14">
        <v>44851.599305555559</v>
      </c>
      <c r="C9" s="14">
        <v>44887.604166666664</v>
      </c>
      <c r="D9" s="1" t="s">
        <v>25</v>
      </c>
      <c r="E9" s="1" t="s">
        <v>26</v>
      </c>
      <c r="F9" s="15">
        <f ca="1">NOW()-Tabela4[[#This Row],[Data de abertura]]</f>
        <v>37.187060995369393</v>
      </c>
      <c r="G9" s="13">
        <f t="shared" ca="1" si="0"/>
        <v>1.1821998842642643</v>
      </c>
    </row>
    <row r="10" spans="1:7" x14ac:dyDescent="0.25">
      <c r="A10" s="1" t="s">
        <v>83</v>
      </c>
      <c r="B10" s="14">
        <v>44869.626388888886</v>
      </c>
      <c r="C10" s="14">
        <v>44887.595833333333</v>
      </c>
      <c r="D10" s="1" t="s">
        <v>22</v>
      </c>
      <c r="E10" s="1" t="s">
        <v>26</v>
      </c>
      <c r="F10" s="15">
        <f ca="1">NOW()-Tabela4[[#This Row],[Data de abertura]]</f>
        <v>19.159977662042365</v>
      </c>
      <c r="G10" s="13">
        <f t="shared" ca="1" si="0"/>
        <v>1.1905332175956573</v>
      </c>
    </row>
    <row r="11" spans="1:7" x14ac:dyDescent="0.25">
      <c r="A11" s="1" t="s">
        <v>81</v>
      </c>
      <c r="B11" s="14">
        <v>44859.45208333333</v>
      </c>
      <c r="C11" s="14">
        <v>44887.595138888886</v>
      </c>
      <c r="D11" s="1" t="s">
        <v>22</v>
      </c>
      <c r="E11" s="1" t="s">
        <v>26</v>
      </c>
      <c r="F11" s="15">
        <f ca="1">NOW()-Tabela4[[#This Row],[Data de abertura]]</f>
        <v>29.334283217598568</v>
      </c>
      <c r="G11" s="13">
        <f t="shared" ca="1" si="0"/>
        <v>1.1912276620423654</v>
      </c>
    </row>
    <row r="12" spans="1:7" x14ac:dyDescent="0.25">
      <c r="A12" s="1" t="s">
        <v>84</v>
      </c>
      <c r="B12" s="14">
        <v>44886.788194444445</v>
      </c>
      <c r="C12" s="14">
        <v>44887.594444444447</v>
      </c>
      <c r="D12" s="1" t="s">
        <v>22</v>
      </c>
      <c r="E12" s="1" t="s">
        <v>26</v>
      </c>
      <c r="F12" s="15">
        <f ca="1">NOW()-Tabela4[[#This Row],[Data de abertura]]</f>
        <v>1.9981721064832527</v>
      </c>
      <c r="G12" s="13">
        <f t="shared" ca="1" si="0"/>
        <v>1.1919221064817975</v>
      </c>
    </row>
    <row r="13" spans="1:7" x14ac:dyDescent="0.25">
      <c r="A13" s="1" t="s">
        <v>85</v>
      </c>
      <c r="B13" s="14">
        <v>44887.45208333333</v>
      </c>
      <c r="C13" s="14">
        <v>44887.586111111108</v>
      </c>
      <c r="D13" s="1" t="s">
        <v>22</v>
      </c>
      <c r="E13" s="1" t="s">
        <v>23</v>
      </c>
      <c r="F13" s="15">
        <f ca="1">NOW()-Tabela4[[#This Row],[Data de abertura]]</f>
        <v>1.3342832175985677</v>
      </c>
      <c r="G13" s="13">
        <f t="shared" ca="1" si="0"/>
        <v>1.2002554398204666</v>
      </c>
    </row>
    <row r="14" spans="1:7" x14ac:dyDescent="0.25">
      <c r="A14" s="1" t="s">
        <v>86</v>
      </c>
      <c r="B14" s="14">
        <v>44875.652083333334</v>
      </c>
      <c r="C14" s="14">
        <v>44887.495138888888</v>
      </c>
      <c r="D14" s="1" t="s">
        <v>22</v>
      </c>
      <c r="E14" s="1" t="s">
        <v>26</v>
      </c>
      <c r="F14" s="15">
        <f ca="1">NOW()-Tabela4[[#This Row],[Data de abertura]]</f>
        <v>13.134283217594202</v>
      </c>
      <c r="G14" s="13">
        <f t="shared" ca="1" si="0"/>
        <v>1.2912276620409102</v>
      </c>
    </row>
    <row r="15" spans="1:7" x14ac:dyDescent="0.25">
      <c r="A15" s="1" t="s">
        <v>87</v>
      </c>
      <c r="B15" s="14">
        <v>44887.491666666669</v>
      </c>
      <c r="C15" s="14">
        <v>44887.491666666669</v>
      </c>
      <c r="D15" s="1" t="s">
        <v>22</v>
      </c>
      <c r="E15" s="1" t="s">
        <v>26</v>
      </c>
      <c r="F15" s="15">
        <f ca="1">NOW()-Tabela4[[#This Row],[Data de abertura]]</f>
        <v>1.2946998842598987</v>
      </c>
      <c r="G15" s="13">
        <f t="shared" ca="1" si="0"/>
        <v>1.2946998842598987</v>
      </c>
    </row>
    <row r="16" spans="1:7" x14ac:dyDescent="0.25">
      <c r="A16" s="1" t="s">
        <v>86</v>
      </c>
      <c r="B16" s="14">
        <v>44875.42083333333</v>
      </c>
      <c r="C16" s="14">
        <v>44887.491666666669</v>
      </c>
      <c r="D16" s="1" t="s">
        <v>22</v>
      </c>
      <c r="E16" s="1" t="s">
        <v>26</v>
      </c>
      <c r="F16" s="15">
        <f ca="1">NOW()-Tabela4[[#This Row],[Data de abertura]]</f>
        <v>13.365533217598568</v>
      </c>
      <c r="G16" s="13">
        <f t="shared" ca="1" si="0"/>
        <v>1.2946998842598987</v>
      </c>
    </row>
    <row r="17" spans="1:7" x14ac:dyDescent="0.25">
      <c r="A17" s="1" t="s">
        <v>88</v>
      </c>
      <c r="B17" s="14">
        <v>44872.532638888886</v>
      </c>
      <c r="C17" s="14">
        <v>44887.490277777775</v>
      </c>
      <c r="D17" s="1" t="s">
        <v>22</v>
      </c>
      <c r="E17" s="1" t="s">
        <v>26</v>
      </c>
      <c r="F17" s="15">
        <f ca="1">NOW()-Tabela4[[#This Row],[Data de abertura]]</f>
        <v>16.253727662042365</v>
      </c>
      <c r="G17" s="13">
        <f t="shared" ca="1" si="0"/>
        <v>1.2960887731533148</v>
      </c>
    </row>
    <row r="18" spans="1:7" x14ac:dyDescent="0.25">
      <c r="A18" s="1" t="s">
        <v>85</v>
      </c>
      <c r="B18" s="14">
        <v>44882.717361111114</v>
      </c>
      <c r="C18" s="14">
        <v>44887.470138888886</v>
      </c>
      <c r="D18" s="1" t="s">
        <v>22</v>
      </c>
      <c r="E18" s="1" t="s">
        <v>28</v>
      </c>
      <c r="F18" s="15">
        <f ca="1">NOW()-Tabela4[[#This Row],[Data de abertura]]</f>
        <v>6.0690054398146458</v>
      </c>
      <c r="G18" s="13">
        <f t="shared" ca="1" si="0"/>
        <v>1.3162276620423654</v>
      </c>
    </row>
    <row r="19" spans="1:7" x14ac:dyDescent="0.25">
      <c r="A19" s="1" t="s">
        <v>82</v>
      </c>
      <c r="B19" s="14">
        <v>44887.45</v>
      </c>
      <c r="C19" s="14">
        <v>44887.453472222223</v>
      </c>
      <c r="D19" s="1" t="s">
        <v>25</v>
      </c>
      <c r="E19" s="1" t="s">
        <v>26</v>
      </c>
      <c r="F19" s="15">
        <f ca="1">NOW()-Tabela4[[#This Row],[Data de abertura]]</f>
        <v>1.336366550931416</v>
      </c>
      <c r="G19" s="13">
        <f t="shared" ca="1" si="0"/>
        <v>1.3328943287051516</v>
      </c>
    </row>
    <row r="20" spans="1:7" x14ac:dyDescent="0.25">
      <c r="A20" s="1" t="s">
        <v>89</v>
      </c>
      <c r="B20" s="14">
        <v>44887.405555555553</v>
      </c>
      <c r="C20" s="14">
        <v>44887.452777777777</v>
      </c>
      <c r="D20" s="1" t="s">
        <v>22</v>
      </c>
      <c r="E20" s="1" t="s">
        <v>26</v>
      </c>
      <c r="F20" s="15">
        <f ca="1">NOW()-Tabela4[[#This Row],[Data de abertura]]</f>
        <v>1.3808109953752137</v>
      </c>
      <c r="G20" s="13">
        <f t="shared" ca="1" si="0"/>
        <v>1.3335887731518596</v>
      </c>
    </row>
    <row r="21" spans="1:7" x14ac:dyDescent="0.25">
      <c r="A21" s="1" t="s">
        <v>86</v>
      </c>
      <c r="B21" s="14">
        <v>44886.697222222225</v>
      </c>
      <c r="C21" s="14">
        <v>44886.697222222225</v>
      </c>
      <c r="D21" s="1" t="s">
        <v>22</v>
      </c>
      <c r="E21" s="1" t="s">
        <v>26</v>
      </c>
      <c r="F21" s="15">
        <f ca="1">NOW()-Tabela4[[#This Row],[Data de abertura]]</f>
        <v>2.0891443287036964</v>
      </c>
      <c r="G21" s="13">
        <f t="shared" ca="1" si="0"/>
        <v>2.0891443287036964</v>
      </c>
    </row>
    <row r="22" spans="1:7" x14ac:dyDescent="0.25">
      <c r="A22" s="1" t="s">
        <v>90</v>
      </c>
      <c r="B22" s="14">
        <v>44886.676388888889</v>
      </c>
      <c r="C22" s="14">
        <v>44886.676388888889</v>
      </c>
      <c r="D22" s="1" t="s">
        <v>25</v>
      </c>
      <c r="E22" s="1" t="s">
        <v>26</v>
      </c>
      <c r="F22" s="15">
        <f ca="1">NOW()-Tabela4[[#This Row],[Data de abertura]]</f>
        <v>2.109977662039455</v>
      </c>
      <c r="G22" s="13">
        <f t="shared" ca="1" si="0"/>
        <v>2.109977662039455</v>
      </c>
    </row>
    <row r="23" spans="1:7" x14ac:dyDescent="0.25">
      <c r="A23" s="1" t="s">
        <v>91</v>
      </c>
      <c r="B23" s="14">
        <v>44743.359722222223</v>
      </c>
      <c r="C23" s="14">
        <v>44886.659722222219</v>
      </c>
      <c r="D23" s="1" t="s">
        <v>25</v>
      </c>
      <c r="E23" s="1" t="s">
        <v>26</v>
      </c>
      <c r="F23" s="15">
        <f ca="1">NOW()-Tabela4[[#This Row],[Data de abertura]]</f>
        <v>145.42664432870515</v>
      </c>
      <c r="G23" s="13">
        <f t="shared" ca="1" si="0"/>
        <v>2.1266443287095171</v>
      </c>
    </row>
    <row r="24" spans="1:7" x14ac:dyDescent="0.25">
      <c r="A24" s="1" t="s">
        <v>61</v>
      </c>
      <c r="B24" s="14">
        <v>44886.652083333334</v>
      </c>
      <c r="C24" s="14">
        <v>44886.652083333334</v>
      </c>
      <c r="D24" s="1" t="s">
        <v>22</v>
      </c>
      <c r="E24" s="1" t="s">
        <v>26</v>
      </c>
      <c r="F24" s="15">
        <f ca="1">NOW()-Tabela4[[#This Row],[Data de abertura]]</f>
        <v>2.1342832175942021</v>
      </c>
      <c r="G24" s="13">
        <f t="shared" ca="1" si="0"/>
        <v>2.1342832175942021</v>
      </c>
    </row>
    <row r="25" spans="1:7" x14ac:dyDescent="0.25">
      <c r="A25" s="1" t="s">
        <v>80</v>
      </c>
      <c r="B25" s="14">
        <v>44861.498611111114</v>
      </c>
      <c r="C25" s="14">
        <v>44886.605555555558</v>
      </c>
      <c r="D25" s="1" t="s">
        <v>22</v>
      </c>
      <c r="E25" s="1" t="s">
        <v>26</v>
      </c>
      <c r="F25" s="15">
        <f ca="1">NOW()-Tabela4[[#This Row],[Data de abertura]]</f>
        <v>27.287755439814646</v>
      </c>
      <c r="G25" s="13">
        <f t="shared" ca="1" si="0"/>
        <v>2.1808109953708481</v>
      </c>
    </row>
    <row r="26" spans="1:7" x14ac:dyDescent="0.25">
      <c r="A26" s="1" t="s">
        <v>91</v>
      </c>
      <c r="B26" s="14">
        <v>44886.57916666667</v>
      </c>
      <c r="C26" s="14">
        <v>44886.600694444445</v>
      </c>
      <c r="D26" s="1" t="s">
        <v>25</v>
      </c>
      <c r="E26" s="1" t="s">
        <v>26</v>
      </c>
      <c r="F26" s="15">
        <f ca="1">NOW()-Tabela4[[#This Row],[Data de abertura]]</f>
        <v>2.2071998842584435</v>
      </c>
      <c r="G26" s="13">
        <f t="shared" ca="1" si="0"/>
        <v>2.1856721064832527</v>
      </c>
    </row>
    <row r="27" spans="1:7" x14ac:dyDescent="0.25">
      <c r="A27" s="1" t="s">
        <v>90</v>
      </c>
      <c r="B27" s="14">
        <v>44886.584027777775</v>
      </c>
      <c r="C27" s="14">
        <v>44886.584027777775</v>
      </c>
      <c r="D27" s="1" t="s">
        <v>25</v>
      </c>
      <c r="E27" s="1" t="s">
        <v>26</v>
      </c>
      <c r="F27" s="15">
        <f ca="1">NOW()-Tabela4[[#This Row],[Data de abertura]]</f>
        <v>2.2023387731533148</v>
      </c>
      <c r="G27" s="13">
        <f t="shared" ca="1" si="0"/>
        <v>2.2023387731533148</v>
      </c>
    </row>
    <row r="28" spans="1:7" x14ac:dyDescent="0.25">
      <c r="A28" s="1" t="s">
        <v>85</v>
      </c>
      <c r="B28" s="14">
        <v>44873.46597222222</v>
      </c>
      <c r="C28" s="14">
        <v>44886.461111111108</v>
      </c>
      <c r="D28" s="1" t="s">
        <v>22</v>
      </c>
      <c r="E28" s="1" t="s">
        <v>28</v>
      </c>
      <c r="F28" s="15">
        <f ca="1">NOW()-Tabela4[[#This Row],[Data de abertura]]</f>
        <v>15.320394328708062</v>
      </c>
      <c r="G28" s="13">
        <f t="shared" ca="1" si="0"/>
        <v>2.3252554398204666</v>
      </c>
    </row>
    <row r="29" spans="1:7" x14ac:dyDescent="0.25">
      <c r="A29" s="1" t="s">
        <v>85</v>
      </c>
      <c r="B29" s="14">
        <v>44873.452777777777</v>
      </c>
      <c r="C29" s="14">
        <v>44886.460416666669</v>
      </c>
      <c r="D29" s="1" t="s">
        <v>22</v>
      </c>
      <c r="E29" s="1" t="s">
        <v>26</v>
      </c>
      <c r="F29" s="15">
        <f ca="1">NOW()-Tabela4[[#This Row],[Data de abertura]]</f>
        <v>15.33358877315186</v>
      </c>
      <c r="G29" s="13">
        <f t="shared" ca="1" si="0"/>
        <v>2.3259498842598987</v>
      </c>
    </row>
    <row r="30" spans="1:7" x14ac:dyDescent="0.25">
      <c r="A30" s="1" t="s">
        <v>92</v>
      </c>
      <c r="B30" s="14">
        <v>44873.461805555555</v>
      </c>
      <c r="C30" s="14">
        <v>44886.459722222222</v>
      </c>
      <c r="D30" s="1" t="s">
        <v>22</v>
      </c>
      <c r="E30" s="1" t="s">
        <v>28</v>
      </c>
      <c r="F30" s="15">
        <f ca="1">NOW()-Tabela4[[#This Row],[Data de abertura]]</f>
        <v>15.324560995373758</v>
      </c>
      <c r="G30" s="13">
        <f t="shared" ca="1" si="0"/>
        <v>2.3266443287066068</v>
      </c>
    </row>
    <row r="31" spans="1:7" x14ac:dyDescent="0.25">
      <c r="A31" s="1" t="s">
        <v>93</v>
      </c>
      <c r="B31" s="14">
        <v>44874.724305555559</v>
      </c>
      <c r="C31" s="14">
        <v>44886.456250000003</v>
      </c>
      <c r="D31" s="1" t="s">
        <v>22</v>
      </c>
      <c r="E31" s="1" t="s">
        <v>28</v>
      </c>
      <c r="F31" s="15">
        <f ca="1">NOW()-Tabela4[[#This Row],[Data de abertura]]</f>
        <v>14.062060995369393</v>
      </c>
      <c r="G31" s="13">
        <f t="shared" ca="1" si="0"/>
        <v>2.3301165509255952</v>
      </c>
    </row>
    <row r="32" spans="1:7" x14ac:dyDescent="0.25">
      <c r="A32" s="1" t="s">
        <v>93</v>
      </c>
      <c r="B32" s="14">
        <v>44874.779861111114</v>
      </c>
      <c r="C32" s="14">
        <v>44886.455555555556</v>
      </c>
      <c r="D32" s="1" t="s">
        <v>22</v>
      </c>
      <c r="E32" s="1" t="s">
        <v>26</v>
      </c>
      <c r="F32" s="15">
        <f ca="1">NOW()-Tabela4[[#This Row],[Data de abertura]]</f>
        <v>14.006505439814646</v>
      </c>
      <c r="G32" s="13">
        <f t="shared" ca="1" si="0"/>
        <v>2.3308109953723033</v>
      </c>
    </row>
    <row r="33" spans="1:7" x14ac:dyDescent="0.25">
      <c r="A33" s="1" t="s">
        <v>93</v>
      </c>
      <c r="B33" s="14">
        <v>44883.667361111111</v>
      </c>
      <c r="C33" s="14">
        <v>44886.45</v>
      </c>
      <c r="D33" s="1" t="s">
        <v>22</v>
      </c>
      <c r="E33" s="1" t="s">
        <v>28</v>
      </c>
      <c r="F33" s="15">
        <f ca="1">NOW()-Tabela4[[#This Row],[Data de abertura]]</f>
        <v>5.1190054398175562</v>
      </c>
      <c r="G33" s="13">
        <f t="shared" ca="1" si="0"/>
        <v>2.336366550931416</v>
      </c>
    </row>
    <row r="34" spans="1:7" x14ac:dyDescent="0.25">
      <c r="A34" s="1" t="s">
        <v>85</v>
      </c>
      <c r="B34" s="14">
        <v>44881.517361111109</v>
      </c>
      <c r="C34" s="14">
        <v>44886.446527777778</v>
      </c>
      <c r="D34" s="1" t="s">
        <v>22</v>
      </c>
      <c r="E34" s="1" t="s">
        <v>28</v>
      </c>
      <c r="F34" s="15">
        <f ca="1">NOW()-Tabela4[[#This Row],[Data de abertura]]</f>
        <v>7.2690054398190114</v>
      </c>
      <c r="G34" s="13">
        <f t="shared" ref="G34:G65" ca="1" si="1">NOW()-C34</f>
        <v>2.3398387731504044</v>
      </c>
    </row>
    <row r="35" spans="1:7" x14ac:dyDescent="0.25">
      <c r="A35" s="1" t="s">
        <v>93</v>
      </c>
      <c r="B35" s="14">
        <v>44874.725694444445</v>
      </c>
      <c r="C35" s="14">
        <v>44886.438888888886</v>
      </c>
      <c r="D35" s="1" t="s">
        <v>22</v>
      </c>
      <c r="E35" s="1" t="s">
        <v>28</v>
      </c>
      <c r="F35" s="15">
        <f ca="1">NOW()-Tabela4[[#This Row],[Data de abertura]]</f>
        <v>14.060672106483253</v>
      </c>
      <c r="G35" s="13">
        <f t="shared" ca="1" si="1"/>
        <v>2.3474776620423654</v>
      </c>
    </row>
    <row r="36" spans="1:7" x14ac:dyDescent="0.25">
      <c r="A36" s="1" t="s">
        <v>85</v>
      </c>
      <c r="B36" s="14">
        <v>44875.688888888886</v>
      </c>
      <c r="C36" s="14">
        <v>44886.4375</v>
      </c>
      <c r="D36" s="1" t="s">
        <v>22</v>
      </c>
      <c r="E36" s="1" t="s">
        <v>28</v>
      </c>
      <c r="F36" s="15">
        <f ca="1">NOW()-Tabela4[[#This Row],[Data de abertura]]</f>
        <v>13.097477662042365</v>
      </c>
      <c r="G36" s="13">
        <f t="shared" ca="1" si="1"/>
        <v>2.3488665509285056</v>
      </c>
    </row>
    <row r="37" spans="1:7" x14ac:dyDescent="0.25">
      <c r="A37" s="1" t="s">
        <v>85</v>
      </c>
      <c r="B37" s="14">
        <v>44881.510416666664</v>
      </c>
      <c r="C37" s="14">
        <v>44886.434027777781</v>
      </c>
      <c r="D37" s="1" t="s">
        <v>22</v>
      </c>
      <c r="E37" s="1" t="s">
        <v>23</v>
      </c>
      <c r="F37" s="15">
        <f ca="1">NOW()-Tabela4[[#This Row],[Data de abertura]]</f>
        <v>7.2759498842642643</v>
      </c>
      <c r="G37" s="13">
        <f t="shared" ca="1" si="1"/>
        <v>2.3523387731474941</v>
      </c>
    </row>
    <row r="38" spans="1:7" x14ac:dyDescent="0.25">
      <c r="A38" s="1" t="s">
        <v>94</v>
      </c>
      <c r="B38" s="14">
        <v>44886.417361111111</v>
      </c>
      <c r="C38" s="14">
        <v>44886.417361111111</v>
      </c>
      <c r="D38" s="1" t="s">
        <v>22</v>
      </c>
      <c r="E38" s="1" t="s">
        <v>23</v>
      </c>
      <c r="F38" s="15">
        <f ca="1">NOW()-Tabela4[[#This Row],[Data de abertura]]</f>
        <v>2.3690054398175562</v>
      </c>
      <c r="G38" s="13">
        <f t="shared" ca="1" si="1"/>
        <v>2.3690054398175562</v>
      </c>
    </row>
    <row r="39" spans="1:7" x14ac:dyDescent="0.25">
      <c r="A39" s="1" t="s">
        <v>80</v>
      </c>
      <c r="B39" s="14">
        <v>44826.709722222222</v>
      </c>
      <c r="C39" s="14">
        <v>44886.393055555556</v>
      </c>
      <c r="D39" s="1" t="s">
        <v>22</v>
      </c>
      <c r="E39" s="1" t="s">
        <v>26</v>
      </c>
      <c r="F39" s="15">
        <f ca="1">NOW()-Tabela4[[#This Row],[Data de abertura]]</f>
        <v>62.076644328706607</v>
      </c>
      <c r="G39" s="13">
        <f t="shared" ca="1" si="1"/>
        <v>2.3933109953723033</v>
      </c>
    </row>
    <row r="40" spans="1:7" x14ac:dyDescent="0.25">
      <c r="A40" s="1" t="s">
        <v>82</v>
      </c>
      <c r="B40" s="14">
        <v>44886.382638888892</v>
      </c>
      <c r="C40" s="14">
        <v>44886.382638888892</v>
      </c>
      <c r="D40" s="1" t="s">
        <v>25</v>
      </c>
      <c r="E40" s="1" t="s">
        <v>26</v>
      </c>
      <c r="F40" s="15">
        <f ca="1">NOW()-Tabela4[[#This Row],[Data de abertura]]</f>
        <v>2.4037276620365446</v>
      </c>
      <c r="G40" s="13">
        <f t="shared" ca="1" si="1"/>
        <v>2.4037276620365446</v>
      </c>
    </row>
    <row r="41" spans="1:7" x14ac:dyDescent="0.25">
      <c r="A41" s="1" t="s">
        <v>95</v>
      </c>
      <c r="B41" s="14">
        <v>44886.364583333336</v>
      </c>
      <c r="C41" s="14">
        <v>44886.364583333336</v>
      </c>
      <c r="D41" s="1" t="s">
        <v>25</v>
      </c>
      <c r="E41" s="1" t="s">
        <v>26</v>
      </c>
      <c r="F41" s="15">
        <f ca="1">NOW()-Tabela4[[#This Row],[Data de abertura]]</f>
        <v>2.421783217592747</v>
      </c>
      <c r="G41" s="13">
        <f t="shared" ca="1" si="1"/>
        <v>2.421783217592747</v>
      </c>
    </row>
    <row r="42" spans="1:7" x14ac:dyDescent="0.25">
      <c r="A42" s="1" t="s">
        <v>96</v>
      </c>
      <c r="B42" s="14">
        <v>44886.364583333336</v>
      </c>
      <c r="C42" s="14">
        <v>44886.364583333336</v>
      </c>
      <c r="D42" s="1" t="s">
        <v>22</v>
      </c>
      <c r="E42" s="1" t="s">
        <v>26</v>
      </c>
      <c r="F42" s="15">
        <f ca="1">NOW()-Tabela4[[#This Row],[Data de abertura]]</f>
        <v>2.421783217592747</v>
      </c>
      <c r="G42" s="13">
        <f t="shared" ca="1" si="1"/>
        <v>2.421783217592747</v>
      </c>
    </row>
    <row r="43" spans="1:7" x14ac:dyDescent="0.25">
      <c r="A43" s="1" t="s">
        <v>86</v>
      </c>
      <c r="B43" s="14">
        <v>44861.504861111112</v>
      </c>
      <c r="C43" s="14">
        <v>44886.333333333336</v>
      </c>
      <c r="D43" s="1" t="s">
        <v>22</v>
      </c>
      <c r="E43" s="1" t="s">
        <v>26</v>
      </c>
      <c r="F43" s="15">
        <f ca="1">NOW()-Tabela4[[#This Row],[Data de abertura]]</f>
        <v>27.281505439816101</v>
      </c>
      <c r="G43" s="13">
        <f t="shared" ca="1" si="1"/>
        <v>2.453033217592747</v>
      </c>
    </row>
    <row r="44" spans="1:7" x14ac:dyDescent="0.25">
      <c r="A44" s="1" t="s">
        <v>92</v>
      </c>
      <c r="B44" s="14">
        <v>44883.689583333333</v>
      </c>
      <c r="C44" s="14">
        <v>44883.715277777781</v>
      </c>
      <c r="D44" s="1" t="s">
        <v>22</v>
      </c>
      <c r="E44" s="1" t="s">
        <v>28</v>
      </c>
      <c r="F44" s="15">
        <f ca="1">NOW()-Tabela4[[#This Row],[Data de abertura]]</f>
        <v>5.0967832175956573</v>
      </c>
      <c r="G44" s="13">
        <f t="shared" ca="1" si="1"/>
        <v>5.0710887731474941</v>
      </c>
    </row>
    <row r="45" spans="1:7" x14ac:dyDescent="0.25">
      <c r="A45" s="1" t="s">
        <v>86</v>
      </c>
      <c r="B45" s="14">
        <v>44868.709027777775</v>
      </c>
      <c r="C45" s="14">
        <v>44883.609722222223</v>
      </c>
      <c r="D45" s="1" t="s">
        <v>22</v>
      </c>
      <c r="E45" s="1" t="s">
        <v>26</v>
      </c>
      <c r="F45" s="15">
        <f ca="1">NOW()-Tabela4[[#This Row],[Data de abertura]]</f>
        <v>20.077338773153315</v>
      </c>
      <c r="G45" s="13">
        <f t="shared" ca="1" si="1"/>
        <v>5.1766443287051516</v>
      </c>
    </row>
    <row r="46" spans="1:7" x14ac:dyDescent="0.25">
      <c r="A46" s="1" t="s">
        <v>42</v>
      </c>
      <c r="B46" s="14">
        <v>44872.694444444445</v>
      </c>
      <c r="C46" s="14">
        <v>44883.583333333336</v>
      </c>
      <c r="D46" s="1" t="s">
        <v>22</v>
      </c>
      <c r="E46" s="1" t="s">
        <v>26</v>
      </c>
      <c r="F46" s="15">
        <f ca="1">NOW()-Tabela4[[#This Row],[Data de abertura]]</f>
        <v>16.091922106483253</v>
      </c>
      <c r="G46" s="13">
        <f t="shared" ca="1" si="1"/>
        <v>5.203033217592747</v>
      </c>
    </row>
    <row r="47" spans="1:7" x14ac:dyDescent="0.25">
      <c r="A47" s="1" t="s">
        <v>86</v>
      </c>
      <c r="B47" s="14">
        <v>44883.476388888892</v>
      </c>
      <c r="C47" s="14">
        <v>44883.476388888892</v>
      </c>
      <c r="D47" s="1" t="s">
        <v>22</v>
      </c>
      <c r="E47" s="1" t="s">
        <v>26</v>
      </c>
      <c r="F47" s="15">
        <f ca="1">NOW()-Tabela4[[#This Row],[Data de abertura]]</f>
        <v>5.3099776620365446</v>
      </c>
      <c r="G47" s="13">
        <f t="shared" ca="1" si="1"/>
        <v>5.3099776620365446</v>
      </c>
    </row>
    <row r="48" spans="1:7" x14ac:dyDescent="0.25">
      <c r="A48" s="1" t="s">
        <v>86</v>
      </c>
      <c r="B48" s="14">
        <v>44883.474999999999</v>
      </c>
      <c r="C48" s="14">
        <v>44883.474999999999</v>
      </c>
      <c r="D48" s="1" t="s">
        <v>22</v>
      </c>
      <c r="E48" s="1" t="s">
        <v>26</v>
      </c>
      <c r="F48" s="15">
        <f ca="1">NOW()-Tabela4[[#This Row],[Data de abertura]]</f>
        <v>5.3113665509299608</v>
      </c>
      <c r="G48" s="13">
        <f t="shared" ca="1" si="1"/>
        <v>5.3113665509299608</v>
      </c>
    </row>
    <row r="49" spans="1:7" x14ac:dyDescent="0.25">
      <c r="A49" s="1" t="s">
        <v>90</v>
      </c>
      <c r="B49" s="14">
        <v>44883.425694444442</v>
      </c>
      <c r="C49" s="14">
        <v>44883.425694444442</v>
      </c>
      <c r="D49" s="1" t="s">
        <v>25</v>
      </c>
      <c r="E49" s="1" t="s">
        <v>26</v>
      </c>
      <c r="F49" s="15">
        <f ca="1">NOW()-Tabela4[[#This Row],[Data de abertura]]</f>
        <v>5.3606721064861631</v>
      </c>
      <c r="G49" s="13">
        <f t="shared" ca="1" si="1"/>
        <v>5.3606721064861631</v>
      </c>
    </row>
    <row r="50" spans="1:7" x14ac:dyDescent="0.25">
      <c r="A50" s="1" t="s">
        <v>97</v>
      </c>
      <c r="B50" s="14">
        <v>44845.490277777775</v>
      </c>
      <c r="C50" s="14">
        <v>44883.425000000003</v>
      </c>
      <c r="D50" s="1" t="s">
        <v>22</v>
      </c>
      <c r="E50" s="1" t="s">
        <v>26</v>
      </c>
      <c r="F50" s="15">
        <f ca="1">NOW()-Tabela4[[#This Row],[Data de abertura]]</f>
        <v>43.296088773153315</v>
      </c>
      <c r="G50" s="13">
        <f t="shared" ca="1" si="1"/>
        <v>5.3613665509255952</v>
      </c>
    </row>
    <row r="51" spans="1:7" x14ac:dyDescent="0.25">
      <c r="A51" s="1" t="s">
        <v>84</v>
      </c>
      <c r="B51" s="14">
        <v>44873.744444444441</v>
      </c>
      <c r="C51" s="14">
        <v>44883.42083333333</v>
      </c>
      <c r="D51" s="1" t="s">
        <v>22</v>
      </c>
      <c r="E51" s="1" t="s">
        <v>26</v>
      </c>
      <c r="F51" s="15">
        <f ca="1">NOW()-Tabela4[[#This Row],[Data de abertura]]</f>
        <v>15.041922106487618</v>
      </c>
      <c r="G51" s="13">
        <f t="shared" ca="1" si="1"/>
        <v>5.3655332175985677</v>
      </c>
    </row>
    <row r="52" spans="1:7" x14ac:dyDescent="0.25">
      <c r="A52" s="1" t="s">
        <v>79</v>
      </c>
      <c r="B52" s="14">
        <v>44866.340277777781</v>
      </c>
      <c r="C52" s="14">
        <v>44883.418749999997</v>
      </c>
      <c r="D52" s="1" t="s">
        <v>25</v>
      </c>
      <c r="E52" s="1" t="s">
        <v>26</v>
      </c>
      <c r="F52" s="15">
        <f ca="1">NOW()-Tabela4[[#This Row],[Data de abertura]]</f>
        <v>22.446088773147494</v>
      </c>
      <c r="G52" s="13">
        <f t="shared" ca="1" si="1"/>
        <v>5.367616550931416</v>
      </c>
    </row>
    <row r="53" spans="1:7" x14ac:dyDescent="0.25">
      <c r="A53" s="1" t="s">
        <v>80</v>
      </c>
      <c r="B53" s="14">
        <v>44879.469444444447</v>
      </c>
      <c r="C53" s="14">
        <v>44883.370138888888</v>
      </c>
      <c r="D53" s="1" t="s">
        <v>22</v>
      </c>
      <c r="E53" s="1" t="s">
        <v>26</v>
      </c>
      <c r="F53" s="15">
        <f ca="1">NOW()-Tabela4[[#This Row],[Data de abertura]]</f>
        <v>9.3169221064817975</v>
      </c>
      <c r="G53" s="13">
        <f t="shared" ca="1" si="1"/>
        <v>5.4162276620409102</v>
      </c>
    </row>
    <row r="54" spans="1:7" x14ac:dyDescent="0.25">
      <c r="A54" s="1" t="s">
        <v>98</v>
      </c>
      <c r="B54" s="14">
        <v>44883.338888888888</v>
      </c>
      <c r="C54" s="14">
        <v>44883.340277777781</v>
      </c>
      <c r="D54" s="1" t="s">
        <v>22</v>
      </c>
      <c r="E54" s="1" t="s">
        <v>26</v>
      </c>
      <c r="F54" s="15">
        <f ca="1">NOW()-Tabela4[[#This Row],[Data de abertura]]</f>
        <v>5.4474776620409102</v>
      </c>
      <c r="G54" s="13">
        <f t="shared" ca="1" si="1"/>
        <v>5.4460887731474941</v>
      </c>
    </row>
    <row r="55" spans="1:7" x14ac:dyDescent="0.25">
      <c r="A55" s="1" t="s">
        <v>81</v>
      </c>
      <c r="B55" s="14">
        <v>44882.339583333334</v>
      </c>
      <c r="C55" s="14">
        <v>44883.299305555556</v>
      </c>
      <c r="D55" s="1" t="s">
        <v>22</v>
      </c>
      <c r="E55" s="1" t="s">
        <v>26</v>
      </c>
      <c r="F55" s="15">
        <f ca="1">NOW()-Tabela4[[#This Row],[Data de abertura]]</f>
        <v>6.4467832175942021</v>
      </c>
      <c r="G55" s="13">
        <f t="shared" ca="1" si="1"/>
        <v>5.4870609953723033</v>
      </c>
    </row>
    <row r="56" spans="1:7" x14ac:dyDescent="0.25">
      <c r="A56" s="1" t="s">
        <v>99</v>
      </c>
      <c r="B56" s="14">
        <v>44879.673611111109</v>
      </c>
      <c r="C56" s="14">
        <v>44882.572916666664</v>
      </c>
      <c r="D56" s="1" t="s">
        <v>22</v>
      </c>
      <c r="E56" s="1" t="s">
        <v>26</v>
      </c>
      <c r="F56" s="15">
        <f ca="1">NOW()-Tabela4[[#This Row],[Data de abertura]]</f>
        <v>9.1127554398190114</v>
      </c>
      <c r="G56" s="13">
        <f t="shared" ca="1" si="1"/>
        <v>6.2134498842642643</v>
      </c>
    </row>
    <row r="57" spans="1:7" x14ac:dyDescent="0.25">
      <c r="A57" s="1" t="s">
        <v>100</v>
      </c>
      <c r="B57" s="14">
        <v>44882.557638888888</v>
      </c>
      <c r="C57" s="14">
        <v>44882.557638888888</v>
      </c>
      <c r="D57" s="1" t="s">
        <v>22</v>
      </c>
      <c r="E57" s="1" t="s">
        <v>26</v>
      </c>
      <c r="F57" s="15">
        <f ca="1">NOW()-Tabela4[[#This Row],[Data de abertura]]</f>
        <v>6.2287276620409102</v>
      </c>
      <c r="G57" s="13">
        <f t="shared" ca="1" si="1"/>
        <v>6.2287276620409102</v>
      </c>
    </row>
    <row r="58" spans="1:7" x14ac:dyDescent="0.25">
      <c r="A58" s="1" t="s">
        <v>101</v>
      </c>
      <c r="B58" s="14">
        <v>44882.401388888888</v>
      </c>
      <c r="C58" s="14">
        <v>44882.527083333334</v>
      </c>
      <c r="D58" s="1" t="s">
        <v>22</v>
      </c>
      <c r="E58" s="1" t="s">
        <v>26</v>
      </c>
      <c r="F58" s="15">
        <f ca="1">NOW()-Tabela4[[#This Row],[Data de abertura]]</f>
        <v>6.3849776620409102</v>
      </c>
      <c r="G58" s="13">
        <f t="shared" ca="1" si="1"/>
        <v>6.2592832175942021</v>
      </c>
    </row>
    <row r="59" spans="1:7" x14ac:dyDescent="0.25">
      <c r="A59" s="1" t="s">
        <v>80</v>
      </c>
      <c r="B59" s="14">
        <v>44882.377083333333</v>
      </c>
      <c r="C59" s="14">
        <v>44882.377083333333</v>
      </c>
      <c r="D59" s="1" t="s">
        <v>22</v>
      </c>
      <c r="E59" s="1" t="s">
        <v>26</v>
      </c>
      <c r="F59" s="15">
        <f ca="1">NOW()-Tabela4[[#This Row],[Data de abertura]]</f>
        <v>6.4092832175956573</v>
      </c>
      <c r="G59" s="13">
        <f t="shared" ca="1" si="1"/>
        <v>6.4092832175956573</v>
      </c>
    </row>
    <row r="60" spans="1:7" x14ac:dyDescent="0.25">
      <c r="A60" s="1" t="s">
        <v>53</v>
      </c>
      <c r="B60" s="14">
        <v>44873.670138888891</v>
      </c>
      <c r="C60" s="14">
        <v>44882.359722222223</v>
      </c>
      <c r="D60" s="1" t="s">
        <v>25</v>
      </c>
      <c r="E60" s="1" t="s">
        <v>26</v>
      </c>
      <c r="F60" s="15">
        <f ca="1">NOW()-Tabela4[[#This Row],[Data de abertura]]</f>
        <v>15.116227662038</v>
      </c>
      <c r="G60" s="13">
        <f t="shared" ca="1" si="1"/>
        <v>6.4266443287051516</v>
      </c>
    </row>
    <row r="61" spans="1:7" x14ac:dyDescent="0.25">
      <c r="A61" s="1" t="s">
        <v>54</v>
      </c>
      <c r="B61" s="14">
        <v>44873.440972222219</v>
      </c>
      <c r="C61" s="14">
        <v>44882.352777777778</v>
      </c>
      <c r="D61" s="1" t="s">
        <v>22</v>
      </c>
      <c r="E61" s="1" t="s">
        <v>26</v>
      </c>
      <c r="F61" s="15">
        <f ca="1">NOW()-Tabela4[[#This Row],[Data de abertura]]</f>
        <v>15.345394328709517</v>
      </c>
      <c r="G61" s="13">
        <f t="shared" ca="1" si="1"/>
        <v>6.4335887731504044</v>
      </c>
    </row>
    <row r="62" spans="1:7" x14ac:dyDescent="0.25">
      <c r="A62" s="1" t="s">
        <v>89</v>
      </c>
      <c r="B62" s="14">
        <v>44881.451388888891</v>
      </c>
      <c r="C62" s="14">
        <v>44882.30972222222</v>
      </c>
      <c r="D62" s="1" t="s">
        <v>22</v>
      </c>
      <c r="E62" s="1" t="s">
        <v>26</v>
      </c>
      <c r="F62" s="15">
        <f ca="1">NOW()-Tabela4[[#This Row],[Data de abertura]]</f>
        <v>7.3349776620379998</v>
      </c>
      <c r="G62" s="13">
        <f t="shared" ca="1" si="1"/>
        <v>6.4766443287080619</v>
      </c>
    </row>
    <row r="63" spans="1:7" x14ac:dyDescent="0.25">
      <c r="A63" s="1" t="s">
        <v>89</v>
      </c>
      <c r="B63" s="14">
        <v>44881.474305555559</v>
      </c>
      <c r="C63" s="14">
        <v>44882.307638888888</v>
      </c>
      <c r="D63" s="1" t="s">
        <v>22</v>
      </c>
      <c r="E63" s="1" t="s">
        <v>26</v>
      </c>
      <c r="F63" s="15">
        <f ca="1">NOW()-Tabela4[[#This Row],[Data de abertura]]</f>
        <v>7.3120609953693929</v>
      </c>
      <c r="G63" s="13">
        <f t="shared" ca="1" si="1"/>
        <v>6.4787276620409102</v>
      </c>
    </row>
    <row r="64" spans="1:7" x14ac:dyDescent="0.25">
      <c r="A64" s="1" t="s">
        <v>82</v>
      </c>
      <c r="B64" s="14">
        <v>44881.621527777781</v>
      </c>
      <c r="C64" s="14">
        <v>44881.621527777781</v>
      </c>
      <c r="D64" s="1" t="s">
        <v>25</v>
      </c>
      <c r="E64" s="1" t="s">
        <v>26</v>
      </c>
      <c r="F64" s="15">
        <f ca="1">NOW()-Tabela4[[#This Row],[Data de abertura]]</f>
        <v>7.1648387731474941</v>
      </c>
      <c r="G64" s="13">
        <f t="shared" ca="1" si="1"/>
        <v>7.1648387731474941</v>
      </c>
    </row>
    <row r="65" spans="1:7" x14ac:dyDescent="0.25">
      <c r="A65" s="1" t="s">
        <v>88</v>
      </c>
      <c r="B65" s="14">
        <v>44845.331944444442</v>
      </c>
      <c r="C65" s="14">
        <v>44881.605555555558</v>
      </c>
      <c r="D65" s="1" t="s">
        <v>22</v>
      </c>
      <c r="E65" s="1" t="s">
        <v>26</v>
      </c>
      <c r="F65" s="15">
        <f ca="1">NOW()-Tabela4[[#This Row],[Data de abertura]]</f>
        <v>43.454422106486163</v>
      </c>
      <c r="G65" s="13">
        <f t="shared" ca="1" si="1"/>
        <v>7.1808109953708481</v>
      </c>
    </row>
    <row r="66" spans="1:7" x14ac:dyDescent="0.25">
      <c r="A66" s="1" t="s">
        <v>102</v>
      </c>
      <c r="B66" s="14">
        <v>44881.442361111112</v>
      </c>
      <c r="C66" s="14">
        <v>44881.5</v>
      </c>
      <c r="D66" s="1" t="s">
        <v>22</v>
      </c>
      <c r="E66" s="1" t="s">
        <v>26</v>
      </c>
      <c r="F66" s="15">
        <f ca="1">NOW()-Tabela4[[#This Row],[Data de abertura]]</f>
        <v>7.344005439816101</v>
      </c>
      <c r="G66" s="13">
        <f t="shared" ref="G66:G97" ca="1" si="2">NOW()-C66</f>
        <v>7.2863665509285056</v>
      </c>
    </row>
    <row r="67" spans="1:7" x14ac:dyDescent="0.25">
      <c r="A67" s="1" t="s">
        <v>80</v>
      </c>
      <c r="B67" s="14">
        <v>44881.394444444442</v>
      </c>
      <c r="C67" s="14">
        <v>44881.394444444442</v>
      </c>
      <c r="D67" s="1" t="s">
        <v>22</v>
      </c>
      <c r="E67" s="1" t="s">
        <v>26</v>
      </c>
      <c r="F67" s="15">
        <f ca="1">NOW()-Tabela4[[#This Row],[Data de abertura]]</f>
        <v>7.3919221064861631</v>
      </c>
      <c r="G67" s="13">
        <f t="shared" ca="1" si="2"/>
        <v>7.3919221064861631</v>
      </c>
    </row>
    <row r="68" spans="1:7" x14ac:dyDescent="0.25">
      <c r="A68" s="1" t="s">
        <v>86</v>
      </c>
      <c r="B68" s="14">
        <v>44866.461111111108</v>
      </c>
      <c r="C68" s="14">
        <v>44881.383333333331</v>
      </c>
      <c r="D68" s="1" t="s">
        <v>22</v>
      </c>
      <c r="E68" s="1" t="s">
        <v>26</v>
      </c>
      <c r="F68" s="15">
        <f ca="1">NOW()-Tabela4[[#This Row],[Data de abertura]]</f>
        <v>22.325255439820467</v>
      </c>
      <c r="G68" s="13">
        <f t="shared" ca="1" si="2"/>
        <v>7.4030332175971125</v>
      </c>
    </row>
    <row r="69" spans="1:7" x14ac:dyDescent="0.25">
      <c r="A69" s="1" t="s">
        <v>80</v>
      </c>
      <c r="B69" s="14">
        <v>44881.361111111109</v>
      </c>
      <c r="C69" s="14">
        <v>44881.361111111109</v>
      </c>
      <c r="D69" s="1" t="s">
        <v>22</v>
      </c>
      <c r="E69" s="1" t="s">
        <v>26</v>
      </c>
      <c r="F69" s="15">
        <f ca="1">NOW()-Tabela4[[#This Row],[Data de abertura]]</f>
        <v>7.4252554398190114</v>
      </c>
      <c r="G69" s="13">
        <f t="shared" ca="1" si="2"/>
        <v>7.4252554398190114</v>
      </c>
    </row>
    <row r="70" spans="1:7" x14ac:dyDescent="0.25">
      <c r="A70" s="1" t="s">
        <v>89</v>
      </c>
      <c r="B70" s="14">
        <v>44858.768055555556</v>
      </c>
      <c r="C70" s="14">
        <v>44881.35</v>
      </c>
      <c r="D70" s="1" t="s">
        <v>22</v>
      </c>
      <c r="E70" s="1" t="s">
        <v>26</v>
      </c>
      <c r="F70" s="15">
        <f ca="1">NOW()-Tabela4[[#This Row],[Data de abertura]]</f>
        <v>30.018310995372303</v>
      </c>
      <c r="G70" s="13">
        <f t="shared" ca="1" si="2"/>
        <v>7.4363665509299608</v>
      </c>
    </row>
    <row r="71" spans="1:7" x14ac:dyDescent="0.25">
      <c r="A71" s="1" t="s">
        <v>103</v>
      </c>
      <c r="B71" s="14">
        <v>44879.376388888886</v>
      </c>
      <c r="C71" s="14">
        <v>44879.71875</v>
      </c>
      <c r="D71" s="1" t="s">
        <v>22</v>
      </c>
      <c r="E71" s="1" t="s">
        <v>26</v>
      </c>
      <c r="F71" s="15">
        <f ca="1">NOW()-Tabela4[[#This Row],[Data de abertura]]</f>
        <v>9.4099776620423654</v>
      </c>
      <c r="G71" s="13">
        <f t="shared" ca="1" si="2"/>
        <v>9.0676165509285056</v>
      </c>
    </row>
    <row r="72" spans="1:7" x14ac:dyDescent="0.25">
      <c r="A72" s="1" t="s">
        <v>104</v>
      </c>
      <c r="B72" s="14">
        <v>44879.711111111108</v>
      </c>
      <c r="C72" s="14">
        <v>44879.711111111108</v>
      </c>
      <c r="D72" s="1" t="s">
        <v>25</v>
      </c>
      <c r="E72" s="1" t="s">
        <v>26</v>
      </c>
      <c r="F72" s="15">
        <f ca="1">NOW()-Tabela4[[#This Row],[Data de abertura]]</f>
        <v>9.0752554398204666</v>
      </c>
      <c r="G72" s="13">
        <f t="shared" ca="1" si="2"/>
        <v>9.0752554398204666</v>
      </c>
    </row>
    <row r="73" spans="1:7" x14ac:dyDescent="0.25">
      <c r="A73" s="1" t="s">
        <v>82</v>
      </c>
      <c r="B73" s="14">
        <v>44825.541666666664</v>
      </c>
      <c r="C73" s="14">
        <v>44879.688194444447</v>
      </c>
      <c r="D73" s="1" t="s">
        <v>25</v>
      </c>
      <c r="E73" s="1" t="s">
        <v>26</v>
      </c>
      <c r="F73" s="15">
        <f ca="1">NOW()-Tabela4[[#This Row],[Data de abertura]]</f>
        <v>63.244699884264264</v>
      </c>
      <c r="G73" s="13">
        <f t="shared" ca="1" si="2"/>
        <v>9.0981721064817975</v>
      </c>
    </row>
    <row r="74" spans="1:7" x14ac:dyDescent="0.25">
      <c r="A74" s="1" t="s">
        <v>75</v>
      </c>
      <c r="B74" s="14">
        <v>44875.347916666666</v>
      </c>
      <c r="C74" s="14">
        <v>44879.67083333333</v>
      </c>
      <c r="D74" s="1" t="s">
        <v>22</v>
      </c>
      <c r="E74" s="1" t="s">
        <v>26</v>
      </c>
      <c r="F74" s="15">
        <f ca="1">NOW()-Tabela4[[#This Row],[Data de abertura]]</f>
        <v>13.438449884262809</v>
      </c>
      <c r="G74" s="13">
        <f t="shared" ca="1" si="2"/>
        <v>9.1155332175985677</v>
      </c>
    </row>
    <row r="75" spans="1:7" x14ac:dyDescent="0.25">
      <c r="A75" s="1" t="s">
        <v>90</v>
      </c>
      <c r="B75" s="14">
        <v>44879.65902777778</v>
      </c>
      <c r="C75" s="14">
        <v>44879.65902777778</v>
      </c>
      <c r="D75" s="1" t="s">
        <v>25</v>
      </c>
      <c r="E75" s="1" t="s">
        <v>26</v>
      </c>
      <c r="F75" s="15">
        <f ca="1">NOW()-Tabela4[[#This Row],[Data de abertura]]</f>
        <v>9.1273387731489493</v>
      </c>
      <c r="G75" s="13">
        <f t="shared" ca="1" si="2"/>
        <v>9.1273387731489493</v>
      </c>
    </row>
    <row r="76" spans="1:7" x14ac:dyDescent="0.25">
      <c r="A76" s="1" t="s">
        <v>47</v>
      </c>
      <c r="B76" s="14">
        <v>44832.671527777777</v>
      </c>
      <c r="C76" s="14">
        <v>44879.625694444447</v>
      </c>
      <c r="D76" s="1" t="s">
        <v>22</v>
      </c>
      <c r="E76" s="1" t="s">
        <v>28</v>
      </c>
      <c r="F76" s="15">
        <f ca="1">NOW()-Tabela4[[#This Row],[Data de abertura]]</f>
        <v>56.11483877315186</v>
      </c>
      <c r="G76" s="13">
        <f t="shared" ca="1" si="2"/>
        <v>9.1606721064817975</v>
      </c>
    </row>
    <row r="77" spans="1:7" x14ac:dyDescent="0.25">
      <c r="A77" s="1" t="s">
        <v>47</v>
      </c>
      <c r="B77" s="14">
        <v>44872.425000000003</v>
      </c>
      <c r="C77" s="14">
        <v>44879.622916666667</v>
      </c>
      <c r="D77" s="1" t="s">
        <v>22</v>
      </c>
      <c r="E77" s="1" t="s">
        <v>26</v>
      </c>
      <c r="F77" s="15">
        <f ca="1">NOW()-Tabela4[[#This Row],[Data de abertura]]</f>
        <v>16.361366550925595</v>
      </c>
      <c r="G77" s="13">
        <f t="shared" ca="1" si="2"/>
        <v>9.1634498842613539</v>
      </c>
    </row>
    <row r="78" spans="1:7" x14ac:dyDescent="0.25">
      <c r="A78" s="1" t="s">
        <v>86</v>
      </c>
      <c r="B78" s="14">
        <v>44879.605555555558</v>
      </c>
      <c r="C78" s="14">
        <v>44879.605555555558</v>
      </c>
      <c r="D78" s="1" t="s">
        <v>22</v>
      </c>
      <c r="E78" s="1" t="s">
        <v>26</v>
      </c>
      <c r="F78" s="15">
        <f ca="1">NOW()-Tabela4[[#This Row],[Data de abertura]]</f>
        <v>9.1808109953708481</v>
      </c>
      <c r="G78" s="13">
        <f t="shared" ca="1" si="2"/>
        <v>9.1808109953708481</v>
      </c>
    </row>
    <row r="79" spans="1:7" x14ac:dyDescent="0.25">
      <c r="A79" s="1" t="s">
        <v>47</v>
      </c>
      <c r="B79" s="14">
        <v>44869.637499999997</v>
      </c>
      <c r="C79" s="14">
        <v>44876.62777777778</v>
      </c>
      <c r="D79" s="1" t="s">
        <v>22</v>
      </c>
      <c r="E79" s="1" t="s">
        <v>28</v>
      </c>
      <c r="F79" s="15">
        <f ca="1">NOW()-Tabela4[[#This Row],[Data de abertura]]</f>
        <v>19.148866550931416</v>
      </c>
      <c r="G79" s="13">
        <f t="shared" ca="1" si="2"/>
        <v>12.158588773148949</v>
      </c>
    </row>
    <row r="80" spans="1:7" x14ac:dyDescent="0.25">
      <c r="A80" s="1" t="s">
        <v>91</v>
      </c>
      <c r="B80" s="14">
        <v>44876.604861111111</v>
      </c>
      <c r="C80" s="14">
        <v>44876.604861111111</v>
      </c>
      <c r="D80" s="1" t="s">
        <v>25</v>
      </c>
      <c r="E80" s="1" t="s">
        <v>26</v>
      </c>
      <c r="F80" s="15">
        <f ca="1">NOW()-Tabela4[[#This Row],[Data de abertura]]</f>
        <v>12.181505439817556</v>
      </c>
      <c r="G80" s="13">
        <f t="shared" ca="1" si="2"/>
        <v>12.181505439817556</v>
      </c>
    </row>
    <row r="81" spans="1:7" x14ac:dyDescent="0.25">
      <c r="A81" s="1" t="s">
        <v>97</v>
      </c>
      <c r="B81" s="14">
        <v>44876.561805555553</v>
      </c>
      <c r="C81" s="14">
        <v>44876.561805555553</v>
      </c>
      <c r="D81" s="1" t="s">
        <v>22</v>
      </c>
      <c r="E81" s="1" t="s">
        <v>26</v>
      </c>
      <c r="F81" s="15">
        <f ca="1">NOW()-Tabela4[[#This Row],[Data de abertura]]</f>
        <v>12.224560995375214</v>
      </c>
      <c r="G81" s="13">
        <f t="shared" ca="1" si="2"/>
        <v>12.224560995375214</v>
      </c>
    </row>
    <row r="82" spans="1:7" x14ac:dyDescent="0.25">
      <c r="A82" s="1" t="s">
        <v>82</v>
      </c>
      <c r="B82" s="14">
        <v>44858.428472222222</v>
      </c>
      <c r="C82" s="14">
        <v>44876.459027777775</v>
      </c>
      <c r="D82" s="1" t="s">
        <v>25</v>
      </c>
      <c r="E82" s="1" t="s">
        <v>26</v>
      </c>
      <c r="F82" s="15">
        <f ca="1">NOW()-Tabela4[[#This Row],[Data de abertura]]</f>
        <v>30.357894328706607</v>
      </c>
      <c r="G82" s="13">
        <f t="shared" ca="1" si="2"/>
        <v>12.327338773153315</v>
      </c>
    </row>
    <row r="83" spans="1:7" x14ac:dyDescent="0.25">
      <c r="A83" s="1" t="s">
        <v>105</v>
      </c>
      <c r="B83" s="14">
        <v>44858.474305555559</v>
      </c>
      <c r="C83" s="14">
        <v>44876.424305555556</v>
      </c>
      <c r="D83" s="1" t="s">
        <v>22</v>
      </c>
      <c r="E83" s="1" t="s">
        <v>26</v>
      </c>
      <c r="F83" s="15">
        <f ca="1">NOW()-Tabela4[[#This Row],[Data de abertura]]</f>
        <v>30.312060995369393</v>
      </c>
      <c r="G83" s="13">
        <f t="shared" ca="1" si="2"/>
        <v>12.362060995372303</v>
      </c>
    </row>
    <row r="84" spans="1:7" x14ac:dyDescent="0.25">
      <c r="A84" s="1" t="s">
        <v>91</v>
      </c>
      <c r="B84" s="14">
        <v>44869.657638888886</v>
      </c>
      <c r="C84" s="14">
        <v>44876.402777777781</v>
      </c>
      <c r="D84" s="1" t="s">
        <v>25</v>
      </c>
      <c r="E84" s="1" t="s">
        <v>26</v>
      </c>
      <c r="F84" s="15">
        <f ca="1">NOW()-Tabela4[[#This Row],[Data de abertura]]</f>
        <v>19.128727662042365</v>
      </c>
      <c r="G84" s="13">
        <f t="shared" ca="1" si="2"/>
        <v>12.383588773147494</v>
      </c>
    </row>
    <row r="85" spans="1:7" x14ac:dyDescent="0.25">
      <c r="A85" s="1" t="s">
        <v>53</v>
      </c>
      <c r="B85" s="14">
        <v>44872.738888888889</v>
      </c>
      <c r="C85" s="14">
        <v>44876.365972222222</v>
      </c>
      <c r="D85" s="1" t="s">
        <v>25</v>
      </c>
      <c r="E85" s="1" t="s">
        <v>26</v>
      </c>
      <c r="F85" s="15">
        <f ca="1">NOW()-Tabela4[[#This Row],[Data de abertura]]</f>
        <v>16.047477662039455</v>
      </c>
      <c r="G85" s="13">
        <f t="shared" ca="1" si="2"/>
        <v>12.420394328706607</v>
      </c>
    </row>
    <row r="86" spans="1:7" x14ac:dyDescent="0.25">
      <c r="A86" s="1" t="s">
        <v>84</v>
      </c>
      <c r="B86" s="14">
        <v>44876.34375</v>
      </c>
      <c r="C86" s="14">
        <v>44876.34375</v>
      </c>
      <c r="D86" s="1" t="s">
        <v>22</v>
      </c>
      <c r="E86" s="1" t="s">
        <v>26</v>
      </c>
      <c r="F86" s="15">
        <f ca="1">NOW()-Tabela4[[#This Row],[Data de abertura]]</f>
        <v>12.442616550928506</v>
      </c>
      <c r="G86" s="13">
        <f t="shared" ca="1" si="2"/>
        <v>12.442616550928506</v>
      </c>
    </row>
    <row r="87" spans="1:7" x14ac:dyDescent="0.25">
      <c r="A87" s="1" t="s">
        <v>90</v>
      </c>
      <c r="B87" s="14">
        <v>44876.342361111114</v>
      </c>
      <c r="C87" s="14">
        <v>44876.342361111114</v>
      </c>
      <c r="D87" s="1" t="s">
        <v>25</v>
      </c>
      <c r="E87" s="1" t="s">
        <v>26</v>
      </c>
      <c r="F87" s="15">
        <f ca="1">NOW()-Tabela4[[#This Row],[Data de abertura]]</f>
        <v>12.444005439814646</v>
      </c>
      <c r="G87" s="13">
        <f t="shared" ca="1" si="2"/>
        <v>12.444005439814646</v>
      </c>
    </row>
    <row r="88" spans="1:7" x14ac:dyDescent="0.25">
      <c r="A88" s="1" t="s">
        <v>90</v>
      </c>
      <c r="B88" s="14">
        <v>44875.740277777775</v>
      </c>
      <c r="C88" s="14">
        <v>44875.740277777775</v>
      </c>
      <c r="D88" s="1" t="s">
        <v>25</v>
      </c>
      <c r="E88" s="1" t="s">
        <v>26</v>
      </c>
      <c r="F88" s="15">
        <f ca="1">NOW()-Tabela4[[#This Row],[Data de abertura]]</f>
        <v>13.046088773153315</v>
      </c>
      <c r="G88" s="13">
        <f t="shared" ca="1" si="2"/>
        <v>13.046088773153315</v>
      </c>
    </row>
    <row r="89" spans="1:7" x14ac:dyDescent="0.25">
      <c r="A89" s="1" t="s">
        <v>86</v>
      </c>
      <c r="B89" s="14">
        <v>44875.579861111109</v>
      </c>
      <c r="C89" s="14">
        <v>44875.680555555555</v>
      </c>
      <c r="D89" s="1" t="s">
        <v>22</v>
      </c>
      <c r="E89" s="1" t="s">
        <v>26</v>
      </c>
      <c r="F89" s="15">
        <f ca="1">NOW()-Tabela4[[#This Row],[Data de abertura]]</f>
        <v>13.206505439819011</v>
      </c>
      <c r="G89" s="13">
        <f t="shared" ca="1" si="2"/>
        <v>13.105810995373758</v>
      </c>
    </row>
    <row r="90" spans="1:7" x14ac:dyDescent="0.25">
      <c r="A90" s="1" t="s">
        <v>86</v>
      </c>
      <c r="B90" s="14">
        <v>44858.479861111111</v>
      </c>
      <c r="C90" s="14">
        <v>44875.657638888886</v>
      </c>
      <c r="D90" s="1" t="s">
        <v>22</v>
      </c>
      <c r="E90" s="1" t="s">
        <v>26</v>
      </c>
      <c r="F90" s="15">
        <f ca="1">NOW()-Tabela4[[#This Row],[Data de abertura]]</f>
        <v>30.306505439817556</v>
      </c>
      <c r="G90" s="13">
        <f t="shared" ca="1" si="2"/>
        <v>13.128727662042365</v>
      </c>
    </row>
    <row r="91" spans="1:7" x14ac:dyDescent="0.25">
      <c r="A91" s="1" t="s">
        <v>90</v>
      </c>
      <c r="B91" s="14">
        <v>44875.649305555555</v>
      </c>
      <c r="C91" s="14">
        <v>44875.649305555555</v>
      </c>
      <c r="D91" s="1" t="s">
        <v>25</v>
      </c>
      <c r="E91" s="1" t="s">
        <v>26</v>
      </c>
      <c r="F91" s="15">
        <f ca="1">NOW()-Tabela4[[#This Row],[Data de abertura]]</f>
        <v>13.137060995373758</v>
      </c>
      <c r="G91" s="13">
        <f t="shared" ca="1" si="2"/>
        <v>13.137060995373758</v>
      </c>
    </row>
    <row r="92" spans="1:7" x14ac:dyDescent="0.25">
      <c r="A92" s="1" t="s">
        <v>90</v>
      </c>
      <c r="B92" s="14">
        <v>44875.620833333334</v>
      </c>
      <c r="C92" s="14">
        <v>44875.620833333334</v>
      </c>
      <c r="D92" s="1" t="s">
        <v>25</v>
      </c>
      <c r="E92" s="1" t="s">
        <v>26</v>
      </c>
      <c r="F92" s="15">
        <f ca="1">NOW()-Tabela4[[#This Row],[Data de abertura]]</f>
        <v>13.165533217594202</v>
      </c>
      <c r="G92" s="13">
        <f t="shared" ca="1" si="2"/>
        <v>13.165533217594202</v>
      </c>
    </row>
    <row r="93" spans="1:7" x14ac:dyDescent="0.25">
      <c r="A93" s="1" t="s">
        <v>86</v>
      </c>
      <c r="B93" s="14">
        <v>44851.709722222222</v>
      </c>
      <c r="C93" s="14">
        <v>44875.60833333333</v>
      </c>
      <c r="D93" s="1" t="s">
        <v>22</v>
      </c>
      <c r="E93" s="1" t="s">
        <v>26</v>
      </c>
      <c r="F93" s="15">
        <f ca="1">NOW()-Tabela4[[#This Row],[Data de abertura]]</f>
        <v>37.076644328706607</v>
      </c>
      <c r="G93" s="13">
        <f t="shared" ca="1" si="2"/>
        <v>13.178033217598568</v>
      </c>
    </row>
    <row r="94" spans="1:7" x14ac:dyDescent="0.25">
      <c r="A94" s="1" t="s">
        <v>97</v>
      </c>
      <c r="B94" s="14">
        <v>44875.582638888889</v>
      </c>
      <c r="C94" s="14">
        <v>44875.582638888889</v>
      </c>
      <c r="D94" s="1" t="s">
        <v>22</v>
      </c>
      <c r="E94" s="1" t="s">
        <v>26</v>
      </c>
      <c r="F94" s="15">
        <f ca="1">NOW()-Tabela4[[#This Row],[Data de abertura]]</f>
        <v>13.203727662039455</v>
      </c>
      <c r="G94" s="13">
        <f t="shared" ca="1" si="2"/>
        <v>13.203727662039455</v>
      </c>
    </row>
    <row r="95" spans="1:7" x14ac:dyDescent="0.25">
      <c r="A95" s="1" t="s">
        <v>83</v>
      </c>
      <c r="B95" s="14">
        <v>44875.495138888888</v>
      </c>
      <c r="C95" s="14">
        <v>44875.495138888888</v>
      </c>
      <c r="D95" s="1" t="s">
        <v>22</v>
      </c>
      <c r="E95" s="1" t="s">
        <v>26</v>
      </c>
      <c r="F95" s="15">
        <f ca="1">NOW()-Tabela4[[#This Row],[Data de abertura]]</f>
        <v>13.29122766204091</v>
      </c>
      <c r="G95" s="13">
        <f t="shared" ca="1" si="2"/>
        <v>13.29122766204091</v>
      </c>
    </row>
    <row r="96" spans="1:7" x14ac:dyDescent="0.25">
      <c r="A96" s="1" t="s">
        <v>89</v>
      </c>
      <c r="B96" s="14">
        <v>44874.395138888889</v>
      </c>
      <c r="C96" s="14">
        <v>44875.364583333336</v>
      </c>
      <c r="D96" s="1" t="s">
        <v>22</v>
      </c>
      <c r="E96" s="1" t="s">
        <v>26</v>
      </c>
      <c r="F96" s="15">
        <f ca="1">NOW()-Tabela4[[#This Row],[Data de abertura]]</f>
        <v>14.391227662039455</v>
      </c>
      <c r="G96" s="13">
        <f t="shared" ca="1" si="2"/>
        <v>13.421783217592747</v>
      </c>
    </row>
    <row r="97" spans="1:7" x14ac:dyDescent="0.25">
      <c r="A97" s="1" t="s">
        <v>104</v>
      </c>
      <c r="B97" s="14">
        <v>44874.643055555556</v>
      </c>
      <c r="C97" s="14">
        <v>44874.643055555556</v>
      </c>
      <c r="D97" s="1" t="s">
        <v>25</v>
      </c>
      <c r="E97" s="1" t="s">
        <v>26</v>
      </c>
      <c r="F97" s="15">
        <f ca="1">NOW()-Tabela4[[#This Row],[Data de abertura]]</f>
        <v>14.143310995372303</v>
      </c>
      <c r="G97" s="13">
        <f t="shared" ca="1" si="2"/>
        <v>14.143310995372303</v>
      </c>
    </row>
    <row r="98" spans="1:7" x14ac:dyDescent="0.25">
      <c r="A98" s="1" t="s">
        <v>24</v>
      </c>
      <c r="B98" s="14">
        <v>44832.531944444447</v>
      </c>
      <c r="C98" s="14">
        <v>44874.453472222223</v>
      </c>
      <c r="D98" s="1" t="s">
        <v>25</v>
      </c>
      <c r="E98" s="1" t="s">
        <v>26</v>
      </c>
      <c r="F98" s="15">
        <f ca="1">NOW()-Tabela4[[#This Row],[Data de abertura]]</f>
        <v>56.254422106481798</v>
      </c>
      <c r="G98" s="13">
        <f t="shared" ref="G98:G129" ca="1" si="3">NOW()-C98</f>
        <v>14.332894328705152</v>
      </c>
    </row>
    <row r="99" spans="1:7" x14ac:dyDescent="0.25">
      <c r="A99" s="1" t="s">
        <v>47</v>
      </c>
      <c r="B99" s="14">
        <v>44823.686805555553</v>
      </c>
      <c r="C99" s="14">
        <v>44874.453472222223</v>
      </c>
      <c r="D99" s="1" t="s">
        <v>22</v>
      </c>
      <c r="E99" s="1" t="s">
        <v>28</v>
      </c>
      <c r="F99" s="15">
        <f ca="1">NOW()-Tabela4[[#This Row],[Data de abertura]]</f>
        <v>65.099560995375214</v>
      </c>
      <c r="G99" s="13">
        <f t="shared" ca="1" si="3"/>
        <v>14.332894328705152</v>
      </c>
    </row>
    <row r="100" spans="1:7" x14ac:dyDescent="0.25">
      <c r="A100" s="1" t="s">
        <v>106</v>
      </c>
      <c r="B100" s="14">
        <v>44874.427777777775</v>
      </c>
      <c r="C100" s="14">
        <v>44874.427777777775</v>
      </c>
      <c r="D100" s="1" t="s">
        <v>22</v>
      </c>
      <c r="E100" s="1" t="s">
        <v>26</v>
      </c>
      <c r="F100" s="15">
        <f ca="1">NOW()-Tabela4[[#This Row],[Data de abertura]]</f>
        <v>14.358588773153315</v>
      </c>
      <c r="G100" s="13">
        <f t="shared" ca="1" si="3"/>
        <v>14.358588773153315</v>
      </c>
    </row>
    <row r="101" spans="1:7" x14ac:dyDescent="0.25">
      <c r="A101" s="1" t="s">
        <v>61</v>
      </c>
      <c r="B101" s="14">
        <v>44872.384722222225</v>
      </c>
      <c r="C101" s="14">
        <v>44874.419444444444</v>
      </c>
      <c r="D101" s="1" t="s">
        <v>22</v>
      </c>
      <c r="E101" s="1" t="s">
        <v>28</v>
      </c>
      <c r="F101" s="15">
        <f ca="1">NOW()-Tabela4[[#This Row],[Data de abertura]]</f>
        <v>16.401644328703696</v>
      </c>
      <c r="G101" s="13">
        <f t="shared" ca="1" si="3"/>
        <v>14.366922106484708</v>
      </c>
    </row>
    <row r="102" spans="1:7" x14ac:dyDescent="0.25">
      <c r="A102" s="1" t="s">
        <v>107</v>
      </c>
      <c r="B102" s="14">
        <v>44874.365277777775</v>
      </c>
      <c r="C102" s="14">
        <v>44874.365277777775</v>
      </c>
      <c r="D102" s="1" t="s">
        <v>25</v>
      </c>
      <c r="E102" s="1" t="s">
        <v>26</v>
      </c>
      <c r="F102" s="15">
        <f ca="1">NOW()-Tabela4[[#This Row],[Data de abertura]]</f>
        <v>14.421088773153315</v>
      </c>
      <c r="G102" s="13">
        <f t="shared" ca="1" si="3"/>
        <v>14.421088773153315</v>
      </c>
    </row>
    <row r="103" spans="1:7" x14ac:dyDescent="0.25">
      <c r="A103" s="1" t="s">
        <v>61</v>
      </c>
      <c r="B103" s="14">
        <v>44874.301388888889</v>
      </c>
      <c r="C103" s="14">
        <v>44874.301388888889</v>
      </c>
      <c r="D103" s="1" t="s">
        <v>22</v>
      </c>
      <c r="E103" s="1" t="s">
        <v>26</v>
      </c>
      <c r="F103" s="15">
        <f ca="1">NOW()-Tabela4[[#This Row],[Data de abertura]]</f>
        <v>14.484977662039455</v>
      </c>
      <c r="G103" s="13">
        <f t="shared" ca="1" si="3"/>
        <v>14.484977662039455</v>
      </c>
    </row>
    <row r="104" spans="1:7" x14ac:dyDescent="0.25">
      <c r="A104" s="1" t="s">
        <v>86</v>
      </c>
      <c r="B104" s="14">
        <v>44844.652083333334</v>
      </c>
      <c r="C104" s="14">
        <v>44874.3</v>
      </c>
      <c r="D104" s="1" t="s">
        <v>22</v>
      </c>
      <c r="E104" s="1" t="s">
        <v>26</v>
      </c>
      <c r="F104" s="15">
        <f ca="1">NOW()-Tabela4[[#This Row],[Data de abertura]]</f>
        <v>44.134283217594202</v>
      </c>
      <c r="G104" s="13">
        <f t="shared" ca="1" si="3"/>
        <v>14.486366550925595</v>
      </c>
    </row>
    <row r="105" spans="1:7" x14ac:dyDescent="0.25">
      <c r="A105" s="1" t="s">
        <v>90</v>
      </c>
      <c r="B105" s="14">
        <v>44830.337500000001</v>
      </c>
      <c r="C105" s="14">
        <v>44873.705555555556</v>
      </c>
      <c r="D105" s="1" t="s">
        <v>25</v>
      </c>
      <c r="E105" s="1" t="s">
        <v>26</v>
      </c>
      <c r="F105" s="15">
        <f ca="1">NOW()-Tabela4[[#This Row],[Data de abertura]]</f>
        <v>58.44886655092705</v>
      </c>
      <c r="G105" s="13">
        <f t="shared" ca="1" si="3"/>
        <v>15.080810995372303</v>
      </c>
    </row>
    <row r="106" spans="1:7" x14ac:dyDescent="0.25">
      <c r="A106" s="1" t="s">
        <v>90</v>
      </c>
      <c r="B106" s="14">
        <v>44873.640972222223</v>
      </c>
      <c r="C106" s="14">
        <v>44873.704861111109</v>
      </c>
      <c r="D106" s="1" t="s">
        <v>25</v>
      </c>
      <c r="E106" s="1" t="s">
        <v>26</v>
      </c>
      <c r="F106" s="15">
        <f ca="1">NOW()-Tabela4[[#This Row],[Data de abertura]]</f>
        <v>15.145394328705152</v>
      </c>
      <c r="G106" s="13">
        <f t="shared" ca="1" si="3"/>
        <v>15.081505439819011</v>
      </c>
    </row>
    <row r="107" spans="1:7" x14ac:dyDescent="0.25">
      <c r="A107" s="1" t="s">
        <v>90</v>
      </c>
      <c r="B107" s="14">
        <v>44830.728472222225</v>
      </c>
      <c r="C107" s="14">
        <v>44873.649305555555</v>
      </c>
      <c r="D107" s="1" t="s">
        <v>25</v>
      </c>
      <c r="E107" s="1" t="s">
        <v>26</v>
      </c>
      <c r="F107" s="15">
        <f ca="1">NOW()-Tabela4[[#This Row],[Data de abertura]]</f>
        <v>58.057894328703696</v>
      </c>
      <c r="G107" s="13">
        <f t="shared" ca="1" si="3"/>
        <v>15.137060995373758</v>
      </c>
    </row>
    <row r="108" spans="1:7" x14ac:dyDescent="0.25">
      <c r="A108" s="1" t="s">
        <v>108</v>
      </c>
      <c r="B108" s="14">
        <v>44873.503472222219</v>
      </c>
      <c r="C108" s="14">
        <v>44873.503472222219</v>
      </c>
      <c r="D108" s="1" t="s">
        <v>22</v>
      </c>
      <c r="E108" s="1" t="s">
        <v>26</v>
      </c>
      <c r="F108" s="15">
        <f ca="1">NOW()-Tabela4[[#This Row],[Data de abertura]]</f>
        <v>15.282894328709517</v>
      </c>
      <c r="G108" s="13">
        <f t="shared" ca="1" si="3"/>
        <v>15.282894328709517</v>
      </c>
    </row>
    <row r="109" spans="1:7" x14ac:dyDescent="0.25">
      <c r="A109" s="1" t="s">
        <v>83</v>
      </c>
      <c r="B109" s="14">
        <v>44872.708333333336</v>
      </c>
      <c r="C109" s="14">
        <v>44873.301388888889</v>
      </c>
      <c r="D109" s="1" t="s">
        <v>22</v>
      </c>
      <c r="E109" s="1" t="s">
        <v>26</v>
      </c>
      <c r="F109" s="15">
        <f ca="1">NOW()-Tabela4[[#This Row],[Data de abertura]]</f>
        <v>16.078033217592747</v>
      </c>
      <c r="G109" s="13">
        <f t="shared" ca="1" si="3"/>
        <v>15.484977662039455</v>
      </c>
    </row>
    <row r="110" spans="1:7" x14ac:dyDescent="0.25">
      <c r="A110" s="1" t="s">
        <v>90</v>
      </c>
      <c r="B110" s="14">
        <v>44872.754166666666</v>
      </c>
      <c r="C110" s="14">
        <v>44872.754166666666</v>
      </c>
      <c r="D110" s="1" t="s">
        <v>25</v>
      </c>
      <c r="E110" s="1" t="s">
        <v>26</v>
      </c>
      <c r="F110" s="15">
        <f ca="1">NOW()-Tabela4[[#This Row],[Data de abertura]]</f>
        <v>16.032199884262809</v>
      </c>
      <c r="G110" s="13">
        <f t="shared" ca="1" si="3"/>
        <v>16.032199884262809</v>
      </c>
    </row>
    <row r="111" spans="1:7" x14ac:dyDescent="0.25">
      <c r="A111" s="1" t="s">
        <v>80</v>
      </c>
      <c r="B111" s="14">
        <v>44872.618055555555</v>
      </c>
      <c r="C111" s="14">
        <v>44872.694444444445</v>
      </c>
      <c r="D111" s="1" t="s">
        <v>22</v>
      </c>
      <c r="E111" s="1" t="s">
        <v>26</v>
      </c>
      <c r="F111" s="15">
        <f ca="1">NOW()-Tabela4[[#This Row],[Data de abertura]]</f>
        <v>16.168310995373758</v>
      </c>
      <c r="G111" s="13">
        <f t="shared" ca="1" si="3"/>
        <v>16.091922106483253</v>
      </c>
    </row>
    <row r="112" spans="1:7" x14ac:dyDescent="0.25">
      <c r="A112" s="1" t="s">
        <v>80</v>
      </c>
      <c r="B112" s="14">
        <v>44872.617361111108</v>
      </c>
      <c r="C112" s="14">
        <v>44872.693749999999</v>
      </c>
      <c r="D112" s="1" t="s">
        <v>22</v>
      </c>
      <c r="E112" s="1" t="s">
        <v>26</v>
      </c>
      <c r="F112" s="15">
        <f ca="1">NOW()-Tabela4[[#This Row],[Data de abertura]]</f>
        <v>16.169005439820467</v>
      </c>
      <c r="G112" s="13">
        <f t="shared" ca="1" si="3"/>
        <v>16.092616550929961</v>
      </c>
    </row>
    <row r="113" spans="1:7" x14ac:dyDescent="0.25">
      <c r="A113" s="1" t="s">
        <v>86</v>
      </c>
      <c r="B113" s="14">
        <v>44872.63958333333</v>
      </c>
      <c r="C113" s="14">
        <v>44872.63958333333</v>
      </c>
      <c r="D113" s="1" t="s">
        <v>22</v>
      </c>
      <c r="E113" s="1" t="s">
        <v>26</v>
      </c>
      <c r="F113" s="15">
        <f ca="1">NOW()-Tabela4[[#This Row],[Data de abertura]]</f>
        <v>16.146783217598568</v>
      </c>
      <c r="G113" s="13">
        <f t="shared" ca="1" si="3"/>
        <v>16.146783217598568</v>
      </c>
    </row>
    <row r="114" spans="1:7" x14ac:dyDescent="0.25">
      <c r="A114" s="1" t="s">
        <v>96</v>
      </c>
      <c r="B114" s="14">
        <v>44859.673611111109</v>
      </c>
      <c r="C114" s="14">
        <v>44872.586111111108</v>
      </c>
      <c r="D114" s="1" t="s">
        <v>22</v>
      </c>
      <c r="E114" s="1" t="s">
        <v>26</v>
      </c>
      <c r="F114" s="15">
        <f ca="1">NOW()-Tabela4[[#This Row],[Data de abertura]]</f>
        <v>29.112755439819011</v>
      </c>
      <c r="G114" s="13">
        <f t="shared" ca="1" si="3"/>
        <v>16.200255439820467</v>
      </c>
    </row>
    <row r="115" spans="1:7" x14ac:dyDescent="0.25">
      <c r="A115" s="1" t="s">
        <v>86</v>
      </c>
      <c r="B115" s="14">
        <v>44872.461805555555</v>
      </c>
      <c r="C115" s="14">
        <v>44872.461805555555</v>
      </c>
      <c r="D115" s="1" t="s">
        <v>22</v>
      </c>
      <c r="E115" s="1" t="s">
        <v>26</v>
      </c>
      <c r="F115" s="15">
        <f ca="1">NOW()-Tabela4[[#This Row],[Data de abertura]]</f>
        <v>16.324560995373758</v>
      </c>
      <c r="G115" s="13">
        <f t="shared" ca="1" si="3"/>
        <v>16.324560995373758</v>
      </c>
    </row>
    <row r="116" spans="1:7" x14ac:dyDescent="0.25">
      <c r="A116" s="1" t="s">
        <v>80</v>
      </c>
      <c r="B116" s="14">
        <v>44872.417361111111</v>
      </c>
      <c r="C116" s="14">
        <v>44872.417361111111</v>
      </c>
      <c r="D116" s="1" t="s">
        <v>22</v>
      </c>
      <c r="E116" s="1" t="s">
        <v>26</v>
      </c>
      <c r="F116" s="15">
        <f ca="1">NOW()-Tabela4[[#This Row],[Data de abertura]]</f>
        <v>16.369005439817556</v>
      </c>
      <c r="G116" s="13">
        <f t="shared" ca="1" si="3"/>
        <v>16.369005439817556</v>
      </c>
    </row>
    <row r="117" spans="1:7" x14ac:dyDescent="0.25">
      <c r="A117" s="1" t="s">
        <v>86</v>
      </c>
      <c r="B117" s="14">
        <v>44859.615277777775</v>
      </c>
      <c r="C117" s="14">
        <v>44872.383333333331</v>
      </c>
      <c r="D117" s="1" t="s">
        <v>22</v>
      </c>
      <c r="E117" s="1" t="s">
        <v>26</v>
      </c>
      <c r="F117" s="15">
        <f ca="1">NOW()-Tabela4[[#This Row],[Data de abertura]]</f>
        <v>29.171088773153315</v>
      </c>
      <c r="G117" s="13">
        <f t="shared" ca="1" si="3"/>
        <v>16.403033217597113</v>
      </c>
    </row>
    <row r="118" spans="1:7" x14ac:dyDescent="0.25">
      <c r="A118" s="1" t="s">
        <v>87</v>
      </c>
      <c r="B118" s="14">
        <v>44872.37222222222</v>
      </c>
      <c r="C118" s="14">
        <v>44872.37222222222</v>
      </c>
      <c r="D118" s="1" t="s">
        <v>22</v>
      </c>
      <c r="E118" s="1" t="s">
        <v>26</v>
      </c>
      <c r="F118" s="15">
        <f ca="1">NOW()-Tabela4[[#This Row],[Data de abertura]]</f>
        <v>16.414144328708062</v>
      </c>
      <c r="G118" s="13">
        <f t="shared" ca="1" si="3"/>
        <v>16.414144328708062</v>
      </c>
    </row>
    <row r="119" spans="1:7" x14ac:dyDescent="0.25">
      <c r="A119" s="1" t="s">
        <v>90</v>
      </c>
      <c r="B119" s="14">
        <v>44868.732638888891</v>
      </c>
      <c r="C119" s="14">
        <v>44870.70416666667</v>
      </c>
      <c r="D119" s="1" t="s">
        <v>25</v>
      </c>
      <c r="E119" s="1" t="s">
        <v>26</v>
      </c>
      <c r="F119" s="15">
        <f ca="1">NOW()-Tabela4[[#This Row],[Data de abertura]]</f>
        <v>20.053727662038</v>
      </c>
      <c r="G119" s="13">
        <f t="shared" ca="1" si="3"/>
        <v>18.082199884258443</v>
      </c>
    </row>
    <row r="120" spans="1:7" x14ac:dyDescent="0.25">
      <c r="A120" s="1" t="s">
        <v>91</v>
      </c>
      <c r="B120" s="14">
        <v>44845.397916666669</v>
      </c>
      <c r="C120" s="14">
        <v>44870.70416666667</v>
      </c>
      <c r="D120" s="1" t="s">
        <v>25</v>
      </c>
      <c r="E120" s="1" t="s">
        <v>26</v>
      </c>
      <c r="F120" s="15">
        <f ca="1">NOW()-Tabela4[[#This Row],[Data de abertura]]</f>
        <v>43.388449884259899</v>
      </c>
      <c r="G120" s="13">
        <f t="shared" ca="1" si="3"/>
        <v>18.082199884258443</v>
      </c>
    </row>
    <row r="121" spans="1:7" x14ac:dyDescent="0.25">
      <c r="A121" s="1" t="s">
        <v>90</v>
      </c>
      <c r="B121" s="14">
        <v>44834.681944444441</v>
      </c>
      <c r="C121" s="14">
        <v>44870.703472222223</v>
      </c>
      <c r="D121" s="1" t="s">
        <v>25</v>
      </c>
      <c r="E121" s="1" t="s">
        <v>26</v>
      </c>
      <c r="F121" s="15">
        <f ca="1">NOW()-Tabela4[[#This Row],[Data de abertura]]</f>
        <v>54.104422106487618</v>
      </c>
      <c r="G121" s="13">
        <f t="shared" ca="1" si="3"/>
        <v>18.082894328705152</v>
      </c>
    </row>
    <row r="122" spans="1:7" x14ac:dyDescent="0.25">
      <c r="A122" s="1" t="s">
        <v>98</v>
      </c>
      <c r="B122" s="14">
        <v>44834.336805555555</v>
      </c>
      <c r="C122" s="14">
        <v>44870.703472222223</v>
      </c>
      <c r="D122" s="1" t="s">
        <v>22</v>
      </c>
      <c r="E122" s="1" t="s">
        <v>26</v>
      </c>
      <c r="F122" s="15">
        <f ca="1">NOW()-Tabela4[[#This Row],[Data de abertura]]</f>
        <v>54.449560995373758</v>
      </c>
      <c r="G122" s="13">
        <f t="shared" ca="1" si="3"/>
        <v>18.082894328705152</v>
      </c>
    </row>
    <row r="123" spans="1:7" x14ac:dyDescent="0.25">
      <c r="A123" s="1" t="s">
        <v>90</v>
      </c>
      <c r="B123" s="14">
        <v>44856.426388888889</v>
      </c>
      <c r="C123" s="14">
        <v>44870.70208333333</v>
      </c>
      <c r="D123" s="1" t="s">
        <v>25</v>
      </c>
      <c r="E123" s="1" t="s">
        <v>26</v>
      </c>
      <c r="F123" s="15">
        <f ca="1">NOW()-Tabela4[[#This Row],[Data de abertura]]</f>
        <v>32.359977662039455</v>
      </c>
      <c r="G123" s="13">
        <f t="shared" ca="1" si="3"/>
        <v>18.084283217598568</v>
      </c>
    </row>
    <row r="124" spans="1:7" x14ac:dyDescent="0.25">
      <c r="A124" s="1" t="s">
        <v>90</v>
      </c>
      <c r="B124" s="14">
        <v>44845.441666666666</v>
      </c>
      <c r="C124" s="14">
        <v>44870.701388888891</v>
      </c>
      <c r="D124" s="1" t="s">
        <v>25</v>
      </c>
      <c r="E124" s="1" t="s">
        <v>26</v>
      </c>
      <c r="F124" s="15">
        <f ca="1">NOW()-Tabela4[[#This Row],[Data de abertura]]</f>
        <v>43.344699884262809</v>
      </c>
      <c r="G124" s="13">
        <f t="shared" ca="1" si="3"/>
        <v>18.084977662038</v>
      </c>
    </row>
    <row r="125" spans="1:7" x14ac:dyDescent="0.25">
      <c r="A125" s="1" t="s">
        <v>90</v>
      </c>
      <c r="B125" s="14">
        <v>44831.465277777781</v>
      </c>
      <c r="C125" s="14">
        <v>44870.701388888891</v>
      </c>
      <c r="D125" s="1" t="s">
        <v>25</v>
      </c>
      <c r="E125" s="1" t="s">
        <v>26</v>
      </c>
      <c r="F125" s="15">
        <f ca="1">NOW()-Tabela4[[#This Row],[Data de abertura]]</f>
        <v>57.321088773147494</v>
      </c>
      <c r="G125" s="13">
        <f t="shared" ca="1" si="3"/>
        <v>18.084977662038</v>
      </c>
    </row>
    <row r="126" spans="1:7" x14ac:dyDescent="0.25">
      <c r="A126" s="1" t="s">
        <v>81</v>
      </c>
      <c r="B126" s="14">
        <v>44860.379166666666</v>
      </c>
      <c r="C126" s="14">
        <v>44869.84097222222</v>
      </c>
      <c r="D126" s="1" t="s">
        <v>22</v>
      </c>
      <c r="E126" s="1" t="s">
        <v>26</v>
      </c>
      <c r="F126" s="15">
        <f ca="1">NOW()-Tabela4[[#This Row],[Data de abertura]]</f>
        <v>28.407199884262809</v>
      </c>
      <c r="G126" s="13">
        <f t="shared" ca="1" si="3"/>
        <v>18.945394328708062</v>
      </c>
    </row>
    <row r="127" spans="1:7" x14ac:dyDescent="0.25">
      <c r="A127" s="1" t="s">
        <v>81</v>
      </c>
      <c r="B127" s="14">
        <v>44855.681944444441</v>
      </c>
      <c r="C127" s="14">
        <v>44869.84097222222</v>
      </c>
      <c r="D127" s="1" t="s">
        <v>22</v>
      </c>
      <c r="E127" s="1" t="s">
        <v>26</v>
      </c>
      <c r="F127" s="15">
        <f ca="1">NOW()-Tabela4[[#This Row],[Data de abertura]]</f>
        <v>33.104422106487618</v>
      </c>
      <c r="G127" s="13">
        <f t="shared" ca="1" si="3"/>
        <v>18.945394328708062</v>
      </c>
    </row>
    <row r="128" spans="1:7" x14ac:dyDescent="0.25">
      <c r="A128" s="1" t="s">
        <v>81</v>
      </c>
      <c r="B128" s="14">
        <v>44859.681250000001</v>
      </c>
      <c r="C128" s="14">
        <v>44869.840277777781</v>
      </c>
      <c r="D128" s="1" t="s">
        <v>22</v>
      </c>
      <c r="E128" s="1" t="s">
        <v>26</v>
      </c>
      <c r="F128" s="15">
        <f ca="1">NOW()-Tabela4[[#This Row],[Data de abertura]]</f>
        <v>29.10511655092705</v>
      </c>
      <c r="G128" s="13">
        <f t="shared" ca="1" si="3"/>
        <v>18.946088773147494</v>
      </c>
    </row>
    <row r="129" spans="1:7" x14ac:dyDescent="0.25">
      <c r="A129" s="1" t="s">
        <v>82</v>
      </c>
      <c r="B129" s="14">
        <v>44861.461805555555</v>
      </c>
      <c r="C129" s="14">
        <v>44869.662499999999</v>
      </c>
      <c r="D129" s="1" t="s">
        <v>25</v>
      </c>
      <c r="E129" s="1" t="s">
        <v>26</v>
      </c>
      <c r="F129" s="15">
        <f ca="1">NOW()-Tabela4[[#This Row],[Data de abertura]]</f>
        <v>27.324560995373758</v>
      </c>
      <c r="G129" s="13">
        <f t="shared" ca="1" si="3"/>
        <v>19.123866550929961</v>
      </c>
    </row>
    <row r="130" spans="1:7" x14ac:dyDescent="0.25">
      <c r="A130" s="1" t="s">
        <v>81</v>
      </c>
      <c r="B130" s="14">
        <v>44860.455555555556</v>
      </c>
      <c r="C130" s="14">
        <v>44869.574305555558</v>
      </c>
      <c r="D130" s="1" t="s">
        <v>22</v>
      </c>
      <c r="E130" s="1" t="s">
        <v>26</v>
      </c>
      <c r="F130" s="15">
        <f ca="1">NOW()-Tabela4[[#This Row],[Data de abertura]]</f>
        <v>28.330810995372303</v>
      </c>
      <c r="G130" s="13">
        <f t="shared" ref="G130:G161" ca="1" si="4">NOW()-C130</f>
        <v>19.212060995370848</v>
      </c>
    </row>
    <row r="131" spans="1:7" x14ac:dyDescent="0.25">
      <c r="A131" s="1" t="s">
        <v>107</v>
      </c>
      <c r="B131" s="14">
        <v>44832.410416666666</v>
      </c>
      <c r="C131" s="14">
        <v>44869.441666666666</v>
      </c>
      <c r="D131" s="1" t="s">
        <v>25</v>
      </c>
      <c r="E131" s="1" t="s">
        <v>26</v>
      </c>
      <c r="F131" s="15">
        <f ca="1">NOW()-Tabela4[[#This Row],[Data de abertura]]</f>
        <v>56.375949884262809</v>
      </c>
      <c r="G131" s="13">
        <f t="shared" ca="1" si="4"/>
        <v>19.344699884262809</v>
      </c>
    </row>
    <row r="132" spans="1:7" x14ac:dyDescent="0.25">
      <c r="A132" s="1" t="s">
        <v>81</v>
      </c>
      <c r="B132" s="14">
        <v>44809.70208333333</v>
      </c>
      <c r="C132" s="14">
        <v>44869.4375</v>
      </c>
      <c r="D132" s="1" t="s">
        <v>22</v>
      </c>
      <c r="E132" s="1" t="s">
        <v>26</v>
      </c>
      <c r="F132" s="15">
        <f ca="1">NOW()-Tabela4[[#This Row],[Data de abertura]]</f>
        <v>79.084283217598568</v>
      </c>
      <c r="G132" s="13">
        <f t="shared" ca="1" si="4"/>
        <v>19.348866550928506</v>
      </c>
    </row>
    <row r="133" spans="1:7" x14ac:dyDescent="0.25">
      <c r="A133" s="1" t="s">
        <v>82</v>
      </c>
      <c r="B133" s="14">
        <v>44830.658333333333</v>
      </c>
      <c r="C133" s="14">
        <v>44869.413888888892</v>
      </c>
      <c r="D133" s="1" t="s">
        <v>25</v>
      </c>
      <c r="E133" s="1" t="s">
        <v>26</v>
      </c>
      <c r="F133" s="15">
        <f ca="1">NOW()-Tabela4[[#This Row],[Data de abertura]]</f>
        <v>58.128033217595657</v>
      </c>
      <c r="G133" s="13">
        <f t="shared" ca="1" si="4"/>
        <v>19.372477662036545</v>
      </c>
    </row>
    <row r="134" spans="1:7" x14ac:dyDescent="0.25">
      <c r="A134" s="1" t="s">
        <v>80</v>
      </c>
      <c r="B134" s="14">
        <v>44761.378472222219</v>
      </c>
      <c r="C134" s="14">
        <v>44869.39166666667</v>
      </c>
      <c r="D134" s="1" t="s">
        <v>22</v>
      </c>
      <c r="E134" s="1" t="s">
        <v>26</v>
      </c>
      <c r="F134" s="15">
        <f ca="1">NOW()-Tabela4[[#This Row],[Data de abertura]]</f>
        <v>127.40789432870952</v>
      </c>
      <c r="G134" s="13">
        <f t="shared" ca="1" si="4"/>
        <v>19.394699884258443</v>
      </c>
    </row>
    <row r="135" spans="1:7" x14ac:dyDescent="0.25">
      <c r="A135" s="1" t="s">
        <v>81</v>
      </c>
      <c r="B135" s="14">
        <v>44831.683333333334</v>
      </c>
      <c r="C135" s="14">
        <v>44869.379166666666</v>
      </c>
      <c r="D135" s="1" t="s">
        <v>22</v>
      </c>
      <c r="E135" s="1" t="s">
        <v>26</v>
      </c>
      <c r="F135" s="15">
        <f ca="1">NOW()-Tabela4[[#This Row],[Data de abertura]]</f>
        <v>57.103033217594202</v>
      </c>
      <c r="G135" s="13">
        <f t="shared" ca="1" si="4"/>
        <v>19.407199884262809</v>
      </c>
    </row>
    <row r="136" spans="1:7" x14ac:dyDescent="0.25">
      <c r="A136" s="1" t="s">
        <v>80</v>
      </c>
      <c r="B136" s="14">
        <v>44869.366666666669</v>
      </c>
      <c r="C136" s="14">
        <v>44869.366666666669</v>
      </c>
      <c r="D136" s="1" t="s">
        <v>22</v>
      </c>
      <c r="E136" s="1" t="s">
        <v>26</v>
      </c>
      <c r="F136" s="15">
        <f ca="1">NOW()-Tabela4[[#This Row],[Data de abertura]]</f>
        <v>19.419699884259899</v>
      </c>
      <c r="G136" s="13">
        <f t="shared" ca="1" si="4"/>
        <v>19.419699884259899</v>
      </c>
    </row>
    <row r="137" spans="1:7" x14ac:dyDescent="0.25">
      <c r="A137" s="1" t="s">
        <v>67</v>
      </c>
      <c r="B137" s="14">
        <v>44866.481249999997</v>
      </c>
      <c r="C137" s="14">
        <v>44869.351388888892</v>
      </c>
      <c r="D137" s="1" t="s">
        <v>25</v>
      </c>
      <c r="E137" s="1" t="s">
        <v>26</v>
      </c>
      <c r="F137" s="15">
        <f ca="1">NOW()-Tabela4[[#This Row],[Data de abertura]]</f>
        <v>22.305116550931416</v>
      </c>
      <c r="G137" s="13">
        <f t="shared" ca="1" si="4"/>
        <v>19.434977662036545</v>
      </c>
    </row>
    <row r="138" spans="1:7" x14ac:dyDescent="0.25">
      <c r="A138" s="1" t="s">
        <v>91</v>
      </c>
      <c r="B138" s="14">
        <v>44869.337500000001</v>
      </c>
      <c r="C138" s="14">
        <v>44869.337500000001</v>
      </c>
      <c r="D138" s="1" t="s">
        <v>25</v>
      </c>
      <c r="E138" s="1" t="s">
        <v>26</v>
      </c>
      <c r="F138" s="15">
        <f ca="1">NOW()-Tabela4[[#This Row],[Data de abertura]]</f>
        <v>19.44886655092705</v>
      </c>
      <c r="G138" s="13">
        <f t="shared" ca="1" si="4"/>
        <v>19.44886655092705</v>
      </c>
    </row>
    <row r="139" spans="1:7" x14ac:dyDescent="0.25">
      <c r="A139" s="1" t="s">
        <v>90</v>
      </c>
      <c r="B139" s="14">
        <v>44868.684027777781</v>
      </c>
      <c r="C139" s="14">
        <v>44868.684027777781</v>
      </c>
      <c r="D139" s="1" t="s">
        <v>25</v>
      </c>
      <c r="E139" s="1" t="s">
        <v>26</v>
      </c>
      <c r="F139" s="15">
        <f ca="1">NOW()-Tabela4[[#This Row],[Data de abertura]]</f>
        <v>20.102338773147494</v>
      </c>
      <c r="G139" s="13">
        <f t="shared" ca="1" si="4"/>
        <v>20.102338773147494</v>
      </c>
    </row>
    <row r="140" spans="1:7" x14ac:dyDescent="0.25">
      <c r="A140" s="1" t="s">
        <v>109</v>
      </c>
      <c r="B140" s="14">
        <v>44868.661805555559</v>
      </c>
      <c r="C140" s="14">
        <v>44868.661805555559</v>
      </c>
      <c r="D140" s="1" t="s">
        <v>22</v>
      </c>
      <c r="E140" s="1" t="s">
        <v>26</v>
      </c>
      <c r="F140" s="15">
        <f ca="1">NOW()-Tabela4[[#This Row],[Data de abertura]]</f>
        <v>20.124560995369393</v>
      </c>
      <c r="G140" s="13">
        <f t="shared" ca="1" si="4"/>
        <v>20.124560995369393</v>
      </c>
    </row>
    <row r="141" spans="1:7" x14ac:dyDescent="0.25">
      <c r="A141" s="1" t="s">
        <v>91</v>
      </c>
      <c r="B141" s="14">
        <v>44868.474305555559</v>
      </c>
      <c r="C141" s="14">
        <v>44868.474305555559</v>
      </c>
      <c r="D141" s="1" t="s">
        <v>25</v>
      </c>
      <c r="E141" s="1" t="s">
        <v>26</v>
      </c>
      <c r="F141" s="15">
        <f ca="1">NOW()-Tabela4[[#This Row],[Data de abertura]]</f>
        <v>20.312060995369393</v>
      </c>
      <c r="G141" s="13">
        <f t="shared" ca="1" si="4"/>
        <v>20.312060995369393</v>
      </c>
    </row>
    <row r="142" spans="1:7" x14ac:dyDescent="0.25">
      <c r="A142" s="1" t="s">
        <v>86</v>
      </c>
      <c r="B142" s="14">
        <v>44868.462500000001</v>
      </c>
      <c r="C142" s="14">
        <v>44868.462500000001</v>
      </c>
      <c r="D142" s="1" t="s">
        <v>22</v>
      </c>
      <c r="E142" s="1" t="s">
        <v>26</v>
      </c>
      <c r="F142" s="15">
        <f ca="1">NOW()-Tabela4[[#This Row],[Data de abertura]]</f>
        <v>20.32386655092705</v>
      </c>
      <c r="G142" s="13">
        <f t="shared" ca="1" si="4"/>
        <v>20.32386655092705</v>
      </c>
    </row>
    <row r="143" spans="1:7" x14ac:dyDescent="0.25">
      <c r="A143" s="1" t="s">
        <v>98</v>
      </c>
      <c r="B143" s="14">
        <v>44853.625694444447</v>
      </c>
      <c r="C143" s="14">
        <v>44868.451388888891</v>
      </c>
      <c r="D143" s="1" t="s">
        <v>22</v>
      </c>
      <c r="E143" s="1" t="s">
        <v>26</v>
      </c>
      <c r="F143" s="15">
        <f ca="1">NOW()-Tabela4[[#This Row],[Data de abertura]]</f>
        <v>35.160672106481798</v>
      </c>
      <c r="G143" s="13">
        <f t="shared" ca="1" si="4"/>
        <v>20.334977662038</v>
      </c>
    </row>
    <row r="144" spans="1:7" x14ac:dyDescent="0.25">
      <c r="A144" s="1" t="s">
        <v>108</v>
      </c>
      <c r="B144" s="14">
        <v>44868.375694444447</v>
      </c>
      <c r="C144" s="14">
        <v>44868.375694444447</v>
      </c>
      <c r="D144" s="1" t="s">
        <v>22</v>
      </c>
      <c r="E144" s="1" t="s">
        <v>26</v>
      </c>
      <c r="F144" s="15">
        <f ca="1">NOW()-Tabela4[[#This Row],[Data de abertura]]</f>
        <v>20.410672106481798</v>
      </c>
      <c r="G144" s="13">
        <f t="shared" ca="1" si="4"/>
        <v>20.410672106481798</v>
      </c>
    </row>
    <row r="145" spans="1:7" x14ac:dyDescent="0.25">
      <c r="A145" s="1" t="s">
        <v>86</v>
      </c>
      <c r="B145" s="14">
        <v>44868.356944444444</v>
      </c>
      <c r="C145" s="14">
        <v>44868.356944444444</v>
      </c>
      <c r="D145" s="1" t="s">
        <v>22</v>
      </c>
      <c r="E145" s="1" t="s">
        <v>26</v>
      </c>
      <c r="F145" s="15">
        <f ca="1">NOW()-Tabela4[[#This Row],[Data de abertura]]</f>
        <v>20.429422106484708</v>
      </c>
      <c r="G145" s="13">
        <f t="shared" ca="1" si="4"/>
        <v>20.429422106484708</v>
      </c>
    </row>
    <row r="146" spans="1:7" x14ac:dyDescent="0.25">
      <c r="A146" s="1" t="s">
        <v>104</v>
      </c>
      <c r="B146" s="14">
        <v>44868.322222222225</v>
      </c>
      <c r="C146" s="14">
        <v>44868.322222222225</v>
      </c>
      <c r="D146" s="1" t="s">
        <v>25</v>
      </c>
      <c r="E146" s="1" t="s">
        <v>26</v>
      </c>
      <c r="F146" s="15">
        <f ca="1">NOW()-Tabela4[[#This Row],[Data de abertura]]</f>
        <v>20.464144328703696</v>
      </c>
      <c r="G146" s="13">
        <f t="shared" ca="1" si="4"/>
        <v>20.464144328703696</v>
      </c>
    </row>
    <row r="147" spans="1:7" x14ac:dyDescent="0.25">
      <c r="A147" s="1" t="s">
        <v>110</v>
      </c>
      <c r="B147" s="14">
        <v>44861.588194444441</v>
      </c>
      <c r="C147" s="14">
        <v>44866.620138888888</v>
      </c>
      <c r="D147" s="1" t="s">
        <v>22</v>
      </c>
      <c r="E147" s="1" t="s">
        <v>26</v>
      </c>
      <c r="F147" s="15">
        <f ca="1">NOW()-Tabela4[[#This Row],[Data de abertura]]</f>
        <v>27.198172106487618</v>
      </c>
      <c r="G147" s="13">
        <f t="shared" ca="1" si="4"/>
        <v>22.16622766204091</v>
      </c>
    </row>
    <row r="148" spans="1:7" x14ac:dyDescent="0.25">
      <c r="A148" s="1" t="s">
        <v>80</v>
      </c>
      <c r="B148" s="14">
        <v>44866.379166666666</v>
      </c>
      <c r="C148" s="14">
        <v>44866.379166666666</v>
      </c>
      <c r="D148" s="1" t="s">
        <v>22</v>
      </c>
      <c r="E148" s="1" t="s">
        <v>26</v>
      </c>
      <c r="F148" s="15">
        <f ca="1">NOW()-Tabela4[[#This Row],[Data de abertura]]</f>
        <v>22.407199884262809</v>
      </c>
      <c r="G148" s="13">
        <f t="shared" ca="1" si="4"/>
        <v>22.407199884262809</v>
      </c>
    </row>
    <row r="149" spans="1:7" x14ac:dyDescent="0.25">
      <c r="A149" s="1" t="s">
        <v>80</v>
      </c>
      <c r="B149" s="14">
        <v>44865.476388888892</v>
      </c>
      <c r="C149" s="14">
        <v>44865.476388888892</v>
      </c>
      <c r="D149" s="1" t="s">
        <v>22</v>
      </c>
      <c r="E149" s="1" t="s">
        <v>26</v>
      </c>
      <c r="F149" s="15">
        <f ca="1">NOW()-Tabela4[[#This Row],[Data de abertura]]</f>
        <v>23.309977662036545</v>
      </c>
      <c r="G149" s="13">
        <f t="shared" ca="1" si="4"/>
        <v>23.309977662036545</v>
      </c>
    </row>
    <row r="150" spans="1:7" x14ac:dyDescent="0.25">
      <c r="A150" s="1" t="s">
        <v>86</v>
      </c>
      <c r="B150" s="14">
        <v>44862.424305555556</v>
      </c>
      <c r="C150" s="14">
        <v>44862.424305555556</v>
      </c>
      <c r="D150" s="1" t="s">
        <v>22</v>
      </c>
      <c r="E150" s="1" t="s">
        <v>26</v>
      </c>
      <c r="F150" s="15">
        <f ca="1">NOW()-Tabela4[[#This Row],[Data de abertura]]</f>
        <v>26.362060995372303</v>
      </c>
      <c r="G150" s="13">
        <f t="shared" ca="1" si="4"/>
        <v>26.362060995372303</v>
      </c>
    </row>
    <row r="151" spans="1:7" x14ac:dyDescent="0.25">
      <c r="A151" s="1" t="s">
        <v>98</v>
      </c>
      <c r="B151" s="14">
        <v>44862.35</v>
      </c>
      <c r="C151" s="14">
        <v>44862.35</v>
      </c>
      <c r="D151" s="1" t="s">
        <v>22</v>
      </c>
      <c r="E151" s="1" t="s">
        <v>26</v>
      </c>
      <c r="F151" s="15">
        <f ca="1">NOW()-Tabela4[[#This Row],[Data de abertura]]</f>
        <v>26.436366550929961</v>
      </c>
      <c r="G151" s="13">
        <f t="shared" ca="1" si="4"/>
        <v>26.436366550929961</v>
      </c>
    </row>
    <row r="152" spans="1:7" x14ac:dyDescent="0.25">
      <c r="A152" s="1" t="s">
        <v>86</v>
      </c>
      <c r="B152" s="14">
        <v>44862.326388888891</v>
      </c>
      <c r="C152" s="14">
        <v>44862.326388888891</v>
      </c>
      <c r="D152" s="1" t="s">
        <v>22</v>
      </c>
      <c r="E152" s="1" t="s">
        <v>26</v>
      </c>
      <c r="F152" s="15">
        <f ca="1">NOW()-Tabela4[[#This Row],[Data de abertura]]</f>
        <v>26.459977662038</v>
      </c>
      <c r="G152" s="13">
        <f t="shared" ca="1" si="4"/>
        <v>26.459977662038</v>
      </c>
    </row>
    <row r="153" spans="1:7" x14ac:dyDescent="0.25">
      <c r="A153" s="1" t="s">
        <v>86</v>
      </c>
      <c r="B153" s="14">
        <v>44861.734722222223</v>
      </c>
      <c r="C153" s="14">
        <v>44861.734722222223</v>
      </c>
      <c r="D153" s="1" t="s">
        <v>22</v>
      </c>
      <c r="E153" s="1" t="s">
        <v>26</v>
      </c>
      <c r="F153" s="15">
        <f ca="1">NOW()-Tabela4[[#This Row],[Data de abertura]]</f>
        <v>27.051644328705152</v>
      </c>
      <c r="G153" s="13">
        <f t="shared" ca="1" si="4"/>
        <v>27.051644328705152</v>
      </c>
    </row>
    <row r="154" spans="1:7" x14ac:dyDescent="0.25">
      <c r="A154" s="1" t="s">
        <v>73</v>
      </c>
      <c r="B154" s="14">
        <v>44861.509027777778</v>
      </c>
      <c r="C154" s="14">
        <v>44861.537499999999</v>
      </c>
      <c r="D154" s="1" t="s">
        <v>22</v>
      </c>
      <c r="E154" s="1" t="s">
        <v>28</v>
      </c>
      <c r="F154" s="15">
        <f ca="1">NOW()-Tabela4[[#This Row],[Data de abertura]]</f>
        <v>27.277338773150404</v>
      </c>
      <c r="G154" s="13">
        <f t="shared" ca="1" si="4"/>
        <v>27.248866550929961</v>
      </c>
    </row>
    <row r="155" spans="1:7" x14ac:dyDescent="0.25">
      <c r="A155" s="1" t="s">
        <v>47</v>
      </c>
      <c r="B155" s="14">
        <v>44861.342361111114</v>
      </c>
      <c r="C155" s="14">
        <v>44861.433333333334</v>
      </c>
      <c r="D155" s="1" t="s">
        <v>22</v>
      </c>
      <c r="E155" s="1" t="s">
        <v>28</v>
      </c>
      <c r="F155" s="15">
        <f ca="1">NOW()-Tabela4[[#This Row],[Data de abertura]]</f>
        <v>27.444005439814646</v>
      </c>
      <c r="G155" s="13">
        <f t="shared" ca="1" si="4"/>
        <v>27.353033217594202</v>
      </c>
    </row>
    <row r="156" spans="1:7" x14ac:dyDescent="0.25">
      <c r="A156" s="1" t="s">
        <v>80</v>
      </c>
      <c r="B156" s="14">
        <v>44861.357638888891</v>
      </c>
      <c r="C156" s="14">
        <v>44861.357638888891</v>
      </c>
      <c r="D156" s="1" t="s">
        <v>22</v>
      </c>
      <c r="E156" s="1" t="s">
        <v>26</v>
      </c>
      <c r="F156" s="15">
        <f ca="1">NOW()-Tabela4[[#This Row],[Data de abertura]]</f>
        <v>27.428727662038</v>
      </c>
      <c r="G156" s="13">
        <f t="shared" ca="1" si="4"/>
        <v>27.428727662038</v>
      </c>
    </row>
    <row r="157" spans="1:7" x14ac:dyDescent="0.25">
      <c r="A157" s="1" t="s">
        <v>47</v>
      </c>
      <c r="B157" s="14">
        <v>44832.626388888886</v>
      </c>
      <c r="C157" s="14">
        <v>44861.336805555555</v>
      </c>
      <c r="D157" s="1" t="s">
        <v>22</v>
      </c>
      <c r="E157" s="1" t="s">
        <v>28</v>
      </c>
      <c r="F157" s="15">
        <f ca="1">NOW()-Tabela4[[#This Row],[Data de abertura]]</f>
        <v>56.159977662042365</v>
      </c>
      <c r="G157" s="13">
        <f t="shared" ca="1" si="4"/>
        <v>27.449560995373758</v>
      </c>
    </row>
    <row r="158" spans="1:7" x14ac:dyDescent="0.25">
      <c r="A158" s="1" t="s">
        <v>86</v>
      </c>
      <c r="B158" s="14">
        <v>44860.599305555559</v>
      </c>
      <c r="C158" s="14">
        <v>44860.599305555559</v>
      </c>
      <c r="D158" s="1" t="s">
        <v>22</v>
      </c>
      <c r="E158" s="1" t="s">
        <v>26</v>
      </c>
      <c r="F158" s="15">
        <f ca="1">NOW()-Tabela4[[#This Row],[Data de abertura]]</f>
        <v>28.187060995369393</v>
      </c>
      <c r="G158" s="13">
        <f t="shared" ca="1" si="4"/>
        <v>28.187060995369393</v>
      </c>
    </row>
    <row r="159" spans="1:7" x14ac:dyDescent="0.25">
      <c r="A159" s="1" t="s">
        <v>96</v>
      </c>
      <c r="B159" s="14">
        <v>44860.565972222219</v>
      </c>
      <c r="C159" s="14">
        <v>44860.565972222219</v>
      </c>
      <c r="D159" s="1" t="s">
        <v>22</v>
      </c>
      <c r="E159" s="1" t="s">
        <v>26</v>
      </c>
      <c r="F159" s="15">
        <f ca="1">NOW()-Tabela4[[#This Row],[Data de abertura]]</f>
        <v>28.220394328709517</v>
      </c>
      <c r="G159" s="13">
        <f t="shared" ca="1" si="4"/>
        <v>28.220394328709517</v>
      </c>
    </row>
    <row r="160" spans="1:7" x14ac:dyDescent="0.25">
      <c r="A160" s="1" t="s">
        <v>61</v>
      </c>
      <c r="B160" s="14">
        <v>44859.395138888889</v>
      </c>
      <c r="C160" s="14">
        <v>44859.395138888889</v>
      </c>
      <c r="D160" s="1" t="s">
        <v>22</v>
      </c>
      <c r="E160" s="1" t="s">
        <v>23</v>
      </c>
      <c r="F160" s="15">
        <f ca="1">NOW()-Tabela4[[#This Row],[Data de abertura]]</f>
        <v>29.391227662039455</v>
      </c>
      <c r="G160" s="13">
        <f t="shared" ca="1" si="4"/>
        <v>29.391227662039455</v>
      </c>
    </row>
    <row r="161" spans="1:7" x14ac:dyDescent="0.25">
      <c r="A161" s="1" t="s">
        <v>48</v>
      </c>
      <c r="B161" s="14">
        <v>44854.488888888889</v>
      </c>
      <c r="C161" s="14">
        <v>44854.700694444444</v>
      </c>
      <c r="D161" s="1" t="s">
        <v>25</v>
      </c>
      <c r="E161" s="1" t="s">
        <v>26</v>
      </c>
      <c r="F161" s="15">
        <f ca="1">NOW()-Tabela4[[#This Row],[Data de abertura]]</f>
        <v>34.297477662039455</v>
      </c>
      <c r="G161" s="13">
        <f t="shared" ca="1" si="4"/>
        <v>34.085672106484708</v>
      </c>
    </row>
    <row r="162" spans="1:7" x14ac:dyDescent="0.25">
      <c r="A162" s="1" t="s">
        <v>89</v>
      </c>
      <c r="B162" s="14">
        <v>44854.366666666669</v>
      </c>
      <c r="C162" s="14">
        <v>44854.366666666669</v>
      </c>
      <c r="D162" s="1" t="s">
        <v>22</v>
      </c>
      <c r="E162" s="1" t="s">
        <v>26</v>
      </c>
      <c r="F162" s="15">
        <f ca="1">NOW()-Tabela4[[#This Row],[Data de abertura]]</f>
        <v>34.419699884259899</v>
      </c>
      <c r="G162" s="13">
        <f t="shared" ref="G162:G180" ca="1" si="5">NOW()-C162</f>
        <v>34.419699884259899</v>
      </c>
    </row>
    <row r="163" spans="1:7" x14ac:dyDescent="0.25">
      <c r="A163" s="1" t="s">
        <v>109</v>
      </c>
      <c r="B163" s="14">
        <v>44853.697222222225</v>
      </c>
      <c r="C163" s="14">
        <v>44853.697222222225</v>
      </c>
      <c r="D163" s="1" t="s">
        <v>22</v>
      </c>
      <c r="E163" s="1" t="s">
        <v>26</v>
      </c>
      <c r="F163" s="15">
        <f ca="1">NOW()-Tabela4[[#This Row],[Data de abertura]]</f>
        <v>35.089144328703696</v>
      </c>
      <c r="G163" s="13">
        <f t="shared" ca="1" si="5"/>
        <v>35.089144328703696</v>
      </c>
    </row>
    <row r="164" spans="1:7" x14ac:dyDescent="0.25">
      <c r="A164" s="1" t="s">
        <v>90</v>
      </c>
      <c r="B164" s="14">
        <v>44853.682638888888</v>
      </c>
      <c r="C164" s="14">
        <v>44853.682638888888</v>
      </c>
      <c r="D164" s="1" t="s">
        <v>25</v>
      </c>
      <c r="E164" s="1" t="s">
        <v>26</v>
      </c>
      <c r="F164" s="15">
        <f ca="1">NOW()-Tabela4[[#This Row],[Data de abertura]]</f>
        <v>35.10372766204091</v>
      </c>
      <c r="G164" s="13">
        <f t="shared" ca="1" si="5"/>
        <v>35.10372766204091</v>
      </c>
    </row>
    <row r="165" spans="1:7" x14ac:dyDescent="0.25">
      <c r="A165" s="1" t="s">
        <v>86</v>
      </c>
      <c r="B165" s="14">
        <v>44852.472222222219</v>
      </c>
      <c r="C165" s="14">
        <v>44852.472222222219</v>
      </c>
      <c r="D165" s="1" t="s">
        <v>22</v>
      </c>
      <c r="E165" s="1" t="s">
        <v>26</v>
      </c>
      <c r="F165" s="15">
        <f ca="1">NOW()-Tabela4[[#This Row],[Data de abertura]]</f>
        <v>36.314144328709517</v>
      </c>
      <c r="G165" s="13">
        <f t="shared" ca="1" si="5"/>
        <v>36.314144328709517</v>
      </c>
    </row>
    <row r="166" spans="1:7" x14ac:dyDescent="0.25">
      <c r="A166" s="1" t="s">
        <v>90</v>
      </c>
      <c r="B166" s="14">
        <v>44852.460416666669</v>
      </c>
      <c r="C166" s="14">
        <v>44852.460416666669</v>
      </c>
      <c r="D166" s="1" t="s">
        <v>25</v>
      </c>
      <c r="E166" s="1" t="s">
        <v>26</v>
      </c>
      <c r="F166" s="15">
        <f ca="1">NOW()-Tabela4[[#This Row],[Data de abertura]]</f>
        <v>36.325949884259899</v>
      </c>
      <c r="G166" s="13">
        <f t="shared" ca="1" si="5"/>
        <v>36.325949884259899</v>
      </c>
    </row>
    <row r="167" spans="1:7" x14ac:dyDescent="0.25">
      <c r="A167" s="1" t="s">
        <v>90</v>
      </c>
      <c r="B167" s="14">
        <v>44851.597222222219</v>
      </c>
      <c r="C167" s="14">
        <v>44851.597222222219</v>
      </c>
      <c r="D167" s="1" t="s">
        <v>25</v>
      </c>
      <c r="E167" s="1" t="s">
        <v>26</v>
      </c>
      <c r="F167" s="15">
        <f ca="1">NOW()-Tabela4[[#This Row],[Data de abertura]]</f>
        <v>37.189144328709517</v>
      </c>
      <c r="G167" s="13">
        <f t="shared" ca="1" si="5"/>
        <v>37.189144328709517</v>
      </c>
    </row>
    <row r="168" spans="1:7" x14ac:dyDescent="0.25">
      <c r="A168" s="1" t="s">
        <v>86</v>
      </c>
      <c r="B168" s="14">
        <v>44848.62222222222</v>
      </c>
      <c r="C168" s="14">
        <v>44848.62222222222</v>
      </c>
      <c r="D168" s="1" t="s">
        <v>22</v>
      </c>
      <c r="E168" s="1" t="s">
        <v>26</v>
      </c>
      <c r="F168" s="15">
        <f ca="1">NOW()-Tabela4[[#This Row],[Data de abertura]]</f>
        <v>40.164144328708062</v>
      </c>
      <c r="G168" s="13">
        <f t="shared" ca="1" si="5"/>
        <v>40.164144328708062</v>
      </c>
    </row>
    <row r="169" spans="1:7" x14ac:dyDescent="0.25">
      <c r="A169" s="1" t="s">
        <v>111</v>
      </c>
      <c r="B169" s="14">
        <v>44848.381249999999</v>
      </c>
      <c r="C169" s="14">
        <v>44848.381249999999</v>
      </c>
      <c r="D169" s="1" t="s">
        <v>22</v>
      </c>
      <c r="E169" s="1" t="s">
        <v>26</v>
      </c>
      <c r="F169" s="15">
        <f ca="1">NOW()-Tabela4[[#This Row],[Data de abertura]]</f>
        <v>40.405116550929961</v>
      </c>
      <c r="G169" s="13">
        <f t="shared" ca="1" si="5"/>
        <v>40.405116550929961</v>
      </c>
    </row>
    <row r="170" spans="1:7" x14ac:dyDescent="0.25">
      <c r="A170" s="1" t="s">
        <v>80</v>
      </c>
      <c r="B170" s="14">
        <v>44838.463194444441</v>
      </c>
      <c r="C170" s="14">
        <v>44847.673611111109</v>
      </c>
      <c r="D170" s="1" t="s">
        <v>22</v>
      </c>
      <c r="E170" s="1" t="s">
        <v>26</v>
      </c>
      <c r="F170" s="15">
        <f ca="1">NOW()-Tabela4[[#This Row],[Data de abertura]]</f>
        <v>50.323172106487618</v>
      </c>
      <c r="G170" s="13">
        <f t="shared" ca="1" si="5"/>
        <v>41.112755439819011</v>
      </c>
    </row>
    <row r="171" spans="1:7" x14ac:dyDescent="0.25">
      <c r="A171" s="1" t="s">
        <v>47</v>
      </c>
      <c r="B171" s="14">
        <v>44847.396527777775</v>
      </c>
      <c r="C171" s="14">
        <v>44847.406944444447</v>
      </c>
      <c r="D171" s="1" t="s">
        <v>22</v>
      </c>
      <c r="E171" s="1" t="s">
        <v>26</v>
      </c>
      <c r="F171" s="15">
        <f ca="1">NOW()-Tabela4[[#This Row],[Data de abertura]]</f>
        <v>41.389838773153315</v>
      </c>
      <c r="G171" s="13">
        <f t="shared" ca="1" si="5"/>
        <v>41.379422106481798</v>
      </c>
    </row>
    <row r="172" spans="1:7" x14ac:dyDescent="0.25">
      <c r="A172" s="1" t="s">
        <v>90</v>
      </c>
      <c r="B172" s="14">
        <v>44845.756249999999</v>
      </c>
      <c r="C172" s="14">
        <v>44845.756249999999</v>
      </c>
      <c r="D172" s="1" t="s">
        <v>25</v>
      </c>
      <c r="E172" s="1" t="s">
        <v>26</v>
      </c>
      <c r="F172" s="15">
        <f ca="1">NOW()-Tabela4[[#This Row],[Data de abertura]]</f>
        <v>43.030116550929961</v>
      </c>
      <c r="G172" s="13">
        <f t="shared" ca="1" si="5"/>
        <v>43.030116550929961</v>
      </c>
    </row>
    <row r="173" spans="1:7" x14ac:dyDescent="0.25">
      <c r="A173" s="1" t="s">
        <v>90</v>
      </c>
      <c r="B173" s="14">
        <v>44844.680555555555</v>
      </c>
      <c r="C173" s="14">
        <v>44844.680555555555</v>
      </c>
      <c r="D173" s="1" t="s">
        <v>25</v>
      </c>
      <c r="E173" s="1" t="s">
        <v>26</v>
      </c>
      <c r="F173" s="15">
        <f ca="1">NOW()-Tabela4[[#This Row],[Data de abertura]]</f>
        <v>44.105810995373758</v>
      </c>
      <c r="G173" s="13">
        <f t="shared" ca="1" si="5"/>
        <v>44.105810995373758</v>
      </c>
    </row>
    <row r="174" spans="1:7" x14ac:dyDescent="0.25">
      <c r="A174" s="1" t="s">
        <v>112</v>
      </c>
      <c r="B174" s="14">
        <v>44825.767361111109</v>
      </c>
      <c r="C174" s="14">
        <v>44838.643750000003</v>
      </c>
      <c r="D174" s="1" t="s">
        <v>25</v>
      </c>
      <c r="E174" s="1" t="s">
        <v>26</v>
      </c>
      <c r="F174" s="15">
        <f ca="1">NOW()-Tabela4[[#This Row],[Data de abertura]]</f>
        <v>63.019005439819011</v>
      </c>
      <c r="G174" s="13">
        <f t="shared" ca="1" si="5"/>
        <v>50.142616550925595</v>
      </c>
    </row>
    <row r="175" spans="1:7" x14ac:dyDescent="0.25">
      <c r="A175" s="1" t="s">
        <v>86</v>
      </c>
      <c r="B175" s="14">
        <v>44663.481944444444</v>
      </c>
      <c r="C175" s="14">
        <v>44838.640972222223</v>
      </c>
      <c r="D175" s="1" t="s">
        <v>22</v>
      </c>
      <c r="E175" s="1" t="s">
        <v>26</v>
      </c>
      <c r="F175" s="15">
        <f ca="1">NOW()-Tabela4[[#This Row],[Data de abertura]]</f>
        <v>225.30442210648471</v>
      </c>
      <c r="G175" s="13">
        <f t="shared" ca="1" si="5"/>
        <v>50.145394328705152</v>
      </c>
    </row>
    <row r="176" spans="1:7" x14ac:dyDescent="0.25">
      <c r="A176" s="1" t="s">
        <v>100</v>
      </c>
      <c r="B176" s="14">
        <v>44832.62222222222</v>
      </c>
      <c r="C176" s="14">
        <v>44838.63958333333</v>
      </c>
      <c r="D176" s="1" t="s">
        <v>22</v>
      </c>
      <c r="E176" s="1" t="s">
        <v>26</v>
      </c>
      <c r="F176" s="15">
        <f ca="1">NOW()-Tabela4[[#This Row],[Data de abertura]]</f>
        <v>56.164144328708062</v>
      </c>
      <c r="G176" s="13">
        <f t="shared" ca="1" si="5"/>
        <v>50.146783217598568</v>
      </c>
    </row>
    <row r="177" spans="1:7" x14ac:dyDescent="0.25">
      <c r="A177" s="1" t="s">
        <v>80</v>
      </c>
      <c r="B177" s="14">
        <v>44713.656944444447</v>
      </c>
      <c r="C177" s="14">
        <v>44830.525694444441</v>
      </c>
      <c r="D177" s="1" t="s">
        <v>22</v>
      </c>
      <c r="E177" s="1" t="s">
        <v>26</v>
      </c>
      <c r="F177" s="15">
        <f ca="1">NOW()-Tabela4[[#This Row],[Data de abertura]]</f>
        <v>175.1294221064818</v>
      </c>
      <c r="G177" s="13">
        <f t="shared" ca="1" si="5"/>
        <v>58.260672106487618</v>
      </c>
    </row>
    <row r="178" spans="1:7" x14ac:dyDescent="0.25">
      <c r="A178" s="1" t="s">
        <v>113</v>
      </c>
      <c r="B178" s="14">
        <v>44817.543055555558</v>
      </c>
      <c r="C178" s="14">
        <v>44823.375694444447</v>
      </c>
      <c r="D178" s="1" t="s">
        <v>22</v>
      </c>
      <c r="E178" s="1" t="s">
        <v>26</v>
      </c>
      <c r="F178" s="15">
        <f ca="1">NOW()-Tabela4[[#This Row],[Data de abertura]]</f>
        <v>71.243310995370848</v>
      </c>
      <c r="G178" s="13">
        <f t="shared" ca="1" si="5"/>
        <v>65.410672106481798</v>
      </c>
    </row>
    <row r="179" spans="1:7" x14ac:dyDescent="0.25">
      <c r="A179" s="1" t="s">
        <v>113</v>
      </c>
      <c r="B179" s="14">
        <v>44817.54583333333</v>
      </c>
      <c r="C179" s="14">
        <v>44823.375694444447</v>
      </c>
      <c r="D179" s="1" t="s">
        <v>22</v>
      </c>
      <c r="E179" s="1" t="s">
        <v>26</v>
      </c>
      <c r="F179" s="15">
        <f ca="1">NOW()-Tabela4[[#This Row],[Data de abertura]]</f>
        <v>71.240533217598568</v>
      </c>
      <c r="G179" s="13">
        <f t="shared" ca="1" si="5"/>
        <v>65.410672106481798</v>
      </c>
    </row>
    <row r="180" spans="1:7" x14ac:dyDescent="0.25">
      <c r="A180" s="1" t="s">
        <v>113</v>
      </c>
      <c r="B180" s="14">
        <v>44776.556944444441</v>
      </c>
      <c r="C180" s="14">
        <v>44803.625694444447</v>
      </c>
      <c r="D180" s="1" t="s">
        <v>22</v>
      </c>
      <c r="E180" s="1" t="s">
        <v>26</v>
      </c>
      <c r="F180" s="15">
        <f ca="1">NOW()-Tabela4[[#This Row],[Data de abertura]]</f>
        <v>112.22942210648762</v>
      </c>
      <c r="G180" s="13">
        <f t="shared" ca="1" si="5"/>
        <v>85.160672106481798</v>
      </c>
    </row>
  </sheetData>
  <sheetProtection algorithmName="SHA-512" hashValue="C4W1sx+E8gnjfNBkFd6t3/3fBF0EFrh35NtR/jv5BMz2ss9p+rpLuEFFC61/XVwz/1dTGBxWH889QGgSvuBq6Q==" saltValue="Rdq4SO6ee8X5IrsoNzkarA==" spinCount="100000" sheet="1" objects="1" scenarios="1" selectLockedCell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Q57"/>
  <sheetViews>
    <sheetView showGridLines="0" tabSelected="1" zoomScaleNormal="100" workbookViewId="0">
      <selection activeCell="A12" sqref="A1:XFD1048576"/>
    </sheetView>
  </sheetViews>
  <sheetFormatPr defaultRowHeight="15" x14ac:dyDescent="0.25"/>
  <cols>
    <col min="1" max="1" width="78" style="1" bestFit="1" customWidth="1"/>
    <col min="2" max="2" width="22.140625" style="1" bestFit="1" customWidth="1"/>
    <col min="3" max="3" width="13.140625" style="1" bestFit="1" customWidth="1"/>
    <col min="4" max="4" width="17.85546875" style="1" bestFit="1" customWidth="1"/>
    <col min="5" max="6" width="1.7109375" style="1" customWidth="1"/>
    <col min="7" max="7" width="64.7109375" style="1" bestFit="1" customWidth="1"/>
    <col min="8" max="8" width="18.5703125" style="1" bestFit="1" customWidth="1"/>
    <col min="9" max="9" width="13.140625" style="1" bestFit="1" customWidth="1"/>
    <col min="10" max="10" width="17.85546875" style="1" bestFit="1" customWidth="1"/>
    <col min="11" max="11" width="1.7109375" style="1" customWidth="1"/>
    <col min="12" max="12" width="60.140625" style="1" bestFit="1" customWidth="1"/>
    <col min="13" max="13" width="18.5703125" style="1" bestFit="1" customWidth="1"/>
    <col min="14" max="14" width="13.140625" style="1" bestFit="1" customWidth="1"/>
    <col min="15" max="15" width="17.85546875" style="1" bestFit="1" customWidth="1"/>
    <col min="16" max="16" width="9.140625" style="1"/>
    <col min="17" max="17" width="16.7109375" style="1" bestFit="1" customWidth="1"/>
    <col min="18" max="16384" width="9.140625" style="1"/>
  </cols>
  <sheetData>
    <row r="2" spans="1:17" x14ac:dyDescent="0.25">
      <c r="A2" s="16" t="s">
        <v>14</v>
      </c>
      <c r="B2" s="17" t="s">
        <v>12</v>
      </c>
      <c r="C2" s="17" t="s">
        <v>11</v>
      </c>
      <c r="D2" s="17" t="s">
        <v>13</v>
      </c>
      <c r="G2" s="16" t="s">
        <v>16</v>
      </c>
      <c r="H2" s="17" t="s">
        <v>15</v>
      </c>
      <c r="I2" s="17" t="s">
        <v>11</v>
      </c>
      <c r="J2" s="17" t="s">
        <v>13</v>
      </c>
      <c r="L2" s="16" t="s">
        <v>17</v>
      </c>
      <c r="M2" s="17" t="s">
        <v>15</v>
      </c>
      <c r="N2" s="17" t="s">
        <v>11</v>
      </c>
      <c r="O2" s="17" t="s">
        <v>13</v>
      </c>
    </row>
    <row r="3" spans="1:17" x14ac:dyDescent="0.25">
      <c r="A3" s="18" t="s">
        <v>20</v>
      </c>
      <c r="B3" s="19">
        <v>9</v>
      </c>
      <c r="C3" s="20">
        <v>735.78505787037034</v>
      </c>
      <c r="D3" s="20">
        <v>44.785057870370373</v>
      </c>
      <c r="G3" s="18" t="s">
        <v>42</v>
      </c>
      <c r="H3" s="19">
        <v>12</v>
      </c>
      <c r="I3" s="20">
        <v>62.126030092592593</v>
      </c>
      <c r="J3" s="20">
        <v>40.0183912037037</v>
      </c>
      <c r="L3" s="18" t="s">
        <v>86</v>
      </c>
      <c r="M3" s="19">
        <v>25</v>
      </c>
      <c r="N3" s="20">
        <v>225.30311342592591</v>
      </c>
      <c r="O3" s="20">
        <v>50.144085648148149</v>
      </c>
      <c r="Q3" s="21" t="s">
        <v>114</v>
      </c>
    </row>
    <row r="4" spans="1:17" x14ac:dyDescent="0.25">
      <c r="A4" s="18" t="s">
        <v>18</v>
      </c>
      <c r="B4" s="19">
        <v>43</v>
      </c>
      <c r="C4" s="20">
        <v>104.78505787037037</v>
      </c>
      <c r="D4" s="20">
        <v>72.785057870370366</v>
      </c>
      <c r="G4" s="18" t="s">
        <v>39</v>
      </c>
      <c r="H4" s="19">
        <v>2</v>
      </c>
      <c r="I4" s="20">
        <v>58.317696759259256</v>
      </c>
      <c r="J4" s="20">
        <v>12.123252314814815</v>
      </c>
      <c r="L4" s="18" t="s">
        <v>80</v>
      </c>
      <c r="M4" s="19">
        <v>22</v>
      </c>
      <c r="N4" s="20">
        <v>175.12811342592593</v>
      </c>
      <c r="O4" s="20">
        <v>58.259363425925926</v>
      </c>
      <c r="Q4" s="21" t="s">
        <v>19</v>
      </c>
    </row>
    <row r="5" spans="1:17" x14ac:dyDescent="0.25">
      <c r="A5" s="18" t="s">
        <v>10</v>
      </c>
      <c r="B5" s="19">
        <v>52</v>
      </c>
      <c r="C5" s="20">
        <v>735.78505787037034</v>
      </c>
      <c r="D5" s="20">
        <v>72.785057870370366</v>
      </c>
      <c r="G5" s="18" t="s">
        <v>24</v>
      </c>
      <c r="H5" s="19">
        <v>10</v>
      </c>
      <c r="I5" s="20">
        <v>54.408668981481483</v>
      </c>
      <c r="J5" s="20">
        <v>50.298252314814818</v>
      </c>
      <c r="L5" s="18" t="s">
        <v>91</v>
      </c>
      <c r="M5" s="19">
        <v>7</v>
      </c>
      <c r="N5" s="20">
        <v>145.42533564814815</v>
      </c>
      <c r="O5" s="20">
        <v>20.310752314814813</v>
      </c>
      <c r="Q5" s="22">
        <v>44693</v>
      </c>
    </row>
    <row r="6" spans="1:17" x14ac:dyDescent="0.25">
      <c r="G6" s="18" t="s">
        <v>61</v>
      </c>
      <c r="H6" s="19">
        <v>1</v>
      </c>
      <c r="I6" s="20">
        <v>50.114224537037039</v>
      </c>
      <c r="J6" s="20">
        <v>4.3295023148148148</v>
      </c>
      <c r="L6" s="18" t="s">
        <v>113</v>
      </c>
      <c r="M6" s="19">
        <v>3</v>
      </c>
      <c r="N6" s="20">
        <v>112.22811342592593</v>
      </c>
      <c r="O6" s="20">
        <v>85.159363425925932</v>
      </c>
    </row>
    <row r="7" spans="1:17" x14ac:dyDescent="0.25">
      <c r="G7" s="18" t="s">
        <v>64</v>
      </c>
      <c r="H7" s="19">
        <v>1</v>
      </c>
      <c r="I7" s="20">
        <v>48.352418981481485</v>
      </c>
      <c r="J7" s="20">
        <v>5.4683912037037032</v>
      </c>
      <c r="L7" s="18" t="s">
        <v>81</v>
      </c>
      <c r="M7" s="19">
        <v>9</v>
      </c>
      <c r="N7" s="20">
        <v>79.082974537037032</v>
      </c>
      <c r="O7" s="20">
        <v>19.405891203703703</v>
      </c>
    </row>
    <row r="8" spans="1:17" x14ac:dyDescent="0.25">
      <c r="G8" s="18" t="s">
        <v>79</v>
      </c>
      <c r="H8" s="19">
        <v>1</v>
      </c>
      <c r="I8" s="20">
        <v>36.372557870370372</v>
      </c>
      <c r="J8" s="20">
        <v>36.101030092592595</v>
      </c>
      <c r="L8" s="18" t="s">
        <v>47</v>
      </c>
      <c r="M8" s="19">
        <v>7</v>
      </c>
      <c r="N8" s="20">
        <v>65.098252314814815</v>
      </c>
      <c r="O8" s="20">
        <v>41.378113425925925</v>
      </c>
    </row>
    <row r="9" spans="1:17" x14ac:dyDescent="0.25">
      <c r="G9" s="18" t="s">
        <v>47</v>
      </c>
      <c r="H9" s="19">
        <v>21</v>
      </c>
      <c r="I9" s="20">
        <v>35.14616898148148</v>
      </c>
      <c r="J9" s="20">
        <v>29.371863425925927</v>
      </c>
      <c r="L9" s="18" t="s">
        <v>82</v>
      </c>
      <c r="M9" s="19">
        <v>8</v>
      </c>
      <c r="N9" s="20">
        <v>63.243391203703702</v>
      </c>
      <c r="O9" s="20">
        <v>19.371168981481482</v>
      </c>
    </row>
    <row r="10" spans="1:17" x14ac:dyDescent="0.25">
      <c r="G10" s="18" t="s">
        <v>78</v>
      </c>
      <c r="H10" s="19">
        <v>1</v>
      </c>
      <c r="I10" s="20">
        <v>26.17741898148148</v>
      </c>
      <c r="J10" s="20">
        <v>23.198252314814816</v>
      </c>
      <c r="L10" s="18" t="s">
        <v>112</v>
      </c>
      <c r="M10" s="19">
        <v>1</v>
      </c>
      <c r="N10" s="20">
        <v>63.017696759259259</v>
      </c>
      <c r="O10" s="20">
        <v>50.141307870370369</v>
      </c>
    </row>
    <row r="11" spans="1:17" x14ac:dyDescent="0.25">
      <c r="G11" s="18" t="s">
        <v>77</v>
      </c>
      <c r="H11" s="19">
        <v>1</v>
      </c>
      <c r="I11" s="20">
        <v>26.14616898148148</v>
      </c>
      <c r="J11" s="20">
        <v>22.313530092592593</v>
      </c>
      <c r="L11" s="18" t="s">
        <v>90</v>
      </c>
      <c r="M11" s="19">
        <v>23</v>
      </c>
      <c r="N11" s="20">
        <v>58.447557870370368</v>
      </c>
      <c r="O11" s="20">
        <v>44.104502314814816</v>
      </c>
    </row>
    <row r="12" spans="1:17" x14ac:dyDescent="0.25">
      <c r="G12" s="18" t="s">
        <v>68</v>
      </c>
      <c r="H12" s="19">
        <v>6</v>
      </c>
      <c r="I12" s="20">
        <v>23.105891203703703</v>
      </c>
      <c r="J12" s="20">
        <v>7.0899189814814818</v>
      </c>
      <c r="L12" s="18" t="s">
        <v>107</v>
      </c>
      <c r="M12" s="19">
        <v>2</v>
      </c>
      <c r="N12" s="20">
        <v>56.374641203703703</v>
      </c>
      <c r="O12" s="20">
        <v>19.343391203703703</v>
      </c>
    </row>
    <row r="13" spans="1:17" x14ac:dyDescent="0.25">
      <c r="G13" s="18" t="s">
        <v>76</v>
      </c>
      <c r="H13" s="19">
        <v>1</v>
      </c>
      <c r="I13" s="20">
        <v>22.173252314814814</v>
      </c>
      <c r="J13" s="20">
        <v>22.173252314814814</v>
      </c>
      <c r="L13" s="18" t="s">
        <v>24</v>
      </c>
      <c r="M13" s="19">
        <v>1</v>
      </c>
      <c r="N13" s="20">
        <v>56.253113425925925</v>
      </c>
      <c r="O13" s="20">
        <v>14.331585648148149</v>
      </c>
    </row>
    <row r="14" spans="1:17" x14ac:dyDescent="0.25">
      <c r="G14" s="18" t="s">
        <v>73</v>
      </c>
      <c r="H14" s="19">
        <v>1</v>
      </c>
      <c r="I14" s="20">
        <v>20.151030092592592</v>
      </c>
      <c r="J14" s="20">
        <v>13.198946759259259</v>
      </c>
      <c r="L14" s="18" t="s">
        <v>100</v>
      </c>
      <c r="M14" s="19">
        <v>2</v>
      </c>
      <c r="N14" s="20">
        <v>56.162835648148146</v>
      </c>
      <c r="O14" s="20">
        <v>50.145474537037039</v>
      </c>
    </row>
    <row r="15" spans="1:17" x14ac:dyDescent="0.25">
      <c r="G15" s="18" t="s">
        <v>65</v>
      </c>
      <c r="H15" s="19">
        <v>3</v>
      </c>
      <c r="I15" s="20">
        <v>20.11769675925926</v>
      </c>
      <c r="J15" s="20">
        <v>20.023252314814815</v>
      </c>
      <c r="L15" s="18" t="s">
        <v>98</v>
      </c>
      <c r="M15" s="19">
        <v>4</v>
      </c>
      <c r="N15" s="20">
        <v>54.448252314814816</v>
      </c>
      <c r="O15" s="20">
        <v>26.435057870370372</v>
      </c>
    </row>
    <row r="16" spans="1:17" x14ac:dyDescent="0.25">
      <c r="G16" s="18" t="s">
        <v>46</v>
      </c>
      <c r="H16" s="19">
        <v>10</v>
      </c>
      <c r="I16" s="20">
        <v>20.076030092592593</v>
      </c>
      <c r="J16" s="20">
        <v>20.076030092592593</v>
      </c>
      <c r="L16" s="18" t="s">
        <v>88</v>
      </c>
      <c r="M16" s="19">
        <v>2</v>
      </c>
      <c r="N16" s="20">
        <v>43.453113425925928</v>
      </c>
      <c r="O16" s="20">
        <v>7.1795023148148145</v>
      </c>
    </row>
    <row r="17" spans="7:15" x14ac:dyDescent="0.25">
      <c r="G17" s="18" t="s">
        <v>34</v>
      </c>
      <c r="H17" s="19">
        <v>13</v>
      </c>
      <c r="I17" s="20">
        <v>19.300335648148149</v>
      </c>
      <c r="J17" s="20">
        <v>13.198946759259259</v>
      </c>
      <c r="L17" s="18" t="s">
        <v>97</v>
      </c>
      <c r="M17" s="19">
        <v>3</v>
      </c>
      <c r="N17" s="20">
        <v>43.294780092592596</v>
      </c>
      <c r="O17" s="20">
        <v>13.202418981481481</v>
      </c>
    </row>
    <row r="18" spans="7:15" x14ac:dyDescent="0.25">
      <c r="G18" s="18" t="s">
        <v>70</v>
      </c>
      <c r="H18" s="19">
        <v>3</v>
      </c>
      <c r="I18" s="20">
        <v>16.448252314814816</v>
      </c>
      <c r="J18" s="20">
        <v>16.448252314814816</v>
      </c>
      <c r="L18" s="18" t="s">
        <v>111</v>
      </c>
      <c r="M18" s="19">
        <v>1</v>
      </c>
      <c r="N18" s="20">
        <v>40.403807870370372</v>
      </c>
      <c r="O18" s="20">
        <v>40.403807870370372</v>
      </c>
    </row>
    <row r="19" spans="7:15" x14ac:dyDescent="0.25">
      <c r="G19" s="18" t="s">
        <v>75</v>
      </c>
      <c r="H19" s="19">
        <v>1</v>
      </c>
      <c r="I19" s="20">
        <v>16.300335648148149</v>
      </c>
      <c r="J19" s="20">
        <v>15.951030092592593</v>
      </c>
      <c r="L19" s="18" t="s">
        <v>109</v>
      </c>
      <c r="M19" s="19">
        <v>2</v>
      </c>
      <c r="N19" s="20">
        <v>35.08783564814815</v>
      </c>
      <c r="O19" s="20">
        <v>35.08783564814815</v>
      </c>
    </row>
    <row r="20" spans="7:15" x14ac:dyDescent="0.25">
      <c r="G20" s="18" t="s">
        <v>35</v>
      </c>
      <c r="H20" s="19">
        <v>11</v>
      </c>
      <c r="I20" s="20">
        <v>16.214918981481482</v>
      </c>
      <c r="J20" s="20">
        <v>11.330891203703704</v>
      </c>
      <c r="L20" s="18" t="s">
        <v>89</v>
      </c>
      <c r="M20" s="19">
        <v>6</v>
      </c>
      <c r="N20" s="20">
        <v>34.418391203703706</v>
      </c>
      <c r="O20" s="20">
        <v>34.418391203703706</v>
      </c>
    </row>
    <row r="21" spans="7:15" x14ac:dyDescent="0.25">
      <c r="G21" s="18" t="s">
        <v>44</v>
      </c>
      <c r="H21" s="19">
        <v>3</v>
      </c>
      <c r="I21" s="20">
        <v>16.19130787037037</v>
      </c>
      <c r="J21" s="20">
        <v>1.4107523148148149</v>
      </c>
      <c r="L21" s="18" t="s">
        <v>48</v>
      </c>
      <c r="M21" s="19">
        <v>1</v>
      </c>
      <c r="N21" s="20">
        <v>34.296168981481479</v>
      </c>
      <c r="O21" s="20">
        <v>34.084363425925929</v>
      </c>
    </row>
    <row r="22" spans="7:15" x14ac:dyDescent="0.25">
      <c r="G22" s="18" t="s">
        <v>59</v>
      </c>
      <c r="H22" s="19">
        <v>2</v>
      </c>
      <c r="I22" s="20">
        <v>16.155891203703703</v>
      </c>
      <c r="J22" s="20">
        <v>16.138530092592593</v>
      </c>
      <c r="L22" s="18" t="s">
        <v>105</v>
      </c>
      <c r="M22" s="19">
        <v>1</v>
      </c>
      <c r="N22" s="20">
        <v>30.310752314814813</v>
      </c>
      <c r="O22" s="20">
        <v>12.360752314814814</v>
      </c>
    </row>
    <row r="23" spans="7:15" x14ac:dyDescent="0.25">
      <c r="G23" s="18" t="s">
        <v>52</v>
      </c>
      <c r="H23" s="19">
        <v>3</v>
      </c>
      <c r="I23" s="20">
        <v>16.126030092592593</v>
      </c>
      <c r="J23" s="20">
        <v>16.126030092592593</v>
      </c>
      <c r="L23" s="18" t="s">
        <v>61</v>
      </c>
      <c r="M23" s="19">
        <v>4</v>
      </c>
      <c r="N23" s="20">
        <v>29.389918981481483</v>
      </c>
      <c r="O23" s="20">
        <v>29.389918981481483</v>
      </c>
    </row>
    <row r="24" spans="7:15" x14ac:dyDescent="0.25">
      <c r="G24" s="18" t="s">
        <v>67</v>
      </c>
      <c r="H24" s="19">
        <v>4</v>
      </c>
      <c r="I24" s="20">
        <v>16.078807870370369</v>
      </c>
      <c r="J24" s="20">
        <v>14.400335648148149</v>
      </c>
      <c r="L24" s="18" t="s">
        <v>96</v>
      </c>
      <c r="M24" s="19">
        <v>3</v>
      </c>
      <c r="N24" s="20">
        <v>29.111446759259259</v>
      </c>
      <c r="O24" s="20">
        <v>28.219085648148148</v>
      </c>
    </row>
    <row r="25" spans="7:15" x14ac:dyDescent="0.25">
      <c r="G25" s="18" t="s">
        <v>62</v>
      </c>
      <c r="H25" s="19">
        <v>3</v>
      </c>
      <c r="I25" s="20">
        <v>15.382974537037038</v>
      </c>
      <c r="J25" s="20">
        <v>15.381585648148148</v>
      </c>
      <c r="L25" s="18" t="s">
        <v>73</v>
      </c>
      <c r="M25" s="19">
        <v>1</v>
      </c>
      <c r="N25" s="20">
        <v>27.276030092592592</v>
      </c>
      <c r="O25" s="20">
        <v>27.247557870370372</v>
      </c>
    </row>
    <row r="26" spans="7:15" x14ac:dyDescent="0.25">
      <c r="G26" s="18" t="s">
        <v>29</v>
      </c>
      <c r="H26" s="19">
        <v>2</v>
      </c>
      <c r="I26" s="20">
        <v>15.369085648148149</v>
      </c>
      <c r="J26" s="20">
        <v>15.367002314814815</v>
      </c>
      <c r="L26" s="18" t="s">
        <v>110</v>
      </c>
      <c r="M26" s="19">
        <v>1</v>
      </c>
      <c r="N26" s="20">
        <v>27.196863425925926</v>
      </c>
      <c r="O26" s="20">
        <v>22.164918981481481</v>
      </c>
    </row>
    <row r="27" spans="7:15" x14ac:dyDescent="0.25">
      <c r="G27" s="18" t="s">
        <v>33</v>
      </c>
      <c r="H27" s="19">
        <v>9</v>
      </c>
      <c r="I27" s="20">
        <v>15.231585648148148</v>
      </c>
      <c r="J27" s="20">
        <v>2.4482523148148148</v>
      </c>
      <c r="L27" s="18" t="s">
        <v>79</v>
      </c>
      <c r="M27" s="19">
        <v>1</v>
      </c>
      <c r="N27" s="20">
        <v>22.444780092592591</v>
      </c>
      <c r="O27" s="20">
        <v>5.3663078703703704</v>
      </c>
    </row>
    <row r="28" spans="7:15" x14ac:dyDescent="0.25">
      <c r="G28" s="18" t="s">
        <v>74</v>
      </c>
      <c r="H28" s="19">
        <v>1</v>
      </c>
      <c r="I28" s="20">
        <v>14.414918981481481</v>
      </c>
      <c r="J28" s="20">
        <v>14.371168981481482</v>
      </c>
      <c r="L28" s="18" t="s">
        <v>67</v>
      </c>
      <c r="M28" s="19">
        <v>1</v>
      </c>
      <c r="N28" s="20">
        <v>22.30380787037037</v>
      </c>
      <c r="O28" s="20">
        <v>19.433668981481482</v>
      </c>
    </row>
    <row r="29" spans="7:15" x14ac:dyDescent="0.25">
      <c r="G29" s="18" t="s">
        <v>63</v>
      </c>
      <c r="H29" s="19">
        <v>2</v>
      </c>
      <c r="I29" s="20">
        <v>14.069085648148148</v>
      </c>
      <c r="J29" s="20">
        <v>13.099641203703703</v>
      </c>
      <c r="L29" s="18" t="s">
        <v>104</v>
      </c>
      <c r="M29" s="19">
        <v>3</v>
      </c>
      <c r="N29" s="20">
        <v>20.462835648148147</v>
      </c>
      <c r="O29" s="20">
        <v>20.462835648148147</v>
      </c>
    </row>
    <row r="30" spans="7:15" x14ac:dyDescent="0.25">
      <c r="G30" s="18" t="s">
        <v>30</v>
      </c>
      <c r="H30" s="19">
        <v>2</v>
      </c>
      <c r="I30" s="20">
        <v>13.356585648148148</v>
      </c>
      <c r="J30" s="20">
        <v>1.1447800925925926</v>
      </c>
      <c r="L30" s="18" t="s">
        <v>108</v>
      </c>
      <c r="M30" s="19">
        <v>2</v>
      </c>
      <c r="N30" s="20">
        <v>20.409363425925925</v>
      </c>
      <c r="O30" s="20">
        <v>20.409363425925925</v>
      </c>
    </row>
    <row r="31" spans="7:15" x14ac:dyDescent="0.25">
      <c r="G31" s="18" t="s">
        <v>43</v>
      </c>
      <c r="H31" s="19">
        <v>3</v>
      </c>
      <c r="I31" s="20">
        <v>13.310752314814815</v>
      </c>
      <c r="J31" s="20">
        <v>13.310752314814815</v>
      </c>
      <c r="L31" s="18" t="s">
        <v>83</v>
      </c>
      <c r="M31" s="19">
        <v>3</v>
      </c>
      <c r="N31" s="20">
        <v>19.158668981481483</v>
      </c>
      <c r="O31" s="20">
        <v>15.483668981481481</v>
      </c>
    </row>
    <row r="32" spans="7:15" x14ac:dyDescent="0.25">
      <c r="G32" s="18" t="s">
        <v>37</v>
      </c>
      <c r="H32" s="19">
        <v>2</v>
      </c>
      <c r="I32" s="20">
        <v>13.117696759259259</v>
      </c>
      <c r="J32" s="20">
        <v>7.4538078703703707</v>
      </c>
      <c r="L32" s="18" t="s">
        <v>87</v>
      </c>
      <c r="M32" s="19">
        <v>2</v>
      </c>
      <c r="N32" s="20">
        <v>16.41283564814815</v>
      </c>
      <c r="O32" s="20">
        <v>16.41283564814815</v>
      </c>
    </row>
    <row r="33" spans="7:15" x14ac:dyDescent="0.25">
      <c r="G33" s="18" t="s">
        <v>21</v>
      </c>
      <c r="H33" s="19">
        <v>9</v>
      </c>
      <c r="I33" s="20">
        <v>12.433668981481482</v>
      </c>
      <c r="J33" s="20">
        <v>12.073252314814814</v>
      </c>
      <c r="L33" s="18" t="s">
        <v>42</v>
      </c>
      <c r="M33" s="19">
        <v>1</v>
      </c>
      <c r="N33" s="20">
        <v>16.090613425925927</v>
      </c>
      <c r="O33" s="20">
        <v>5.2017245370370366</v>
      </c>
    </row>
    <row r="34" spans="7:15" x14ac:dyDescent="0.25">
      <c r="G34" s="18" t="s">
        <v>36</v>
      </c>
      <c r="H34" s="19">
        <v>3</v>
      </c>
      <c r="I34" s="20">
        <v>12.407974537037036</v>
      </c>
      <c r="J34" s="20">
        <v>12.22394675925926</v>
      </c>
      <c r="L34" s="18" t="s">
        <v>53</v>
      </c>
      <c r="M34" s="19">
        <v>2</v>
      </c>
      <c r="N34" s="20">
        <v>16.046168981481483</v>
      </c>
      <c r="O34" s="20">
        <v>12.419085648148148</v>
      </c>
    </row>
    <row r="35" spans="7:15" x14ac:dyDescent="0.25">
      <c r="G35" s="18" t="s">
        <v>71</v>
      </c>
      <c r="H35" s="19">
        <v>1</v>
      </c>
      <c r="I35" s="20">
        <v>12.076030092592593</v>
      </c>
      <c r="J35" s="20">
        <v>9.4399189814814815</v>
      </c>
      <c r="L35" s="18" t="s">
        <v>54</v>
      </c>
      <c r="M35" s="19">
        <v>1</v>
      </c>
      <c r="N35" s="20">
        <v>15.344085648148148</v>
      </c>
      <c r="O35" s="20">
        <v>6.4322800925925927</v>
      </c>
    </row>
    <row r="36" spans="7:15" x14ac:dyDescent="0.25">
      <c r="G36" s="18" t="s">
        <v>55</v>
      </c>
      <c r="H36" s="19">
        <v>2</v>
      </c>
      <c r="I36" s="20">
        <v>7.4281134259259263</v>
      </c>
      <c r="J36" s="20">
        <v>7.3343634259259263</v>
      </c>
      <c r="L36" s="18" t="s">
        <v>85</v>
      </c>
      <c r="M36" s="19">
        <v>7</v>
      </c>
      <c r="N36" s="20">
        <v>15.332280092592592</v>
      </c>
      <c r="O36" s="20">
        <v>2.3510300925925924</v>
      </c>
    </row>
    <row r="37" spans="7:15" x14ac:dyDescent="0.25">
      <c r="G37" s="18" t="s">
        <v>38</v>
      </c>
      <c r="H37" s="19">
        <v>5</v>
      </c>
      <c r="I37" s="20">
        <v>7.2878356481481479</v>
      </c>
      <c r="J37" s="20">
        <v>7.2878356481481479</v>
      </c>
      <c r="L37" s="18" t="s">
        <v>92</v>
      </c>
      <c r="M37" s="19">
        <v>2</v>
      </c>
      <c r="N37" s="20">
        <v>15.323252314814814</v>
      </c>
      <c r="O37" s="20">
        <v>5.0697800925925929</v>
      </c>
    </row>
    <row r="38" spans="7:15" x14ac:dyDescent="0.25">
      <c r="G38" s="18" t="s">
        <v>69</v>
      </c>
      <c r="H38" s="19">
        <v>1</v>
      </c>
      <c r="I38" s="20">
        <v>7.1218634259259259</v>
      </c>
      <c r="J38" s="20">
        <v>7.1218634259259259</v>
      </c>
      <c r="L38" s="18" t="s">
        <v>84</v>
      </c>
      <c r="M38" s="19">
        <v>3</v>
      </c>
      <c r="N38" s="20">
        <v>15.040613425925926</v>
      </c>
      <c r="O38" s="20">
        <v>12.44130787037037</v>
      </c>
    </row>
    <row r="39" spans="7:15" x14ac:dyDescent="0.25">
      <c r="G39" s="18" t="s">
        <v>58</v>
      </c>
      <c r="H39" s="19">
        <v>1</v>
      </c>
      <c r="I39" s="20">
        <v>7.0857523148148145</v>
      </c>
      <c r="J39" s="20">
        <v>2.3496412037037038</v>
      </c>
      <c r="L39" s="18" t="s">
        <v>106</v>
      </c>
      <c r="M39" s="19">
        <v>1</v>
      </c>
      <c r="N39" s="20">
        <v>14.357280092592593</v>
      </c>
      <c r="O39" s="20">
        <v>14.357280092592593</v>
      </c>
    </row>
    <row r="40" spans="7:15" x14ac:dyDescent="0.25">
      <c r="G40" s="18" t="s">
        <v>57</v>
      </c>
      <c r="H40" s="19">
        <v>2</v>
      </c>
      <c r="I40" s="20">
        <v>7.06005787037037</v>
      </c>
      <c r="J40" s="20">
        <v>7.0503356481481481</v>
      </c>
      <c r="L40" s="18" t="s">
        <v>93</v>
      </c>
      <c r="M40" s="19">
        <v>4</v>
      </c>
      <c r="N40" s="20">
        <v>14.060752314814815</v>
      </c>
      <c r="O40" s="20">
        <v>2.3461689814814815</v>
      </c>
    </row>
    <row r="41" spans="7:15" x14ac:dyDescent="0.25">
      <c r="G41" s="18" t="s">
        <v>66</v>
      </c>
      <c r="H41" s="19">
        <v>1</v>
      </c>
      <c r="I41" s="20">
        <v>6.2774189814814818</v>
      </c>
      <c r="J41" s="20">
        <v>6.2774189814814818</v>
      </c>
      <c r="L41" s="18" t="s">
        <v>75</v>
      </c>
      <c r="M41" s="19">
        <v>1</v>
      </c>
      <c r="N41" s="20">
        <v>13.437141203703703</v>
      </c>
      <c r="O41" s="20">
        <v>9.1142245370370372</v>
      </c>
    </row>
    <row r="42" spans="7:15" x14ac:dyDescent="0.25">
      <c r="G42" s="18" t="s">
        <v>51</v>
      </c>
      <c r="H42" s="19">
        <v>1</v>
      </c>
      <c r="I42" s="20">
        <v>6.1086689814814816</v>
      </c>
      <c r="J42" s="20">
        <v>2.0815856481481481</v>
      </c>
      <c r="L42" s="18" t="s">
        <v>103</v>
      </c>
      <c r="M42" s="19">
        <v>1</v>
      </c>
      <c r="N42" s="20">
        <v>9.4086689814814815</v>
      </c>
      <c r="O42" s="20">
        <v>9.0663078703703697</v>
      </c>
    </row>
    <row r="43" spans="7:15" x14ac:dyDescent="0.25">
      <c r="G43" s="18" t="s">
        <v>53</v>
      </c>
      <c r="H43" s="19">
        <v>3</v>
      </c>
      <c r="I43" s="20">
        <v>5.3551967592592593</v>
      </c>
      <c r="J43" s="20">
        <v>5.3551967592592593</v>
      </c>
      <c r="L43" s="18" t="s">
        <v>99</v>
      </c>
      <c r="M43" s="19">
        <v>1</v>
      </c>
      <c r="N43" s="20">
        <v>9.111446759259259</v>
      </c>
      <c r="O43" s="20">
        <v>6.2121412037037036</v>
      </c>
    </row>
    <row r="44" spans="7:15" x14ac:dyDescent="0.25">
      <c r="G44" s="18" t="s">
        <v>60</v>
      </c>
      <c r="H44" s="19">
        <v>1</v>
      </c>
      <c r="I44" s="20">
        <v>2.404502314814815</v>
      </c>
      <c r="J44" s="20">
        <v>2.3961689814814813</v>
      </c>
      <c r="L44" s="18" t="s">
        <v>102</v>
      </c>
      <c r="M44" s="19">
        <v>1</v>
      </c>
      <c r="N44" s="20">
        <v>7.3426967592592591</v>
      </c>
      <c r="O44" s="20">
        <v>7.2850578703703706</v>
      </c>
    </row>
    <row r="45" spans="7:15" x14ac:dyDescent="0.25">
      <c r="G45" s="18" t="s">
        <v>54</v>
      </c>
      <c r="H45" s="19">
        <v>1</v>
      </c>
      <c r="I45" s="20">
        <v>2.3260300925925925</v>
      </c>
      <c r="J45" s="20">
        <v>2.2600578703703702</v>
      </c>
      <c r="L45" s="18" t="s">
        <v>101</v>
      </c>
      <c r="M45" s="19">
        <v>1</v>
      </c>
      <c r="N45" s="20">
        <v>6.3836689814814811</v>
      </c>
      <c r="O45" s="20">
        <v>6.257974537037037</v>
      </c>
    </row>
    <row r="46" spans="7:15" x14ac:dyDescent="0.25">
      <c r="G46" s="18" t="s">
        <v>56</v>
      </c>
      <c r="H46" s="19">
        <v>1</v>
      </c>
      <c r="I46" s="20">
        <v>2.3232523148148148</v>
      </c>
      <c r="J46" s="20">
        <v>2.3232523148148148</v>
      </c>
      <c r="L46" s="18" t="s">
        <v>95</v>
      </c>
      <c r="M46" s="19">
        <v>1</v>
      </c>
      <c r="N46" s="20">
        <v>2.4204745370370371</v>
      </c>
      <c r="O46" s="20">
        <v>2.4204745370370371</v>
      </c>
    </row>
    <row r="47" spans="7:15" x14ac:dyDescent="0.25">
      <c r="G47" s="18" t="s">
        <v>50</v>
      </c>
      <c r="H47" s="19">
        <v>1</v>
      </c>
      <c r="I47" s="20">
        <v>2.1663078703703702</v>
      </c>
      <c r="J47" s="20">
        <v>2.0808912037037035</v>
      </c>
      <c r="L47" s="18" t="s">
        <v>94</v>
      </c>
      <c r="M47" s="19">
        <v>1</v>
      </c>
      <c r="N47" s="20">
        <v>2.3676967592592595</v>
      </c>
      <c r="O47" s="20">
        <v>2.3676967592592595</v>
      </c>
    </row>
    <row r="48" spans="7:15" x14ac:dyDescent="0.25">
      <c r="G48" s="18" t="s">
        <v>49</v>
      </c>
      <c r="H48" s="19">
        <v>1</v>
      </c>
      <c r="I48" s="20">
        <v>2.0683912037037038</v>
      </c>
      <c r="J48" s="20">
        <v>2.0642245370370369</v>
      </c>
      <c r="L48" s="18" t="s">
        <v>10</v>
      </c>
      <c r="M48" s="19">
        <v>179</v>
      </c>
      <c r="N48" s="20">
        <v>225.30311342592591</v>
      </c>
      <c r="O48" s="20">
        <v>85.159363425925932</v>
      </c>
    </row>
    <row r="49" spans="7:10" x14ac:dyDescent="0.25">
      <c r="G49" s="18" t="s">
        <v>27</v>
      </c>
      <c r="H49" s="19">
        <v>7</v>
      </c>
      <c r="I49" s="20">
        <v>2.0232523148148149</v>
      </c>
      <c r="J49" s="20">
        <v>1.3163078703703703</v>
      </c>
    </row>
    <row r="50" spans="7:10" x14ac:dyDescent="0.25">
      <c r="G50" s="18" t="s">
        <v>45</v>
      </c>
      <c r="H50" s="19">
        <v>2</v>
      </c>
      <c r="I50" s="20">
        <v>1.4322800925925927</v>
      </c>
      <c r="J50" s="20">
        <v>1.4322800925925927</v>
      </c>
    </row>
    <row r="51" spans="7:10" x14ac:dyDescent="0.25">
      <c r="G51" s="18" t="s">
        <v>48</v>
      </c>
      <c r="H51" s="19">
        <v>1</v>
      </c>
      <c r="I51" s="20">
        <v>1.4176967592592593</v>
      </c>
      <c r="J51" s="20">
        <v>1.4176967592592593</v>
      </c>
    </row>
    <row r="52" spans="7:10" x14ac:dyDescent="0.25">
      <c r="G52" s="18" t="s">
        <v>41</v>
      </c>
      <c r="H52" s="19">
        <v>1</v>
      </c>
      <c r="I52" s="20">
        <v>1.2850578703703703</v>
      </c>
      <c r="J52" s="20">
        <v>1.2850578703703703</v>
      </c>
    </row>
    <row r="53" spans="7:10" x14ac:dyDescent="0.25">
      <c r="G53" s="18" t="s">
        <v>32</v>
      </c>
      <c r="H53" s="19">
        <v>2</v>
      </c>
      <c r="I53" s="20">
        <v>1.2718634259259258</v>
      </c>
      <c r="J53" s="20">
        <v>1.2718634259259258</v>
      </c>
    </row>
    <row r="54" spans="7:10" x14ac:dyDescent="0.25">
      <c r="G54" s="18" t="s">
        <v>40</v>
      </c>
      <c r="H54" s="19">
        <v>1</v>
      </c>
      <c r="I54" s="20">
        <v>1.2308912037037036</v>
      </c>
      <c r="J54" s="20">
        <v>1.2308912037037036</v>
      </c>
    </row>
    <row r="55" spans="7:10" x14ac:dyDescent="0.25">
      <c r="G55" s="18" t="s">
        <v>31</v>
      </c>
      <c r="H55" s="19">
        <v>1</v>
      </c>
      <c r="I55" s="20">
        <v>1.0989467592592592</v>
      </c>
      <c r="J55" s="20">
        <v>1.0989467592592592</v>
      </c>
    </row>
    <row r="56" spans="7:10" x14ac:dyDescent="0.25">
      <c r="G56" s="18" t="s">
        <v>5</v>
      </c>
      <c r="H56" s="19">
        <v>1</v>
      </c>
      <c r="I56" s="20" t="e">
        <v>#VALUE!</v>
      </c>
      <c r="J56" s="20" t="e">
        <v>#VALUE!</v>
      </c>
    </row>
    <row r="57" spans="7:10" x14ac:dyDescent="0.25">
      <c r="G57" s="18" t="s">
        <v>10</v>
      </c>
      <c r="H57" s="19">
        <v>185</v>
      </c>
      <c r="I57" s="20" t="e">
        <v>#VALUE!</v>
      </c>
      <c r="J57" s="20" t="e">
        <v>#VALUE!</v>
      </c>
    </row>
  </sheetData>
  <sheetProtection algorithmName="SHA-512" hashValue="HR2DuAuYoBoCKUInMznv5RaM0nZ3GDMwxnlkznS4w6oG0r7Uja0gF9/iyo2ZwwmeV25chE3RiNeCsasJfwvjGg==" saltValue="cxkyW9rSB+FrRPJRlTvH1A==" spinCount="100000" sheet="1" objects="1" scenarios="1" selectLockedCells="1"/>
  <conditionalFormatting pivot="1" sqref="C3:C4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D3:D4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B3:B4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C4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B4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D4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B4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C4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D4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B3:B4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C3:C4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D3:D4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B4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C4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D4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9 I12 I14 I16:I17 I21 I24 I26:I27 I30 I33 I35 I37 I40 I43:I44 I49:I50 I54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9 H12 H14 H16:H17 H21 H24 H26:H27 H30 H33 H35 H37 H40 H43:H44 H49:H50 H54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9 J12 J14 J16:J17 J21 J24 J26:J27 J30 J33 J35 J37 J40 J43:J44 J49:J50 J54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25 N8 N28 N33:N34 N42:N4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25 M8 M28 M33:M34 M42:M4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8 O25 O28 O33:O34 O42:O4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 H9 H14 H17 H21 H24 H26:H27 H30 H35 H37 H40 H43:H44 H49 H54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 I9 I14 I17 I21 I24 I26:I27 I30 I35 I37 I40 I43:I44 I49 I54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 J9 J14 J17 J21 J24 J26:J27 J30 J35 J37 J40 J43:J44 J49 J54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12 M14:M26 M28:M31 M33 M36 M38 M40:M43 M46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12 N14:N26 N28:N31 N33 N36 N38 N40:N43 N46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12 O14:O26 O28:O31 O33 O36 O38 O40:O43 O46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 H9 H14 H16:H17 H21 H24:H27 H30 H35 H40 H43:H44 H49 H54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 I9 I14 I16:I17 I21 I24:I27 I30 I35 I40 I43:I44 I49 I54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 J9 J14 J16:J17 J21 J24:J27 J30 J35 J40 J43:J44 J49 J54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 H9 H14 H16:H17 H21 H24:H27 H30 H35 H40 H43:H44 H49 H54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 I9 I14 I16:I17 I21 I24:I27 I30 I35 I40 I43:I44 I49 I54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 J9 J14 J16:J17 J21 J24:J27 J30 J35 J40 J43:J44 J49 J54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12 M14:M26 M28:M31 M33 M36 M38 M40:M43 M46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12 N14:N26 N28:N31 N33 N36 N38 N40:N43 N46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12 O14:O26 O28:O31 O33 O36 O38 O40:O43 O46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6 H3 H9 H14 H16:H17 H20:H21 H24:H25 H27 H30 H35 H37 H40 H43 H49:H50 H54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6 I3 I9 I14 I16:I17 I20:I21 I24:I25 I27 I30 I35 I37 I40 I43 I49:I50 I54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 J6 J9 J14 J16:J17 J20:J21 J24:J25 J27 J30 J35 J37 J40 J43 J49:J50 J54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12 M14:M26 M28:M31 M33 M36 M38 M40:M43 M46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12 N14:N26 N28:N31 N33 N36 N38 N40:N43 N46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12 O14:O26 O28:O31 O33 O36 O38 O40:O43 O46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6 H3 H9 H14 H16:H17 H20:H21 H24 H27 H30 H35 H40 H43 H46 H48:H50 H54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 I6 I9 I14 I16:I17 I20:I21 I24 I27 I30 I35 I40 I43 I46 I48:I50 I54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 J6 J9 J14 J16:J17 J20:J21 J24 J27 J30 J35 J40 J43 J46 J48:J50 J54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6 H3 H9 H14 H16:H17 H20:H21 H24:H27 H30 H35:H37 H40 H43 H46 H48:H50 H54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6 I3 I9 I14 I16:I17 I20:I21 I24:I27 I30 I35:I37 I40 I43 I46 I48:I50 I54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 J6 J9 J14 J16:J17 J20:J21 J24:J27 J30 J35:J37 J40 J43 J46 J48:J50 J54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6 H3 H9 H14 H16:H17 H20:H21 H24 H26:H27 H30 H35:H36 H40 H43 H46 H48:H50 H54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 I6 I9 I14 I16:I17 I20:I21 I24 I26:I27 I30 I35:I36 I40 I43 I46 I48:I50 I54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 J6 J9 J14 J16:J17 J20:J21 J24 J26:J27 J30 J35:J36 J40 J43 J46 J48:J50 J54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C3:C4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D3:D4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B3:B4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6 H3 H9 H14 H16:H17 H20:H21 H24 H26:H27 H30 H35:H36 H40 H43 H46 H48:H50 H54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 I6 I9 I14 I16:I17 I20:I21 I24 I26:I27 I30 I35:I36 I40 I43 I46 I48:I50 I54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 J6 J9 J14 J16:J17 J20:J21 J24 J26:J27 J30 J35:J36 J40 J43 J46 J48:J50 J54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12 M14:M26 M28:M31 M33 M36 M38 M41:M43 M46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12 N14:N26 N28:N31 N33 N36 N38 N41:N43 N46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12 O14:O26 O28:O31 O33 O36 O38 O41:O43 O46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 H13:H14 H16:H17 H20:H21 H24:H27 H30 H33 H35:H37 H40 H43:H44 H46 H48:H49 H54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 I13:I14 I16:I17 I20:I21 I24:I27 I30 I33 I35:I37 I40 I43:I44 I46 I48:I49 I54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 J13:J14 J16:J17 J20:J21 J24:J27 J30 J33 J35:J37 J40 J43:J44 J46 J48:J49 J54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 H6 H9 H14 H16:H17 H20:H21 H24 H26:H27 H29:H30 H35:H36 H40 H43:H44 H46 H48:H49 H51 H54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 I6 I9 I14 I16:I17 I20:I21 I24 I26:I27 I29:I30 I35:I36 I40 I43:I44 I46 I48:I49 I51 I54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 J6 J9 J14 J16:J17 J20:J21 J24 J26:J27 J29:J30 J35:J36 J40 J43:J44 J46 J48:J49 J51 J54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5 M7:M12 M14:M26 M28:M31 M33 M36 M38:M39 M41:M43 M46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5 N7:N12 N14:N26 N28:N31 N33 N36 N38:N39 N41:N43 N46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5 O7:O12 O14:O26 O28:O31 O33 O36 O38:O39 O41:O43 O46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 H16:H17 H20:H21 H24 H27 H30 H33 H35:H36 H43:H44 H46 H48:H50 H54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 I16:I17 I20:I21 I24 I27 I30 I33 I35:I36 I43:I44 I46 I48:I50 I54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 J16:J17 J20:J21 J24 J27 J30 J33 J35:J36 J43:J44 J46 J48:J50 J54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 H16:H17 H20:H21 H24 H26:H27 H30 H33 H35:H36 H40 H43:H44 H46 H48:H50 H54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 I16:I17 I20:I21 I24 I26:I27 I30 I33 I35:I36 I40 I43:I44 I46 I48:I50 I54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 J16:J17 J20:J21 J24 J26:J27 J30 J33 J35:J36 J40 J43:J44 J46 J48:J50 J54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 H16:H17 H20:H22 H24 H26:H27 H30 H33 H35:H36 H40 H43:H44 H46 H48:H50 H54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 I16:I17 I20:I22 I24 I26:I27 I30 I33 I35:I36 I40 I43:I44 I46 I48:I50 I54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8 M11 M23 M28 M33:M34 M38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8 N11 N23 N28 N33:N34 N38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8 O11 O23 O28 O33:O34 O38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5 O7:O12 O14:O26 O28:O31 O33 O36 O38:O39 O41:O44 O46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5 N7:N12 N14:N26 N28:N31 N33 N36 N38:N39 N41:N44 N46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5 M7:M12 M14:M26 M28:M31 M33 M36 M38:M39 M41:M44 M46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 J16:J17 J20:J22 J24 J26:J27 J30 J33 J35:J36 J40 J43:J44 J46 J48:J50 J54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 H15:H17 H20:H22 H24:H27 H30 H33 H35:H36 H43:H44 H46 H48:H51 H54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 I15:I17 I20:I22 I24:I27 I30 I33 I35:I36 I43:I44 I46 I48:I51 I54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 J15:J17 J20:J22 J24:J27 J30 J33 J35:J36 J43:J44 J46 J48:J51 J54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9:J10 J15:J17 J20:J22 J24:J27 J30 J33 J35:J36 J43:J44 J46 J48:J51 J54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9:I10 I15:I17 I20:I22 I24:I27 I30 I33 I35:I36 I43:I44 I46 I48:I51 I54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9:H10 H15:H17 H20:H22 H24:H27 H30 H33 H35:H36 H43:H44 H46 H48:H51 H54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9:J10 J15:J17 J20:J22 J24:J27 J30 J33 J35:J36 J43:J44 J46 J48:J51 J54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9:I10 I15:I17 I20:I22 I24:I27 I30 I33 I35:I36 I43:I44 I46 I48:I51 I54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9:H10 H15:H17 H20:H22 H24:H27 H30 H33 H35:H36 H43:H44 H46 H48:H51 H54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9:H10 H14:H17 H20:H22 H24:H27 H30 H33 H35:H36 H43:H44 H46 H49:H51 H54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9:I10 I14:I17 I20:I22 I24:I27 I30 I33 I35:I36 I43:I44 I46 I49:I51 I54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9:J10 J14:J17 J20:J22 J24:J27 J30 J33 J35:J36 J43:J44 J46 J49:J51 J54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:H10 H12 H14:H17 H20:H22 H24:H27 H29:H30 H33 H35:H36 H39 H43:H44 H46 H49:H51 H54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:I10 I12 I14:I17 I20:I22 I24:I27 I29:I30 I33 I35:I36 I39 I43:I44 I46 I49:I51 I54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:J10 J12 J14:J17 J20:J22 J24:J27 J29:J30 J33 J35:J36 J39 J43:J44 J46 J49:J51 J54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5 O7:O12 O14:O21 O23:O26 O28:O31 O33 O36:O39 O41:O44 O4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5 N7:N12 N14:N21 N23:N26 N28:N31 N33 N36:N39 N41:N44 N4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5 M7:M12 M14:M21 M23:M26 M28:M31 M33 M36:M39 M41:M44 M4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:J10 J15:J17 J20:J22 J24:J27 J29:J30 J33 J35:J36 J43:J44 J46 J49:J51 J54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:I10 I15:I17 I20:I22 I24:I27 I29:I30 I33 I35:I36 I43:I44 I46 I49:I51 I54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:H10 H15:H17 H20:H22 H24:H27 H29:H30 H33 H35:H36 H43:H44 H46 H49:H51 H54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:H10 H13 H15:H17 H20:H22 H24:H27 H29:H30 H33 H35:H36 H43:H46 H49:H51 H54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:I10 I13 I15:I17 I20:I22 I24:I27 I29:I30 I33 I35:I36 I43:I46 I49:I51 I54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:J10 J13 J15:J17 J20:J22 J24:J27 J29:J30 J33 J35:J36 J43:J46 J49:J51 J54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:H10 H12:H13 H15:H17 H20:H22 H24:H27 H29:H30 H33 H35:H36 H43:H44 H46 H48:H51 H54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:I10 I12:I13 I15:I17 I20:I22 I24:I27 I29:I30 I33 I35:I36 I43:I44 I46 I48:I51 I54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:J10 J12:J13 J15:J17 J20:J22 J24:J27 J29:J30 J33 J35:J36 J43:J44 J46 J48:J51 J54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8 O11 O15 O21 O23 O28 O33:O34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11 N8 N15 N21 N23 N28 N33:N34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8 M11 M15 M21 M23 M28 M33:M34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:I10 I12 I15:I17 I20:I22 I24 I26:I27 I30 I33 I35:I37 I43:I44 I46:I51 I54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:J10 J12 J15:J17 J20:J22 J24 J26:J27 J30 J33 J35:J37 J43:J44 J46:J51 J54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 H6 H9 H14 H19 H24 H46 H48 H51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 I6 I9 I14 I19 I24 I46 I48 I51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 J6 J9 J14 J19 J24 J46 J48 J51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8 M15 M21:M23 M28 M33:M34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8 N15 N21:N23 N28 N33:N34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8 O15 O21:O23 O28 O33:O34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:J10 J12 J14:J17 J20:J22 J24 J26:J27 J30 J33 J35:J37 J43:J44 J46:J47 J49:J51 J54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:I10 I12 I14:I17 I20:I22 I24 I26:I27 I30 I33 I35:I37 I43:I44 I46:I47 I49:I51 I54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:H10 H12 H14:H17 H20:H22 H24 H26:H27 H30 H33 H35:H37 H43:H44 H46:H47 H49:H51 H54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:H10 H12 H14:H17 H20:H22 H24 H26:H27 H30 H33 H35:H37 H40 H43:H47 H49:H50 H54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9:J10 J12 J14 J16:J17 J20:J22 J24 J26:J27 J30 J33 J35:J37 J40 J43 J46:J47 J49:J51 J54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9:I10 I12 I14 I16:I17 I20:I22 I24 I26:I27 I30 I33 I35:I37 I40 I43 I46:I47 I49:I51 I54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9:H10 H12 H14 H16:H17 H20:H22 H24 H26:H27 H30 H33 H35:H37 H40 H43:H44 H46:H47 H49:H51 H54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9:H10 H12 H14 H16:H17 H20:H22 H24 H26:H27 H30 H33 H36:H37 H40 H43:H44 H46:H47 H49:H51 H54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9:I10 I12 I14 I16:I17 I20:I22 I24 I26:I27 I30 I33 I36:I37 I40 I43:I44 I46:I47 I49:I51 I54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9:J10 J12 J14 J16:J17 J20:J22 J24 J26:J27 J30 J33 J36:J37 J40 J43:J44 J46:J47 J49:J51 J54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12 M14:M21 M23:M26 M28:M31 M33 M36 M38:M39 M41:M44 M4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12 N14:N21 N23:N26 N28:N31 N33 N36 N38:N39 N41:N44 N4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12 O14:O21 O23:O26 O28:O31 O33 O36 O38:O39 O41:O44 O4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9:H10 H14 H16:H17 H20:H22 H24 H26:H27 H30 H33 H36:H37 H40 H43:H44 H46:H47 H49:H51 H54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9:I10 I14 I16:I17 I20:I22 I24 I26:I27 I30 I33 I36:I37 I40 I43:I44 I46:I47 I49:I51 I54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9:J10 J14 J16:J17 J20:J22 J24 J26:J27 J30 J33 J36:J37 J40 J43:J44 J46:J47 J49:J51 J54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14 H16:H17 H20:H21 H24:H27 H30:H31 H33 H36:H37 H40 H43:H44 H46:H47 H49:H51 H54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9 I14 I16:I17 I20:I21 I24:I27 I30:I31 I33 I36:I37 I40 I43:I44 I46:I47 I49:I51 I54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9 J14 J16:J17 J20:J21 J24:J27 J30:J31 J33 J36:J37 J40 J43:J44 J46:J47 J49:J51 J54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12 M14:M21 M23:M26 M28:M31 M33 M36 M38:M43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12 N14:N21 N23:N26 N28:N31 N33 N36 N38:N43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12 O14:O21 O23:O26 O28:O31 O33 O36 O38:O43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9 H11 H14:H17 H20:H21 H24:H27 H29:H31 H33 H37 H40 H43:H44 H46 H49:H51 H5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9 I11 I14:I17 I20:I21 I24:I27 I29:I31 I33 I37 I40 I43:I44 I46 I49:I51 I54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9 J11 J14:J17 J20:J21 J24:J27 J29:J31 J33 J37 J40 J43:J44 J46 J49:J51 J54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11 M14:M21 M23:M24 M26 M28:M33 M36 M38:M39 M42:M44 M4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11 N14:N21 N23:N24 N26 N28:N33 N36 N38:N39 N42:N44 N47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11 O14:O21 O23:O24 O26 O28:O33 O36 O38:O39 O42:O44 O4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5 H9 H14:H18 H20:H21 H25:H27 H29:H30 H32:H34 H38 H42:H44 H48:H51 H53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5 I9 I14:I18 I20:I21 I25:I27 I29:I30 I32:I34 I38 I42:I44 I48:I51 I53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5 J9 J14:J18 J20:J21 J25:J27 J29:J30 J32:J34 J38 J42:J44 J48:J51 J53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21 M23:M26 M28:M30 M32 M34 M36:M39 M43:M44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21 N23:N26 N28:N30 N32 N34 N36:N39 N43:N4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21 O23:O26 O28:O30 O32 O34 O36:O39 O43:O4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5 H9 H14 H16:H18 H20:H21 H25:H28 H30 H32:H34 H38 H42:H44 H48:H5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5 I9 I14 I16:I18 I20:I21 I25:I28 I30 I32:I34 I38 I42:I44 I48:I5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5 J9 J14 J16:J18 J20:J21 J25:J28 J30 J32:J34 J38 J42:J44 J48:J5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9 H12 H14:H18 H20:H21 H24:H27 H30 H32:H34 H36:H38 H40 H42:H44 H49 H5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9 I12 I14:I18 I20:I21 I24:I27 I30 I32:I34 I36:I38 I40 I42:I44 I49 I5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9 J12 J14:J18 J20:J21 J24:J27 J30 J32:J34 J36:J38 J40 J42:J44 J49 J5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21 M23 M25:M26 M28:M30 M32 M34 M36:M37 M40 M43:M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21 N23 N25:N26 N28:N30 N32 N34 N36:N37 N40 N43:N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21 O23 O25:O26 O28:O30 O32 O34 O36:O37 O40 O43:O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27 H30 H32:H33 H35 H37 H42:H45 H49:H50 H52 H5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27 I30 I32:I33 I35 I37 I42:I45 I49:I50 I52 I5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27 J30 J32:J33 J35 J37 J42:J45 J49:J50 J52 J5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21 M23:M32 M36:M38 M40:M41 M44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21 N23:N32 N36:N38 N40:N41 N4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21 O23:O32 O36:O38 O40:O41 O4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30 H32:H33 H35 H37 H42:H45 H49:H50 H52:H5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30 I32:I33 I35 I37 I42:I45 I49:I50 I52:I5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30 J32:J33 J35 J37 J42:J45 J49:J50 J52:J5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32 H35 H37 H42:H45 H49:H50 H52:H5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32 I35 I37 I42:I45 I49:I50 I52:I5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32 J35 J37 J42:J45 J49:J50 J52:J5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3 J50:J51 J5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3 I50:I51 I5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3 H50:H51 H5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4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4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4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5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5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Sydle-Seed</vt:lpstr>
      <vt:lpstr>GLPI-CSTI</vt:lpstr>
      <vt:lpstr>GLPI-M.I</vt:lpstr>
      <vt:lpstr>Backlog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Vitor Fernandes</dc:creator>
  <cp:lastModifiedBy>Vitor Fernandes</cp:lastModifiedBy>
  <dcterms:created xsi:type="dcterms:W3CDTF">2022-05-17T10:34:49Z</dcterms:created>
  <dcterms:modified xsi:type="dcterms:W3CDTF">2022-11-23T21:57:57Z</dcterms:modified>
</cp:coreProperties>
</file>