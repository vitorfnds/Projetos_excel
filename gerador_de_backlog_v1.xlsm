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vitor.fernandes\Desktop\CSTI\"/>
    </mc:Choice>
  </mc:AlternateContent>
  <xr:revisionPtr revIDLastSave="0" documentId="13_ncr:1_{66F174F2-C51C-4652-A3E7-29DA1642C07D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Sydle-Seed" sheetId="2" r:id="rId1"/>
    <sheet name="GLPI-CSTI" sheetId="3" r:id="rId2"/>
    <sheet name="GLPI-M.I" sheetId="4" r:id="rId3"/>
    <sheet name="Backlog" sheetId="5" r:id="rId4"/>
  </sheets>
  <calcPr calcId="191029"/>
  <pivotCaches>
    <pivotCache cacheId="6" r:id="rId5"/>
    <pivotCache cacheId="9" r:id="rId6"/>
    <pivotCache cacheId="1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4" l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</calcChain>
</file>

<file path=xl/sharedStrings.xml><?xml version="1.0" encoding="utf-8"?>
<sst xmlns="http://schemas.openxmlformats.org/spreadsheetml/2006/main" count="3173" uniqueCount="556">
  <si>
    <t>Status</t>
  </si>
  <si>
    <t>Aging</t>
  </si>
  <si>
    <t>Atividade</t>
  </si>
  <si>
    <t>seed</t>
  </si>
  <si>
    <t>polo</t>
  </si>
  <si>
    <t>Data de criação</t>
  </si>
  <si>
    <t>Data de última atualização</t>
  </si>
  <si>
    <t>Quantidade de Seeds</t>
  </si>
  <si>
    <t>Aging Mod</t>
  </si>
  <si>
    <t>ID</t>
  </si>
  <si>
    <t>Título</t>
  </si>
  <si>
    <t>Data de abertura</t>
  </si>
  <si>
    <t>Requerente - Grupo requerente</t>
  </si>
  <si>
    <t>Atribuído para - Grupo técnico</t>
  </si>
  <si>
    <t>Última atualização</t>
  </si>
  <si>
    <t>Tipo</t>
  </si>
  <si>
    <t>Aprovação - Aprovação</t>
  </si>
  <si>
    <t>Prioridade</t>
  </si>
  <si>
    <t>Total Geral</t>
  </si>
  <si>
    <t>Máx de Aging</t>
  </si>
  <si>
    <t>Contagem de Atividade</t>
  </si>
  <si>
    <t>Máx de Aging Mod</t>
  </si>
  <si>
    <t>Sydle - Seed</t>
  </si>
  <si>
    <t>Contagem de Título</t>
  </si>
  <si>
    <t>CSTI - Suporte Remoto</t>
  </si>
  <si>
    <t>M.I - Suporte Campo</t>
  </si>
  <si>
    <t>SÃO BERNARDO DO CAMPO - SP</t>
  </si>
  <si>
    <t>CAXIAS DO SUL - RS</t>
  </si>
  <si>
    <t>PARACAMBI - RJ</t>
  </si>
  <si>
    <t>RECIFE - PE</t>
  </si>
  <si>
    <t>CSTI - Instalar e configurar scanner para Secretaria Acadêmica Digital e Provas Digitais</t>
  </si>
  <si>
    <t>DIVINÓPOLIS - MG</t>
  </si>
  <si>
    <t>TERESINA - PI</t>
  </si>
  <si>
    <t>PIUMHI - MG</t>
  </si>
  <si>
    <t>Vitor Fernandes</t>
  </si>
  <si>
    <t>PRESIDENTE DUTRA - MA</t>
  </si>
  <si>
    <t>SÃO GONÇALO DO SAPUCAÍ - MG</t>
  </si>
  <si>
    <t>ENTRE RIOS - BA</t>
  </si>
  <si>
    <t>CAMAMU - BA</t>
  </si>
  <si>
    <t>ITAITUBA - PA</t>
  </si>
  <si>
    <t>NOVO CRUZEIRO - MG</t>
  </si>
  <si>
    <t>BOFETE - SP</t>
  </si>
  <si>
    <t>TELÊMACO BORBA - PR</t>
  </si>
  <si>
    <t>PÉROLA - PR</t>
  </si>
  <si>
    <t>PARÁ DE MINAS - MG</t>
  </si>
  <si>
    <t>VILHENA - RO</t>
  </si>
  <si>
    <t>CACHOEIRO DE ITAPEMIRIM - ES</t>
  </si>
  <si>
    <t>PORTO FELIZ - SP</t>
  </si>
  <si>
    <t>ASTORGA - PR</t>
  </si>
  <si>
    <t>PONTAL DO PARANÁ - PR</t>
  </si>
  <si>
    <t>PAUDALHO - PE</t>
  </si>
  <si>
    <t>BANDEIRANTES - PR</t>
  </si>
  <si>
    <t>ITAGUAÍ - RJ</t>
  </si>
  <si>
    <t>POXORÉU - MT</t>
  </si>
  <si>
    <t>BOCA DO ACRE - AM</t>
  </si>
  <si>
    <t>SÃO GERALDO DO ARAGUAIA - PA</t>
  </si>
  <si>
    <t>POUSO ALEGRE - MG</t>
  </si>
  <si>
    <t>RIO DE JANEIRO - RECREIO DOS BANDEIRANTES - RJ</t>
  </si>
  <si>
    <t>MIRANDÓPOLIS - SP</t>
  </si>
  <si>
    <t>ARTUR NOGUEIRA - SP</t>
  </si>
  <si>
    <t>OLHO D´ÁGUA DAS FLORES - AL</t>
  </si>
  <si>
    <t>OURO PRETO DO OESTE - RO</t>
  </si>
  <si>
    <t>BALSAS - MA</t>
  </si>
  <si>
    <t>RIO BRILHANTE - MS</t>
  </si>
  <si>
    <t>AFRÂNIO - PE</t>
  </si>
  <si>
    <t>ITAPIPOCA - CE</t>
  </si>
  <si>
    <t>CANAÃ DOS CARAJÁS - PA</t>
  </si>
  <si>
    <t>PACAJUS - CE</t>
  </si>
  <si>
    <t>ITUBERÁ - BA</t>
  </si>
  <si>
    <t>BURITIS - MG</t>
  </si>
  <si>
    <t>RIO REAL - BA</t>
  </si>
  <si>
    <t>CSTI - Requisição do Certificado Digital</t>
  </si>
  <si>
    <t>MUNDO NOVO - MS</t>
  </si>
  <si>
    <t>JOINVILLE - SC</t>
  </si>
  <si>
    <t>BARREIRINHAS - MA</t>
  </si>
  <si>
    <t>SAQUAREMA - RJ</t>
  </si>
  <si>
    <t>QUEIMADOS - RJ</t>
  </si>
  <si>
    <t>47 975</t>
  </si>
  <si>
    <t>Privilégios de acesso - CSTI</t>
  </si>
  <si>
    <t>Pendente</t>
  </si>
  <si>
    <t>CSTI Requerente</t>
  </si>
  <si>
    <t>Diretoria - TI &gt; Infraestrutura &gt; SD</t>
  </si>
  <si>
    <t>Requisição</t>
  </si>
  <si>
    <t>Esperando por uma validação</t>
  </si>
  <si>
    <t>Baixa</t>
  </si>
  <si>
    <t>47 974</t>
  </si>
  <si>
    <t>E-mail Office 365 - Falha</t>
  </si>
  <si>
    <t>Novo</t>
  </si>
  <si>
    <t>Incidente</t>
  </si>
  <si>
    <t>Não está sujeita a aprovação</t>
  </si>
  <si>
    <t>47 902</t>
  </si>
  <si>
    <t>Privilégio de acesso - Portal Ead/App</t>
  </si>
  <si>
    <t>Processando (atribuído)</t>
  </si>
  <si>
    <t>Concedida</t>
  </si>
  <si>
    <t>47 972</t>
  </si>
  <si>
    <t>Privilégio de acesso - Portal de solicitações de materiais</t>
  </si>
  <si>
    <t>47 348</t>
  </si>
  <si>
    <t>Intranet - Credencial de acesso</t>
  </si>
  <si>
    <t>47 969</t>
  </si>
  <si>
    <t>E-mail - Google - Redefinir senha</t>
  </si>
  <si>
    <t>47 968</t>
  </si>
  <si>
    <t>Lista de distribuição - Office365 - Alterar</t>
  </si>
  <si>
    <t>47 961</t>
  </si>
  <si>
    <t>Portal Ead/APP - Credencial de acesso</t>
  </si>
  <si>
    <t>47 962</t>
  </si>
  <si>
    <t>47 930</t>
  </si>
  <si>
    <t>47 948</t>
  </si>
  <si>
    <t>Privilégio de acesso - Lyceum</t>
  </si>
  <si>
    <t>47 966</t>
  </si>
  <si>
    <t>47 965</t>
  </si>
  <si>
    <t>Lyceum - Credencial de acesso</t>
  </si>
  <si>
    <t>47 749</t>
  </si>
  <si>
    <t>E-mail Office 365 - Alteração</t>
  </si>
  <si>
    <t>47 832</t>
  </si>
  <si>
    <t>47 837</t>
  </si>
  <si>
    <t>47 814</t>
  </si>
  <si>
    <t>E-mail Office 365 - Credencial de acesso</t>
  </si>
  <si>
    <t>47 958</t>
  </si>
  <si>
    <t>Sistemas / Portal Mundo Azul - Falha</t>
  </si>
  <si>
    <t>47 957</t>
  </si>
  <si>
    <t>47 956</t>
  </si>
  <si>
    <t>VPN - Falha</t>
  </si>
  <si>
    <t>47 952</t>
  </si>
  <si>
    <t>47 788</t>
  </si>
  <si>
    <t>47 693</t>
  </si>
  <si>
    <t>47 694</t>
  </si>
  <si>
    <t>47 949</t>
  </si>
  <si>
    <t>Pasta V: - Privilégios de acesso</t>
  </si>
  <si>
    <t>47 947</t>
  </si>
  <si>
    <t>47 935</t>
  </si>
  <si>
    <t>47 690</t>
  </si>
  <si>
    <t>47 946</t>
  </si>
  <si>
    <t>[EXTERNO]Admissão Unicesumar</t>
  </si>
  <si>
    <t>47 816</t>
  </si>
  <si>
    <t>VPN - Criar</t>
  </si>
  <si>
    <t>47 917</t>
  </si>
  <si>
    <t>Diretoria - TI &gt; Infraestrutura &gt; Infra - N1
CSTI Requerente</t>
  </si>
  <si>
    <t>47 940</t>
  </si>
  <si>
    <t>Habilitar Usuário - Colaborador Unicesumar</t>
  </si>
  <si>
    <t>47 918</t>
  </si>
  <si>
    <t>47 924</t>
  </si>
  <si>
    <t>47 896</t>
  </si>
  <si>
    <t>Portal de solicitações - Credencial de acesso</t>
  </si>
  <si>
    <t>47 937</t>
  </si>
  <si>
    <t>Impressora - PIN</t>
  </si>
  <si>
    <t>47 487</t>
  </si>
  <si>
    <t>Privilégio de acesso - Intranet</t>
  </si>
  <si>
    <t>47 863</t>
  </si>
  <si>
    <t>47 931</t>
  </si>
  <si>
    <t>47 928</t>
  </si>
  <si>
    <t>47 923</t>
  </si>
  <si>
    <t>Programas - Instalação</t>
  </si>
  <si>
    <t>47 692</t>
  </si>
  <si>
    <t>47 067</t>
  </si>
  <si>
    <t>47 569</t>
  </si>
  <si>
    <t>47 913</t>
  </si>
  <si>
    <t>Internet - Falha</t>
  </si>
  <si>
    <t>47 911</t>
  </si>
  <si>
    <t>47 779</t>
  </si>
  <si>
    <t>47 781</t>
  </si>
  <si>
    <t>47 782</t>
  </si>
  <si>
    <t>47 778</t>
  </si>
  <si>
    <t>47 777</t>
  </si>
  <si>
    <t>47 791</t>
  </si>
  <si>
    <t>47 897</t>
  </si>
  <si>
    <t>Pasta V - Falha</t>
  </si>
  <si>
    <t>Diretoria - TI &gt; Infraestrutura &gt; Sup. Remoto</t>
  </si>
  <si>
    <t>47 877</t>
  </si>
  <si>
    <t>Folha de Pagamento - Convenios RH diversos</t>
  </si>
  <si>
    <t>47 725</t>
  </si>
  <si>
    <t>E-mail Office 365 - Redefinir senha</t>
  </si>
  <si>
    <t>47 887</t>
  </si>
  <si>
    <t>E-mail Vitru - Redefinir senha</t>
  </si>
  <si>
    <t>CSTI Requerente
Colaborador - Comum</t>
  </si>
  <si>
    <t>47 879</t>
  </si>
  <si>
    <t>Sistemas / Outros sistemas - Falha</t>
  </si>
  <si>
    <t>47 835</t>
  </si>
  <si>
    <t>47 838</t>
  </si>
  <si>
    <t>47 871</t>
  </si>
  <si>
    <t>CSTI Requerente
Diretoria - MKT &gt; Site &gt; Site EAD</t>
  </si>
  <si>
    <t>47 860</t>
  </si>
  <si>
    <t>Acesso à internet - Site bloqueado</t>
  </si>
  <si>
    <t>47 481</t>
  </si>
  <si>
    <t>Muito alta</t>
  </si>
  <si>
    <t>47 826</t>
  </si>
  <si>
    <t>Usuário terceirizado - Criar</t>
  </si>
  <si>
    <t>Diretoria - TI &gt; Sistemas &gt; WEB
CSTI Requerente
Diretoria - TI &gt; Sistemas &gt; Universo EAD</t>
  </si>
  <si>
    <t>47 861</t>
  </si>
  <si>
    <t>E-mail - Lista de Distribuição - Office365 - Falha</t>
  </si>
  <si>
    <t>47 847</t>
  </si>
  <si>
    <t>Acesso à internet - Privilégio de acesso</t>
  </si>
  <si>
    <t>47 831</t>
  </si>
  <si>
    <t>47 654</t>
  </si>
  <si>
    <t>SPO - Redefinir senha</t>
  </si>
  <si>
    <t>47 675</t>
  </si>
  <si>
    <t>47 088</t>
  </si>
  <si>
    <t>Desabilitar / Bloquear usuário - Colaborador Unicesumar</t>
  </si>
  <si>
    <t>Diretoria - TI &gt; Infraestrutura &gt; Sup. Remoto
Diretoria - TI &gt; Infraestrutura &gt; SD
CSTI Requerente</t>
  </si>
  <si>
    <t>47 844</t>
  </si>
  <si>
    <t>47 841</t>
  </si>
  <si>
    <t>CSTI Requerente
Não possui aprovador</t>
  </si>
  <si>
    <t>47 833</t>
  </si>
  <si>
    <t>Privilégio de acesso - SPO</t>
  </si>
  <si>
    <t>47 822</t>
  </si>
  <si>
    <t>47 821</t>
  </si>
  <si>
    <t>47 175</t>
  </si>
  <si>
    <t>47 563</t>
  </si>
  <si>
    <t>45 270</t>
  </si>
  <si>
    <t>Privilégio de acesso - Desktop</t>
  </si>
  <si>
    <t>47 807</t>
  </si>
  <si>
    <t>47 796</t>
  </si>
  <si>
    <t>Privilégio de acesso - OutbuyCenter</t>
  </si>
  <si>
    <t>47 783</t>
  </si>
  <si>
    <t>47 480</t>
  </si>
  <si>
    <t>47 774</t>
  </si>
  <si>
    <t>47 767</t>
  </si>
  <si>
    <t>47 759</t>
  </si>
  <si>
    <t>47 747</t>
  </si>
  <si>
    <t>OutbuyCenter - Credencial de acesso</t>
  </si>
  <si>
    <t>45 392</t>
  </si>
  <si>
    <t>Sistemas / Intranet - Módulos - Diário Eletrônico - Falha</t>
  </si>
  <si>
    <t>47 354</t>
  </si>
  <si>
    <t>47 736</t>
  </si>
  <si>
    <t>47 716</t>
  </si>
  <si>
    <t>Sistemas / Lyceum - Falha</t>
  </si>
  <si>
    <t>47 717</t>
  </si>
  <si>
    <t>47 711</t>
  </si>
  <si>
    <t>Aplicativo - Atualizar</t>
  </si>
  <si>
    <t>47 710</t>
  </si>
  <si>
    <t>47 709</t>
  </si>
  <si>
    <t>47 708</t>
  </si>
  <si>
    <t>47 707</t>
  </si>
  <si>
    <t>Programas - Falha</t>
  </si>
  <si>
    <t>47 687</t>
  </si>
  <si>
    <t>47 679</t>
  </si>
  <si>
    <t>47 576</t>
  </si>
  <si>
    <t>47 670</t>
  </si>
  <si>
    <t>47 669</t>
  </si>
  <si>
    <t>47 664</t>
  </si>
  <si>
    <t>47 662</t>
  </si>
  <si>
    <t>47 659</t>
  </si>
  <si>
    <t>47 636</t>
  </si>
  <si>
    <t>46 608</t>
  </si>
  <si>
    <t>Portal Ead/APP - Bloqueio</t>
  </si>
  <si>
    <t>47 229</t>
  </si>
  <si>
    <t>47 230</t>
  </si>
  <si>
    <t>47 231</t>
  </si>
  <si>
    <t>47 233</t>
  </si>
  <si>
    <t>47 427</t>
  </si>
  <si>
    <t>47 637</t>
  </si>
  <si>
    <t>E-mail Office 365 - Suspender acesso</t>
  </si>
  <si>
    <t>47 618</t>
  </si>
  <si>
    <t>47 609</t>
  </si>
  <si>
    <t>47 573</t>
  </si>
  <si>
    <t>47 544</t>
  </si>
  <si>
    <t>46 027</t>
  </si>
  <si>
    <t>47 389</t>
  </si>
  <si>
    <t>47 561</t>
  </si>
  <si>
    <t>47 535</t>
  </si>
  <si>
    <t>E-mail - Google - Credencial de acesso</t>
  </si>
  <si>
    <t>47 540</t>
  </si>
  <si>
    <t>47 515</t>
  </si>
  <si>
    <t>47 492</t>
  </si>
  <si>
    <t>Sistemas / Portal de solicitações de materiais - Solicitação de melhoria</t>
  </si>
  <si>
    <t>47 052</t>
  </si>
  <si>
    <t>CSTI Requerente
Diretoria - TI &gt; Sistemas &gt; Medicina</t>
  </si>
  <si>
    <t>47 478</t>
  </si>
  <si>
    <t>47 054</t>
  </si>
  <si>
    <t>47 502</t>
  </si>
  <si>
    <t>47 358</t>
  </si>
  <si>
    <t>47 416</t>
  </si>
  <si>
    <t>46 702</t>
  </si>
  <si>
    <t>Recusado</t>
  </si>
  <si>
    <t>44 846</t>
  </si>
  <si>
    <t>47 482</t>
  </si>
  <si>
    <t>46 921</t>
  </si>
  <si>
    <t>47 422</t>
  </si>
  <si>
    <t>46 714</t>
  </si>
  <si>
    <t>47 308</t>
  </si>
  <si>
    <t>47 379</t>
  </si>
  <si>
    <t>VIPs
CSTI Requerente</t>
  </si>
  <si>
    <t>46 517</t>
  </si>
  <si>
    <t>46 818</t>
  </si>
  <si>
    <t>Programas - Atualização</t>
  </si>
  <si>
    <t>46 909</t>
  </si>
  <si>
    <t>47 355</t>
  </si>
  <si>
    <t>47 352</t>
  </si>
  <si>
    <t>46 682</t>
  </si>
  <si>
    <t>47 342</t>
  </si>
  <si>
    <t>47 325</t>
  </si>
  <si>
    <t>47 296</t>
  </si>
  <si>
    <t>47 134</t>
  </si>
  <si>
    <t>46 351</t>
  </si>
  <si>
    <t>46 971</t>
  </si>
  <si>
    <t>47 269</t>
  </si>
  <si>
    <t>Sistemas / OutbuyCenter - Solicitação de melhoria</t>
  </si>
  <si>
    <t>47 186</t>
  </si>
  <si>
    <t>47 185</t>
  </si>
  <si>
    <t>47 114</t>
  </si>
  <si>
    <t>47 263</t>
  </si>
  <si>
    <t>47 193</t>
  </si>
  <si>
    <t>47 213</t>
  </si>
  <si>
    <t>46 469</t>
  </si>
  <si>
    <t>47 148</t>
  </si>
  <si>
    <t>47 145</t>
  </si>
  <si>
    <t>47 130</t>
  </si>
  <si>
    <t>47 132</t>
  </si>
  <si>
    <t>47 141</t>
  </si>
  <si>
    <t>47 036</t>
  </si>
  <si>
    <t>Sistemas operacionais - Instalar</t>
  </si>
  <si>
    <t>47 100</t>
  </si>
  <si>
    <t>CSTI Requerente
Diretoria - TI &gt; Sistemas &gt; Universo EAD</t>
  </si>
  <si>
    <t>47 077</t>
  </si>
  <si>
    <t>47 081</t>
  </si>
  <si>
    <t>46 894</t>
  </si>
  <si>
    <t>46 983</t>
  </si>
  <si>
    <t>46 865</t>
  </si>
  <si>
    <t>46 830</t>
  </si>
  <si>
    <t>46 844</t>
  </si>
  <si>
    <t>46 761</t>
  </si>
  <si>
    <t>46 660</t>
  </si>
  <si>
    <t>46 685</t>
  </si>
  <si>
    <t>CSTI - Solicitação de Melhorias</t>
  </si>
  <si>
    <t>Diretoria - TI &gt; DADOS &gt; BI - DBA - DW - SQL
CSTI Requerente</t>
  </si>
  <si>
    <t>46 560</t>
  </si>
  <si>
    <t>Teams - Incluir</t>
  </si>
  <si>
    <t>46 607</t>
  </si>
  <si>
    <t>46 550</t>
  </si>
  <si>
    <t>Programas - Licenças de software - Transferir licença</t>
  </si>
  <si>
    <t>46 485</t>
  </si>
  <si>
    <t>46 437</t>
  </si>
  <si>
    <t>45 615</t>
  </si>
  <si>
    <t>46 268</t>
  </si>
  <si>
    <t>45 859</t>
  </si>
  <si>
    <t>45 877</t>
  </si>
  <si>
    <t>E-mail - Office 365 - Conta - Backup</t>
  </si>
  <si>
    <t>44 692</t>
  </si>
  <si>
    <t>45 085</t>
  </si>
  <si>
    <t>47 960</t>
  </si>
  <si>
    <t>Notebook - Formatar</t>
  </si>
  <si>
    <t>Diretoria - TI &gt; Infraestrutura &gt; Sup. Campo</t>
  </si>
  <si>
    <t>46 548</t>
  </si>
  <si>
    <t>47 234</t>
  </si>
  <si>
    <t>46 549</t>
  </si>
  <si>
    <t>46 544</t>
  </si>
  <si>
    <t>46 554</t>
  </si>
  <si>
    <t>46 207</t>
  </si>
  <si>
    <t>Hardware - Impressoras - Troca de suprimentos</t>
  </si>
  <si>
    <t>45 828</t>
  </si>
  <si>
    <t>Hardware - Impressoras - Falha</t>
  </si>
  <si>
    <t>46 924</t>
  </si>
  <si>
    <t>Hardware - Scanner - Instalação</t>
  </si>
  <si>
    <t>46 291</t>
  </si>
  <si>
    <t>47 903</t>
  </si>
  <si>
    <t>Hardware - Impressoras - Instalação</t>
  </si>
  <si>
    <t>47 933</t>
  </si>
  <si>
    <t>Hardware - Periféricos/Dispositivos e Acessórios - Aquisição</t>
  </si>
  <si>
    <t>47 384</t>
  </si>
  <si>
    <t>Desktop - Formatar</t>
  </si>
  <si>
    <t>47 944</t>
  </si>
  <si>
    <t>Hardware - Periféricos/Dispositivos e Acessórios - Empréstimo</t>
  </si>
  <si>
    <t>47 344</t>
  </si>
  <si>
    <t>47 040</t>
  </si>
  <si>
    <t>Desktop - Instalar</t>
  </si>
  <si>
    <t>47 731</t>
  </si>
  <si>
    <t>47 932</t>
  </si>
  <si>
    <t>47 915</t>
  </si>
  <si>
    <t>Hardware - Impressoras - Configuração</t>
  </si>
  <si>
    <t>47 892</t>
  </si>
  <si>
    <t>47 891</t>
  </si>
  <si>
    <t>Desktop - Falha</t>
  </si>
  <si>
    <t>40 063</t>
  </si>
  <si>
    <t>Notebook - Falha</t>
  </si>
  <si>
    <t>47 883</t>
  </si>
  <si>
    <t>46 449</t>
  </si>
  <si>
    <t>47 872</t>
  </si>
  <si>
    <t>47 873</t>
  </si>
  <si>
    <t>47 166</t>
  </si>
  <si>
    <t>47 161</t>
  </si>
  <si>
    <t>47 165</t>
  </si>
  <si>
    <t>Hardware - Impressoras - Aquisição</t>
  </si>
  <si>
    <t>47 310</t>
  </si>
  <si>
    <t>Notebook - Aquisição</t>
  </si>
  <si>
    <t>47 321</t>
  </si>
  <si>
    <t>47 802</t>
  </si>
  <si>
    <t>47 613</t>
  </si>
  <si>
    <t>47 311</t>
  </si>
  <si>
    <t>47 398</t>
  </si>
  <si>
    <t>47 612</t>
  </si>
  <si>
    <t>47 848</t>
  </si>
  <si>
    <t>Eventos - Alocação de Equipe</t>
  </si>
  <si>
    <t>44 699</t>
  </si>
  <si>
    <t>47 836</t>
  </si>
  <si>
    <t>47 825</t>
  </si>
  <si>
    <t>Equipamentos - Notebook - Falha</t>
  </si>
  <si>
    <t>Diretoria - TI &gt; DADOS &gt; BI - DBA - DW - SQL
Diretoria - TI &gt; DADOS &gt; DBO
CSTI Requerente</t>
  </si>
  <si>
    <t>47 824</t>
  </si>
  <si>
    <t>Notebook - Configurar</t>
  </si>
  <si>
    <t>46 450</t>
  </si>
  <si>
    <t>47 806</t>
  </si>
  <si>
    <t>46 845</t>
  </si>
  <si>
    <t>47 111</t>
  </si>
  <si>
    <t>47 773</t>
  </si>
  <si>
    <t>47 772</t>
  </si>
  <si>
    <t>47 758</t>
  </si>
  <si>
    <t>45 588</t>
  </si>
  <si>
    <t>Desktop - Substituir</t>
  </si>
  <si>
    <t>47 254</t>
  </si>
  <si>
    <t>46 640</t>
  </si>
  <si>
    <t>47 530</t>
  </si>
  <si>
    <t>47 742</t>
  </si>
  <si>
    <t>Desktop - Configurar</t>
  </si>
  <si>
    <t>47 668</t>
  </si>
  <si>
    <t>47 564</t>
  </si>
  <si>
    <t>E-mail - Configuração do e-mail no celular</t>
  </si>
  <si>
    <t>47 715</t>
  </si>
  <si>
    <t>Desktop - Movimentar</t>
  </si>
  <si>
    <t>47 688</t>
  </si>
  <si>
    <t>Ferramenta - Firewall - Antivírus - Configurar</t>
  </si>
  <si>
    <t>47 677</t>
  </si>
  <si>
    <t>47 228</t>
  </si>
  <si>
    <t>47 158</t>
  </si>
  <si>
    <t>47 601</t>
  </si>
  <si>
    <t>47 607</t>
  </si>
  <si>
    <t>47 622</t>
  </si>
  <si>
    <t>45 549</t>
  </si>
  <si>
    <t>47 597</t>
  </si>
  <si>
    <t>Hardware - Impressoras - Movimentação</t>
  </si>
  <si>
    <t>47 587</t>
  </si>
  <si>
    <t>46 659</t>
  </si>
  <si>
    <t>47 579</t>
  </si>
  <si>
    <t>46 263</t>
  </si>
  <si>
    <t>47 513</t>
  </si>
  <si>
    <t>Usuário - Efetivo - Falha</t>
  </si>
  <si>
    <t>47 567</t>
  </si>
  <si>
    <t>Hardware - Periféricos/Dispositivos e Acessórios - Falha</t>
  </si>
  <si>
    <t>44 586</t>
  </si>
  <si>
    <t>47 326</t>
  </si>
  <si>
    <t>47 562</t>
  </si>
  <si>
    <t>45 021</t>
  </si>
  <si>
    <t>47 023</t>
  </si>
  <si>
    <t>47 550</t>
  </si>
  <si>
    <t>46 926</t>
  </si>
  <si>
    <t>47 468</t>
  </si>
  <si>
    <t>47 457</t>
  </si>
  <si>
    <t>46 204</t>
  </si>
  <si>
    <t>46 211</t>
  </si>
  <si>
    <t>Ferramenta - Firewall - VPN - Ativar</t>
  </si>
  <si>
    <t>46 933</t>
  </si>
  <si>
    <t>47 116</t>
  </si>
  <si>
    <t>47 414</t>
  </si>
  <si>
    <t>47 413</t>
  </si>
  <si>
    <t>47 403</t>
  </si>
  <si>
    <t>47 365</t>
  </si>
  <si>
    <t>46 212</t>
  </si>
  <si>
    <t>47 381</t>
  </si>
  <si>
    <t>47 378</t>
  </si>
  <si>
    <t>45 846</t>
  </si>
  <si>
    <t>47 366</t>
  </si>
  <si>
    <t>47 357</t>
  </si>
  <si>
    <t>47 274</t>
  </si>
  <si>
    <t>47 299</t>
  </si>
  <si>
    <t>44 983</t>
  </si>
  <si>
    <t>44 450</t>
  </si>
  <si>
    <t>47 279</t>
  </si>
  <si>
    <t>Desktop - Emprestar</t>
  </si>
  <si>
    <t>47 003</t>
  </si>
  <si>
    <t>47 268</t>
  </si>
  <si>
    <t>Hardware - Scanner - Falha</t>
  </si>
  <si>
    <t>47 264</t>
  </si>
  <si>
    <t>45 528</t>
  </si>
  <si>
    <t>44 806</t>
  </si>
  <si>
    <t>47 216</t>
  </si>
  <si>
    <t>44 886</t>
  </si>
  <si>
    <t>47 171</t>
  </si>
  <si>
    <t>Desktop - Recolher</t>
  </si>
  <si>
    <t>47 115</t>
  </si>
  <si>
    <t>47 117</t>
  </si>
  <si>
    <t>47 072</t>
  </si>
  <si>
    <t>47 071</t>
  </si>
  <si>
    <t>47 084</t>
  </si>
  <si>
    <t>46 330</t>
  </si>
  <si>
    <t>Diretoria - TI &gt; Sistemas &gt; ACA
CSTI Requerente</t>
  </si>
  <si>
    <t>47 030</t>
  </si>
  <si>
    <t>47 020</t>
  </si>
  <si>
    <t>46 321</t>
  </si>
  <si>
    <t>46 996</t>
  </si>
  <si>
    <t>46 850</t>
  </si>
  <si>
    <t>45 564</t>
  </si>
  <si>
    <t>45 123</t>
  </si>
  <si>
    <t>45 079</t>
  </si>
  <si>
    <t>46 184</t>
  </si>
  <si>
    <t>45 577</t>
  </si>
  <si>
    <t>44 914</t>
  </si>
  <si>
    <t>46 358</t>
  </si>
  <si>
    <t>46 175</t>
  </si>
  <si>
    <t>46 336</t>
  </si>
  <si>
    <t>46 442</t>
  </si>
  <si>
    <t>46 361</t>
  </si>
  <si>
    <t>44 965</t>
  </si>
  <si>
    <t>43 788</t>
  </si>
  <si>
    <t>44 876</t>
  </si>
  <si>
    <t>41 014</t>
  </si>
  <si>
    <t>44 944</t>
  </si>
  <si>
    <t>46 873</t>
  </si>
  <si>
    <t>46 662</t>
  </si>
  <si>
    <t>46 867</t>
  </si>
  <si>
    <t>46 836</t>
  </si>
  <si>
    <t>46 828</t>
  </si>
  <si>
    <t>Hardware - Periféricos/Dispositivos e Acessórios - Instalação</t>
  </si>
  <si>
    <t>46 782</t>
  </si>
  <si>
    <t>46 781</t>
  </si>
  <si>
    <t>46 022</t>
  </si>
  <si>
    <t>46 736</t>
  </si>
  <si>
    <t>46 723</t>
  </si>
  <si>
    <t>46 721</t>
  </si>
  <si>
    <t>46 466</t>
  </si>
  <si>
    <t>Hardware - Periféricos/Dispositivos e Acessórios - Movimentação</t>
  </si>
  <si>
    <t>46 646</t>
  </si>
  <si>
    <t>46 593</t>
  </si>
  <si>
    <t>46 518</t>
  </si>
  <si>
    <t>46 505</t>
  </si>
  <si>
    <t>46 502</t>
  </si>
  <si>
    <t>46 495</t>
  </si>
  <si>
    <t>46 454</t>
  </si>
  <si>
    <t>46 417</t>
  </si>
  <si>
    <t>46 419</t>
  </si>
  <si>
    <t>45 004</t>
  </si>
  <si>
    <t>46 376</t>
  </si>
  <si>
    <t>46 367</t>
  </si>
  <si>
    <t>46 281</t>
  </si>
  <si>
    <t>46 079</t>
  </si>
  <si>
    <t>46 059</t>
  </si>
  <si>
    <t>46 040</t>
  </si>
  <si>
    <t>46 037</t>
  </si>
  <si>
    <t>45 887</t>
  </si>
  <si>
    <t>45 885</t>
  </si>
  <si>
    <t>45 827</t>
  </si>
  <si>
    <t>45 755</t>
  </si>
  <si>
    <t>45 726</t>
  </si>
  <si>
    <t>Notebook - Substituir</t>
  </si>
  <si>
    <t>45 242</t>
  </si>
  <si>
    <t>45 643</t>
  </si>
  <si>
    <t>45 627</t>
  </si>
  <si>
    <t>45 535</t>
  </si>
  <si>
    <t>44 631</t>
  </si>
  <si>
    <t>Equipamentos - Desktop - Falha</t>
  </si>
  <si>
    <t>35 126</t>
  </si>
  <si>
    <t>45 003</t>
  </si>
  <si>
    <t>38 155</t>
  </si>
  <si>
    <t>44 135</t>
  </si>
  <si>
    <t>Chromebook - Substituir</t>
  </si>
  <si>
    <t>44 136</t>
  </si>
  <si>
    <t>41 913</t>
  </si>
  <si>
    <t>Criado por</t>
  </si>
  <si>
    <t xml:space="preserve">Criado por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</si>
</sst>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0" borderId="0" xfId="0" applyFont="1"/>
    <xf numFmtId="14" fontId="1" fillId="0" borderId="0" xfId="0" applyNumberFormat="1" applyFont="1"/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14" fontId="0" fillId="0" borderId="0" xfId="0" applyNumberFormat="1" applyProtection="1">
      <protection locked="0"/>
    </xf>
    <xf numFmtId="165" fontId="0" fillId="0" borderId="1" xfId="0" applyNumberFormat="1" applyBorder="1" applyProtection="1">
      <protection locked="0"/>
    </xf>
    <xf numFmtId="165" fontId="0" fillId="0" borderId="5" xfId="0" applyNumberFormat="1" applyBorder="1" applyProtection="1">
      <protection locked="0"/>
    </xf>
    <xf numFmtId="0" fontId="0" fillId="0" borderId="2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164" fontId="0" fillId="0" borderId="1" xfId="0" applyNumberFormat="1" applyBorder="1" applyAlignment="1" applyProtection="1">
      <protection locked="0"/>
    </xf>
    <xf numFmtId="164" fontId="0" fillId="0" borderId="5" xfId="0" applyNumberFormat="1" applyBorder="1" applyAlignment="1" applyProtection="1">
      <protection locked="0"/>
    </xf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164" fontId="0" fillId="0" borderId="1" xfId="0" applyNumberFormat="1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NumberFormat="1" applyBorder="1" applyProtection="1">
      <protection locked="0"/>
    </xf>
    <xf numFmtId="1" fontId="0" fillId="0" borderId="1" xfId="0" applyNumberFormat="1" applyBorder="1" applyProtection="1">
      <protection locked="0"/>
    </xf>
    <xf numFmtId="0" fontId="0" fillId="0" borderId="1" xfId="0" pivotButton="1" applyBorder="1" applyProtection="1">
      <protection locked="0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100"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m/d/yyyy\ 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m/d/yyyy\ h:mm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m/d/yyyy\ 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4" formatCode="m/d/yyyy\ 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165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 Fernandes" refreshedDate="44887.858311111115" createdVersion="6" refreshedVersion="8" minRefreshableVersion="3" recordCount="179" xr:uid="{00000000-000A-0000-FFFF-FFFF1B000000}">
  <cacheSource type="worksheet">
    <worksheetSource name="Tabela4"/>
  </cacheSource>
  <cacheFields count="12">
    <cacheField name="ID" numFmtId="0">
      <sharedItems/>
    </cacheField>
    <cacheField name="Título" numFmtId="0">
      <sharedItems containsBlank="1" count="160">
        <s v="Notebook - Formatar"/>
        <s v="Hardware - Impressoras - Troca de suprimentos"/>
        <s v="Hardware - Impressoras - Falha"/>
        <s v="Hardware - Scanner - Instalação"/>
        <s v="Hardware - Impressoras - Instalação"/>
        <s v="Hardware - Periféricos/Dispositivos e Acessórios - Aquisição"/>
        <s v="Desktop - Formatar"/>
        <s v="Hardware - Periféricos/Dispositivos e Acessórios - Empréstimo"/>
        <s v="Desktop - Instalar"/>
        <s v="Hardware - Impressoras - Configuração"/>
        <s v="Desktop - Falha"/>
        <s v="Notebook - Falha"/>
        <s v="Privilégio de acesso - Desktop"/>
        <s v="Hardware - Impressoras - Aquisição"/>
        <s v="Notebook - Aquisição"/>
        <s v="Eventos - Alocação de Equipe"/>
        <s v="Equipamentos - Notebook - Falha"/>
        <s v="Notebook - Configurar"/>
        <s v="VPN - Criar"/>
        <s v="Desktop - Substituir"/>
        <s v="E-mail - Office 365 - Conta - Backup"/>
        <s v="Desktop - Configurar"/>
        <s v="E-mail - Configuração do e-mail no celular"/>
        <s v="Desktop - Movimentar"/>
        <s v="Ferramenta - Firewall - Antivírus - Configurar"/>
        <s v="Sistemas / Outros sistemas - Falha"/>
        <s v="Acesso à internet - Site bloqueado"/>
        <s v="Hardware - Impressoras - Movimentação"/>
        <s v="Usuário - Efetivo - Falha"/>
        <s v="Hardware - Periféricos/Dispositivos e Acessórios - Falha"/>
        <s v="Sistemas operacionais - Instalar"/>
        <s v="Programas - Instalação"/>
        <s v="Ferramenta - Firewall - VPN - Ativar"/>
        <s v="E-mail Office 365 - Falha"/>
        <s v="Desktop - Emprestar"/>
        <s v="Hardware - Scanner - Falha"/>
        <s v="Desktop - Recolher"/>
        <s v="Programas - Falha"/>
        <s v="Hardware - Periféricos/Dispositivos e Acessórios - Instalação"/>
        <s v="Hardware - Periféricos/Dispositivos e Acessórios - Movimentação"/>
        <s v="Programas - Atualização"/>
        <s v="Internet - Falha"/>
        <s v="Notebook - Substituir"/>
        <s v="Equipamentos - Desktop - Falha"/>
        <s v="Chromebook - Substituir"/>
        <m u="1"/>
        <s v="Rede Dominio - Desktop - Incluir" u="1"/>
        <s v="Hardware - Scanner - Empréstimo" u="1"/>
        <s v="Sistemas / Intranet - Módulos - Painel Frequências - Falha" u="1"/>
        <s v="Notebook - Recolher" u="1"/>
        <s v="Sistemas / Portal APP - Dúvida" u="1"/>
        <s v="Ferramenta - Firewall - VPN - Configurar" u="1"/>
        <s v="Servidores - Backup" u="1"/>
        <s v="E-mail - Office 365 - Conta - Restore" u="1"/>
        <s v="Centro de Custo - AD" u="1"/>
        <s v="Portal Ead/APP - Bloqueio" u="1"/>
        <s v="Certificados - Instalar" u="1"/>
        <s v="Sistemas / Lyceum - Financeiro - Processos" u="1"/>
        <s v="GID - Falha" u="1"/>
        <s v="Chromebook - Instalar" u="1"/>
        <s v="Sistemas / SPO - Dúvida" u="1"/>
        <s v="Notebook - Instalar" u="1"/>
        <s v="Sistemas / Intranet - Módulos - Plano de ensino - Relatórios - Falha" u="1"/>
        <s v="Usuário terceirizado - Criar" u="1"/>
        <s v="Aplicativo - Falha" u="1"/>
        <s v="Sistemas / Senior - Falha" u="1"/>
        <s v="Hardware - Scanner - Configuração" u="1"/>
        <s v="Senior - Credencial de acesso" u="1"/>
        <s v="Portal Mundo Azul - Credencial de acesso" u="1"/>
        <s v="Pasta V: - Privilégios de acesso" u="1"/>
        <s v="Lyceum - Credencial de acesso" u="1"/>
        <s v="CSTI - Falhas" u="1"/>
        <s v="Privilégio de acesso - SPO" u="1"/>
        <s v="Hardware - Periféricos/Dispositivos e Acessórios - Remoção" u="1"/>
        <s v="Lyceum - Redefinir senha" u="1"/>
        <s v="Admissão Unicesumar" u="1"/>
        <s v="VPN - Falha" u="1"/>
        <s v="Portal Ead/APP - Credencial de acesso" u="1"/>
        <s v="E-mail - Lista de distribuição - Office365 - Criar" u="1"/>
        <s v="Sistemas / Lyceum - Financeiro - Pagamento - Falha" u="1"/>
        <s v="Privilégio de acesso - Portal Ead/App" u="1"/>
        <s v="E-mail - Lista de distribuição - Office365 - Incluir" u="1"/>
        <s v="Programas - Licenças de software - Transferir licença" u="1"/>
        <s v="Tablet - Recolher" u="1"/>
        <s v="E-mail - Lista de Distribuição - Office365 - Falha" u="1"/>
        <s v="Sistemas / Lyceum - Serviços - Processos" u="1"/>
        <s v="E-mail - Google - Conta - Falha" u="1"/>
        <s v="Programas - Licenças de software - Aquisição de software" u="1"/>
        <s v="Privilégio de acesso - GID" u="1"/>
        <s v="Aplicativo - Instalar" u="1"/>
        <s v="Wifi-Voucher" u="1"/>
        <s v="Privilégios de acesso - CSTI" u="1"/>
        <s v="E-mail - Office 365 - Conta - Suspender acesso" u="1"/>
        <s v="Hardware - Impressoras - Remoção" u="1"/>
        <s v="Aplicativo - Configurar" u="1"/>
        <s v="Sistemas / Lyceum - Solicitação de melhoria" u="1"/>
        <s v="Impressora - PIN" u="1"/>
        <s v="Sistemas / Portal Ead - Módulos - Comercial - Processo Seletivo - Campanhas" u="1"/>
        <s v="AD - Configurar" u="1"/>
        <s v="Acesso à internet - Privilégio de acesso Wi-fi" u="1"/>
        <s v="Pasta V - Falha" u="1"/>
        <s v="Teams - Incluir" u="1"/>
        <s v="Pasta V: - Modificar acesso" u="1"/>
        <s v="Ferramenta - Firewall - Antivírus - Ativar" u="1"/>
        <s v="Privilégio de acesso - Portal de solicitações de materiais" u="1"/>
        <s v="E-mail - Lista de distribuição - Office365 - Alterar" u="1"/>
        <s v="Privilégio de acesso - Portal Mundo Azul" u="1"/>
        <s v="Sistemas / Intranet - Intranet Módulos - Banco de questões - Alterar" u="1"/>
        <s v="Salas de Reunião - Alterar" u="1"/>
        <s v="E-mail - Office365 - Conta - Falha" u="1"/>
        <s v="Programas - Licenças de software - Renovar licença" u="1"/>
        <s v="Sistemas / Lyceum - Falha" u="1"/>
        <s v="Privilégio de acesso - Intranet" u="1"/>
        <s v="Sistemas operacionais - Configurar" u="1"/>
        <s v="Hardware - Scanner - Movimentação" u="1"/>
        <s v="Acesso à internet - Privilégio de acesso" u="1"/>
        <s v="VPN - Alterar" u="1"/>
        <s v="Notebook - Movimentar" u="1"/>
        <s v="Portal Ead/APP - Redefinir senha" u="1"/>
        <s v="Sistemas / Portal de solicitações de materiais - Solicitação de melhoria" u="1"/>
        <s v="Studeo - Web - GRADUAÇÃO EAD Falha" u="1"/>
        <s v="Privilégio de acesso - Lyceum" u="1"/>
        <s v="E-mail - Google - Conta - Credencial de acesso" u="1"/>
        <s v="Sistemas / Portal Ead - Falha" u="1"/>
        <s v="Portal de colaboradores - Acesso" u="1"/>
        <s v="Privilégio de acesso - Senior" u="1"/>
        <s v="Habilitar colaborador desligado" u="1"/>
        <s v="Privilégio de acesso - OutbuyCenter" u="1"/>
        <s v="Sistemas / Portal Mundo Azul - Falha" u="1"/>
        <s v="Equipamentos - Tablet - Falha" u="1"/>
        <s v="Privilégio de acesso - Totvs" u="1"/>
        <s v="Hardware - Periféricos/Dispositivos e Acessórios - Configuração" u="1"/>
        <s v="Intranet - Redefinir Senha" u="1"/>
        <s v="Totvs - Credencial de acesso" u="1"/>
        <s v="Desabilitar / Bloquear usuário - Colaborador Unicesumar" u="1"/>
        <s v="E-mail - Goole - Conta - Backup" u="1"/>
        <s v="Usuário - Genérico" u="1"/>
        <s v="Intranet - Credencial de acesso" u="1"/>
        <s v="Tablet - Aquisição" u="1"/>
        <s v="Certificados - Atualizar" u="1"/>
        <s v="E-mail - Google - Conta - Redefinir senha" u="1"/>
        <s v="E-mail - Office 365 - Conta - Redefinir senha" u="1"/>
        <s v="Portal de solicitações - Credencial de acesso" u="1"/>
        <s v="Sistemas / Portal APP - Falha" u="1"/>
        <s v="Sistemas / Intranet - Módulos - Banco de questões - Falha" u="1"/>
        <s v="E-mail - Office 365 - Conta - Credencial de acesso" u="1"/>
        <s v="Sistemas / Portal Ead - Módulos - Relatórios - Criar" u="1"/>
        <s v="Sistemas / Portal de solicitações - Falha" u="1"/>
        <s v="Totvs - Redefinir Senha" u="1"/>
        <s v="SPO - Credencial de acesso" u="1"/>
        <s v="Folha de Pagamento - Convenios RH diversos" u="1"/>
        <s v="AD - Perfil de acesso - Configurar" u="1"/>
        <s v="Notebook - Emprestar" u="1"/>
        <s v="Gid - Credencial de acesso" u="1"/>
        <s v="Desktop - Aquisição" u="1"/>
        <s v="Hardware - Impressoras - Empréstimo" u="1"/>
        <s v="Chromebook - Recolher" u="1"/>
        <s v="Aplicativo - Atualizar" u="1"/>
        <s v="E-mail - Office 365 - Conta - Alteração" u="1"/>
        <s v="Atualização de Versão - Todos os módulos" u="1"/>
      </sharedItems>
    </cacheField>
    <cacheField name="Status" numFmtId="0">
      <sharedItems/>
    </cacheField>
    <cacheField name="Data de abertura" numFmtId="22">
      <sharedItems containsSemiMixedTypes="0" containsNonDate="0" containsDate="1" containsString="0" minDate="2022-04-12T11:34:00" maxDate="2022-11-22T14:54:00"/>
    </cacheField>
    <cacheField name="Requerente - Grupo requerente" numFmtId="0">
      <sharedItems containsBlank="1"/>
    </cacheField>
    <cacheField name="Atribuído para - Grupo técnico" numFmtId="0">
      <sharedItems/>
    </cacheField>
    <cacheField name="Última atualização" numFmtId="22">
      <sharedItems containsSemiMixedTypes="0" containsNonDate="0" containsDate="1" containsString="0" minDate="2022-08-30T15:01:00" maxDate="2022-11-22T15:00:00"/>
    </cacheField>
    <cacheField name="Tipo" numFmtId="0">
      <sharedItems/>
    </cacheField>
    <cacheField name="Aprovação - Aprovação" numFmtId="0">
      <sharedItems/>
    </cacheField>
    <cacheField name="Prioridade" numFmtId="0">
      <sharedItems/>
    </cacheField>
    <cacheField name="Aging" numFmtId="164">
      <sharedItems containsSemiMixedTypes="0" containsNonDate="0" containsDate="1" containsString="0" minDate="1899-12-30T05:41:34" maxDate="1900-08-11T09:01:34"/>
    </cacheField>
    <cacheField name="Aging Mod" numFmtId="164">
      <sharedItems containsSemiMixedTypes="0" containsNonDate="0" containsDate="1" containsString="0" minDate="1899-12-30T05:35:34" maxDate="1900-03-24T05:34: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 Fernandes" refreshedDate="44887.858312152777" createdVersion="6" refreshedVersion="8" minRefreshableVersion="3" recordCount="185" xr:uid="{00000000-000A-0000-FFFF-FFFF18000000}">
  <cacheSource type="worksheet">
    <worksheetSource name="Tabela3"/>
  </cacheSource>
  <cacheFields count="12">
    <cacheField name="ID" numFmtId="0">
      <sharedItems/>
    </cacheField>
    <cacheField name="Título" numFmtId="0">
      <sharedItems containsBlank="1" count="189">
        <s v="Título"/>
        <s v="Privilégios de acesso - CSTI"/>
        <s v="E-mail Office 365 - Falha"/>
        <s v="Privilégio de acesso - Portal Ead/App"/>
        <s v="Privilégio de acesso - Portal de solicitações de materiais"/>
        <s v="Intranet - Credencial de acesso"/>
        <s v="E-mail - Google - Redefinir senha"/>
        <s v="Lista de distribuição - Office365 - Alterar"/>
        <s v="Portal Ead/APP - Credencial de acesso"/>
        <s v="Privilégio de acesso - Lyceum"/>
        <s v="Lyceum - Credencial de acesso"/>
        <s v="E-mail Office 365 - Alteração"/>
        <s v="E-mail Office 365 - Credencial de acesso"/>
        <s v="Sistemas / Portal Mundo Azul - Falha"/>
        <s v="VPN - Falha"/>
        <s v="Pasta V: - Privilégios de acesso"/>
        <s v="[EXTERNO]Admissão Unicesumar"/>
        <s v="VPN - Criar"/>
        <s v="Habilitar Usuário - Colaborador Unicesumar"/>
        <s v="Portal de solicitações - Credencial de acesso"/>
        <s v="Impressora - PIN"/>
        <s v="Privilégio de acesso - Intranet"/>
        <s v="Programas - Instalação"/>
        <s v="Internet - Falha"/>
        <s v="Pasta V - Falha"/>
        <s v="Folha de Pagamento - Convenios RH diversos"/>
        <s v="E-mail Office 365 - Redefinir senha"/>
        <s v="E-mail Vitru - Redefinir senha"/>
        <s v="Sistemas / Outros sistemas - Falha"/>
        <s v="Acesso à internet - Site bloqueado"/>
        <s v="Usuário terceirizado - Criar"/>
        <s v="E-mail - Lista de Distribuição - Office365 - Falha"/>
        <s v="Acesso à internet - Privilégio de acesso"/>
        <s v="SPO - Redefinir senha"/>
        <s v="Desabilitar / Bloquear usuário - Colaborador Unicesumar"/>
        <s v="Privilégio de acesso - SPO"/>
        <s v="Privilégio de acesso - Desktop"/>
        <s v="Privilégio de acesso - OutbuyCenter"/>
        <s v="OutbuyCenter - Credencial de acesso"/>
        <s v="Sistemas / Intranet - Módulos - Diário Eletrônico - Falha"/>
        <s v="Sistemas / Lyceum - Falha"/>
        <s v="Aplicativo - Atualizar"/>
        <s v="Programas - Falha"/>
        <s v="Portal Ead/APP - Bloqueio"/>
        <s v="E-mail Office 365 - Suspender acesso"/>
        <s v="E-mail - Google - Credencial de acesso"/>
        <s v="Sistemas / Portal de solicitações de materiais - Solicitação de melhoria"/>
        <s v="Programas - Atualização"/>
        <s v="Sistemas / OutbuyCenter - Solicitação de melhoria"/>
        <s v="Sistemas operacionais - Instalar"/>
        <s v="CSTI - Solicitação de Melhorias"/>
        <s v="Teams - Incluir"/>
        <s v="Programas - Licenças de software - Transferir licença"/>
        <s v="E-mail - Office 365 - Conta - Backup"/>
        <s v="Programas - Dúvidas na utilização" u="1"/>
        <m u="1"/>
        <s v="Hardware - Periféricos/Dispositivos e Acessórios - Instalação" u="1"/>
        <s v="Desktop - Instalar" u="1"/>
        <s v="Rede Dominio - Desktop - Incluir" u="1"/>
        <s v="Ferramenta - Firewall - VPN - Ativar" u="1"/>
        <s v="Sistemas / Intranet - Intranet Módulos - Projeto Cientifico - Criar" u="1"/>
        <s v="Sistemas / Intranet - Intranet Módulos - Banco de questões - Dúvidas" u="1"/>
        <s v="Desktop - Configurar" u="1"/>
        <s v="Sistemas / Intranet - Módulos - Painel Frequências - Falha" u="1"/>
        <s v="Notebook - Falha" u="1"/>
        <s v="Lista de distribuição - Office365 - Criar" u="1"/>
        <s v="Notebook - Recolher" u="1"/>
        <s v="Equipamentos - Notebook - Falha" u="1"/>
        <s v="Sistemas / Portal APP - Dúvida" u="1"/>
        <s v="Ferramenta - Firewall - VPN - Configurar" u="1"/>
        <s v="Desktop - Formatar" u="1"/>
        <s v="Sistemas / GID - Relatório pontual" u="1"/>
        <s v="E-mail - Office 365 - Conta - Restore" u="1"/>
        <s v="Centro de Custo - AD" u="1"/>
        <s v="AD - Grupos de compartilhamento - Configurar" u="1"/>
        <s v="Desktop - Movimentar" u="1"/>
        <s v="Usuário - Efetivo - Falha" u="1"/>
        <s v="E-mail - Anti-Spam - Microsoft - Liberar" u="1"/>
        <s v="Teams - Alterar" u="1"/>
        <s v="Sistemas / Lyceum - Financeiro - Processos" u="1"/>
        <s v="GID - Falha" u="1"/>
        <s v="Sistemas / SPO - Dúvida" u="1"/>
        <s v="Portal de solicitações - Redefinir senha" u="1"/>
        <s v="Notebook - Instalar" u="1"/>
        <s v="Sistemas / Intranet - Módulos - Plano de ensino - Relatórios - Falha" u="1"/>
        <s v="Aplicativo - Falha" u="1"/>
        <s v="Sistemas / Senior - Falha" u="1"/>
        <s v="Notebook - Substituir" u="1"/>
        <s v="Hardware - Scanner - Configuração" u="1"/>
        <s v="Senior - Credencial de acesso" u="1"/>
        <s v="Portal Mundo Azul - Credencial de acesso" u="1"/>
        <s v="Sistemas / Portal Ead - Módulos - Comercial - Processo Seletivo - Inscrições" u="1"/>
        <s v="Hardware - Impressoras - Configuração" u="1"/>
        <s v="CSTI - Falhas" u="1"/>
        <s v="Lista de distribuição - Office365 - Remover" u="1"/>
        <s v="Senior - Redefinir senha" u="1"/>
        <s v="AD - Falha" u="1"/>
        <s v="Hardware - Periféricos/Dispositivos e Acessórios - Remoção" u="1"/>
        <s v="Notebook - Configurar" u="1"/>
        <s v="Lyceum - Redefinir senha" u="1"/>
        <s v="Admissão Unicesumar" u="1"/>
        <s v="Hardware - Impressoras - Falha" u="1"/>
        <s v="E-mail - Lista de distribuição - Office365 - Criar" u="1"/>
        <s v="Sistemas / Lyceum - Financeiro - Pagamento - Falha" u="1"/>
        <s v="E-mail - Lista de distribuição - Office365 - Incluir" u="1"/>
        <s v="Tablet - Recolher" u="1"/>
        <s v="AD - Perfil de acesso - Falha" u="1"/>
        <s v="Desktop - Recolher" u="1"/>
        <s v="Portal de solicitações - Bloqueio" u="1"/>
        <s v="Sistemas / Lyceum - Serviços - Processos" u="1"/>
        <s v="Desktop - Emprestar" u="1"/>
        <s v="Notebook - Formatar" u="1"/>
        <s v="E-mail - Google - Conta - Falha" u="1"/>
        <s v="Privilégio de acesso - GID" u="1"/>
        <s v="Aplicativo - Instalar" u="1"/>
        <s v="Wifi-Voucher" u="1"/>
        <s v="Hardware - Impressoras - Troca de suprimentos" u="1"/>
        <s v="E-mail - Office 365 - Conta - Suspender acesso" u="1"/>
        <s v="Aplicativo - Configurar" u="1"/>
        <s v="Sistemas / Lyceum - Solicitação de melhoria" u="1"/>
        <s v="Sistemas / Portal Ead - Módulos - Comercial - Processo Seletivo - Campanhas" u="1"/>
        <s v="Hardware - Scanner - Instalação" u="1"/>
        <s v="AD - Configurar" u="1"/>
        <s v="Acesso à internet - Privilégio de acesso Wi-fi" u="1"/>
        <s v="E-mail - Lista de distribuição - Office365 - Remover" u="1"/>
        <s v="Intranet - Bloqueio" u="1"/>
        <s v="Pasta V: - Modificar acesso" u="1"/>
        <s v="E-mail - Lista de distribuição - Office365 - Alterar" u="1"/>
        <s v="Privilégio de acesso - Portal Mundo Azul" u="1"/>
        <s v="SPO - Bloqueio" u="1"/>
        <s v="Hardware - Periféricos/Dispositivos e Acessórios - Falha" u="1"/>
        <s v="Equipamentos - Desktop - Falha" u="1"/>
        <s v="Sistemas / Intranet - Intranet Módulos - Banco de questões - Alterar" u="1"/>
        <s v="Desktop - Falha" u="1"/>
        <s v="Salas de Reunião - Alterar" u="1"/>
        <s v="E-mail - Office365 - Conta - Falha" u="1"/>
        <s v="AD - Logs de acessos - Configurar" u="1"/>
        <s v="Sistemas operacionais - Configurar" u="1"/>
        <s v="Sistemas / Portal Ead - Módulos - Comercial - Negociação" u="1"/>
        <s v="VPN - Alterar" u="1"/>
        <s v="Notebook - Movimentar" u="1"/>
        <s v="Portal Ead/APP - Redefinir senha" u="1"/>
        <s v="Studeo - Web - GRADUAÇÃO EAD Dúvida" u="1"/>
        <s v="E-mail - Google - Conta - Credencial de acesso" u="1"/>
        <s v="Sistemas / Portal Ead - Falha" u="1"/>
        <s v="Sistemas / Intranet - Módulos - Cielo/Getnet - Falha" u="1"/>
        <s v="Sistemas / SPO - Falha" u="1"/>
        <s v="Portal de colaboradores - Acesso" u="1"/>
        <s v="Privilégio de acesso - Senior" u="1"/>
        <s v="Habilitar colaborador desligado" u="1"/>
        <s v="Lista de distribuição - Office365 - Incluir" u="1"/>
        <s v="Hardware - Scanner - Falha" u="1"/>
        <s v="Git - Usuário efetivo - Configurar" u="1"/>
        <s v="Privilégio de acesso - Totvs" u="1"/>
        <s v="Hardware - Periféricos/Dispositivos e Acessórios - Configuração" u="1"/>
        <s v="E-mail - Configuração do e-mail no celular" u="1"/>
        <s v="Intranet - Redefinir Senha" u="1"/>
        <s v="Sistemas / Intranet - Intranet Módulos - Acadêmico - Alterar" u="1"/>
        <s v="Totvs - Credencial de acesso" u="1"/>
        <s v="Hardware - Periféricos/Dispositivos e Acessórios - Aquisição" u="1"/>
        <s v="E-mail - Goole - Conta - Backup" u="1"/>
        <s v="Usuário - Genérico" u="1"/>
        <s v="Usuário - Efetivo" u="1"/>
        <s v="Hardware - Impressoras - Aquisição" u="1"/>
        <s v="Sistemas / Portal de solicitações de materiais - Dúvida" u="1"/>
        <s v="Sistemas / OutbuyCenter - Falha" u="1"/>
        <s v="E-mail - Google - Conta - Redefinir senha" u="1"/>
        <s v="E-mail - Office 365 - Conta - Redefinir senha" u="1"/>
        <s v="Hardware - Impressoras - Instalação" u="1"/>
        <s v="Sistemas / Portal APP - Falha" u="1"/>
        <s v="Hardware - Periféricos/Dispositivos e Acessórios - Movimentação" u="1"/>
        <s v="Sistemas / Intranet - Módulos - Banco de questões - Falha" u="1"/>
        <s v="E-mail - Office 365 - Conta - Credencial de acesso" u="1"/>
        <s v="Sistemas / Lyceum - Hades - Falha" u="1"/>
        <s v="Sistemas / Portal Ead - Módulos - Relatórios - Criar" u="1"/>
        <s v="Sistemas / Portal de solicitações - Falha" u="1"/>
        <s v="Totvs - Redefinir Senha" u="1"/>
        <s v="SPO - Credencial de acesso" u="1"/>
        <s v="Sistemas / Portal EAD - Módulos - Relatórios - Falha" u="1"/>
        <s v="AD - Perfil de acesso - Configurar" u="1"/>
        <s v="Notebook - Emprestar" u="1"/>
        <s v="Gid - Credencial de acesso" u="1"/>
        <s v="Desktop - Aquisição" u="1"/>
        <s v="Desktop - Substituir" u="1"/>
        <s v="Chromebook - Recolher" u="1"/>
        <s v="Hardware - Impressoras - Movimentação" u="1"/>
        <s v="Chromebook - Substituir" u="1"/>
        <s v="E-mail - Office 365 - Conta - Alteração" u="1"/>
        <s v="Atualização de Versão - Todos os módulos" u="1"/>
      </sharedItems>
    </cacheField>
    <cacheField name="Status" numFmtId="0">
      <sharedItems/>
    </cacheField>
    <cacheField name="Data de abertura" numFmtId="0">
      <sharedItems containsDate="1" containsMixedTypes="1" minDate="2022-09-22T15:49:00" maxDate="2022-11-22T19:31:00"/>
    </cacheField>
    <cacheField name="Requerente - Grupo requerente" numFmtId="0">
      <sharedItems/>
    </cacheField>
    <cacheField name="Atribuído para - Grupo técnico" numFmtId="0">
      <sharedItems/>
    </cacheField>
    <cacheField name="Última atualização" numFmtId="0">
      <sharedItems containsDate="1" containsMixedTypes="1" minDate="2022-10-04T11:41:00" maxDate="2022-11-22T19:31:00"/>
    </cacheField>
    <cacheField name="Tipo" numFmtId="0">
      <sharedItems/>
    </cacheField>
    <cacheField name="Aprovação - Aprovação" numFmtId="0">
      <sharedItems/>
    </cacheField>
    <cacheField name="Prioridade" numFmtId="0">
      <sharedItems/>
    </cacheField>
    <cacheField name="Aging" numFmtId="164">
      <sharedItems containsDate="1" containsMixedTypes="1" minDate="1899-12-30T01:04:34" maxDate="1900-03-01T04:46:34"/>
    </cacheField>
    <cacheField name="Aging Mod" numFmtId="164">
      <sharedItems containsDate="1" containsMixedTypes="1" minDate="1899-12-30T01:04:34" maxDate="1900-02-17T08:54: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 Fernandes" refreshedDate="44887.858312962962" createdVersion="6" refreshedVersion="8" minRefreshableVersion="3" recordCount="52" xr:uid="{00000000-000A-0000-FFFF-FFFF15000000}">
  <cacheSource type="worksheet">
    <worksheetSource name="Tabela2"/>
  </cacheSource>
  <cacheFields count="8">
    <cacheField name="Atividade" numFmtId="0">
      <sharedItems containsBlank="1" count="14">
        <s v="CSTI - Instalar e configurar scanner para Secretaria Acadêmica Digital e Provas Digitais"/>
        <s v="CSTI - Requisição do Certificado Digital"/>
        <m u="1"/>
        <s v="CSTI - Regularizar acesso Mundo Azul" u="1"/>
        <s v="CSTI - Atender Dúvida" u="1"/>
        <s v="CSTI - Validar teste" u="1"/>
        <s v="CSTI - Alterar e-mail" u="1"/>
        <s v="CSTI - Criar e-mail para o colaborador" u="1"/>
        <s v="CSTI - Inserir/Alterar e-mail do colaborador no grupo de e-mail do polo" u="1"/>
        <s v="CSTI - Requisição do Certificado Digital (fluxo de instalação)" u="1"/>
        <s v="CSTI - Reavaliar teste" u="1"/>
        <s v="CSTI - Redefinir Senha" u="1"/>
        <s v="CSTI - Bloquear usuário" u="1"/>
        <s v="CSTI - Criar e-mail e associar ao grupo do Polo" u="1"/>
      </sharedItems>
    </cacheField>
    <cacheField name="seed" numFmtId="0">
      <sharedItems containsSemiMixedTypes="0" containsString="0" containsNumber="1" containsInteger="1" minValue="1419677" maxValue="3791990"/>
    </cacheField>
    <cacheField name="polo" numFmtId="0">
      <sharedItems/>
    </cacheField>
    <cacheField name="Data de criação" numFmtId="14">
      <sharedItems containsSemiMixedTypes="0" containsNonDate="0" containsDate="1" containsString="0" minDate="2020-11-18T00:00:00" maxDate="2022-11-23T00:00:00"/>
    </cacheField>
    <cacheField name="Data de última atualização" numFmtId="14">
      <sharedItems containsSemiMixedTypes="0" containsNonDate="0" containsDate="1" containsString="0" minDate="2022-09-12T00:00:00" maxDate="2022-11-23T00:00:00"/>
    </cacheField>
    <cacheField name="Quantidade de Seeds" numFmtId="0">
      <sharedItems containsSemiMixedTypes="0" containsString="0" containsNumber="1" containsInteger="1" minValue="1" maxValue="1"/>
    </cacheField>
    <cacheField name="Aging" numFmtId="165">
      <sharedItems containsSemiMixedTypes="0" containsNonDate="0" containsDate="1" containsString="0" minDate="1899-12-30T20:35:34" maxDate="1902-01-03T20:35:34"/>
    </cacheField>
    <cacheField name="Aging Mod" numFmtId="165">
      <sharedItems containsSemiMixedTypes="0" containsNonDate="0" containsDate="1" containsString="0" minDate="1899-12-30T20:35:34" maxDate="1900-03-11T20:35: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s v="47 960"/>
    <x v="0"/>
    <s v="Processando (atribuído)"/>
    <d v="2022-11-22T14:54:00"/>
    <s v="CSTI Requerente"/>
    <s v="Diretoria - TI &gt; Infraestrutura &gt; Sup. Campo"/>
    <d v="2022-11-22T15:00:00"/>
    <s v="Requisição"/>
    <s v="Não está sujeita a aprovação"/>
    <s v="Baixa"/>
    <d v="1899-12-30T05:41:34"/>
    <d v="1899-12-30T05:35:34"/>
  </r>
  <r>
    <s v="46 548"/>
    <x v="0"/>
    <s v="Processando (atribuído)"/>
    <d v="2022-10-28T14:30:00"/>
    <s v="CSTI Requerente"/>
    <s v="Diretoria - TI &gt; Infraestrutura &gt; Sup. Campo"/>
    <d v="2022-11-22T14:50:00"/>
    <s v="Requisição"/>
    <s v="Não está sujeita a aprovação"/>
    <s v="Baixa"/>
    <d v="1900-01-24T06:05:34"/>
    <d v="1899-12-30T05:45:34"/>
  </r>
  <r>
    <s v="47 234"/>
    <x v="0"/>
    <s v="Processando (atribuído)"/>
    <d v="2022-11-08T16:29:00"/>
    <s v="CSTI Requerente_x000a_Colaborador - Comum"/>
    <s v="Diretoria - TI &gt; Infraestrutura &gt; Sup. Campo"/>
    <d v="2022-11-22T14:48:00"/>
    <s v="Requisição"/>
    <s v="Não está sujeita a aprovação"/>
    <s v="Baixa"/>
    <d v="1900-01-13T04:06:34"/>
    <d v="1899-12-30T05:47:34"/>
  </r>
  <r>
    <s v="46 549"/>
    <x v="0"/>
    <s v="Processando (atribuído)"/>
    <d v="2022-10-28T14:35:00"/>
    <s v="CSTI Requerente"/>
    <s v="Diretoria - TI &gt; Infraestrutura &gt; Sup. Campo"/>
    <d v="2022-11-22T14:44:00"/>
    <s v="Requisição"/>
    <s v="Não está sujeita a aprovação"/>
    <s v="Baixa"/>
    <d v="1900-01-24T06:00:34"/>
    <d v="1899-12-30T05:51:34"/>
  </r>
  <r>
    <s v="46 544"/>
    <x v="0"/>
    <s v="Processando (atribuído)"/>
    <d v="2022-10-28T14:23:00"/>
    <s v="CSTI Requerente"/>
    <s v="Diretoria - TI &gt; Infraestrutura &gt; Sup. Campo"/>
    <d v="2022-11-22T14:41:00"/>
    <s v="Requisição"/>
    <s v="Não está sujeita a aprovação"/>
    <s v="Baixa"/>
    <d v="1900-01-24T06:12:34"/>
    <d v="1899-12-30T05:54:34"/>
  </r>
  <r>
    <s v="46 554"/>
    <x v="0"/>
    <s v="Processando (atribuído)"/>
    <d v="2022-10-28T14:42:00"/>
    <s v="CSTI Requerente"/>
    <s v="Diretoria - TI &gt; Infraestrutura &gt; Sup. Campo"/>
    <d v="2022-11-22T14:40:00"/>
    <s v="Requisição"/>
    <s v="Não está sujeita a aprovação"/>
    <s v="Baixa"/>
    <d v="1900-01-24T05:53:34"/>
    <d v="1899-12-30T05:55:34"/>
  </r>
  <r>
    <s v="46 207"/>
    <x v="1"/>
    <s v="Processando (atribuído)"/>
    <d v="2022-10-24T10:42:00"/>
    <s v="CSTI Requerente"/>
    <s v="Diretoria - TI &gt; Infraestrutura &gt; Sup. Campo"/>
    <d v="2022-11-22T14:39:00"/>
    <s v="Requisição"/>
    <s v="Não está sujeita a aprovação"/>
    <s v="Baixa"/>
    <d v="1900-01-28T09:53:34"/>
    <d v="1899-12-30T05:56:34"/>
  </r>
  <r>
    <s v="45 828"/>
    <x v="2"/>
    <s v="Processando (atribuído)"/>
    <d v="2022-10-17T14:23:00"/>
    <s v="CSTI Requerente"/>
    <s v="Diretoria - TI &gt; Infraestrutura &gt; Sup. Campo"/>
    <d v="2022-11-22T14:30:00"/>
    <s v="Incidente"/>
    <s v="Não está sujeita a aprovação"/>
    <s v="Baixa"/>
    <d v="1900-02-04T06:12:34"/>
    <d v="1899-12-30T06:05:34"/>
  </r>
  <r>
    <s v="46 924"/>
    <x v="3"/>
    <s v="Novo"/>
    <d v="2022-11-04T15:02:00"/>
    <s v="CSTI Requerente"/>
    <s v="Diretoria - TI &gt; Infraestrutura &gt; Sup. Campo"/>
    <d v="2022-11-22T14:18:00"/>
    <s v="Requisição"/>
    <s v="Não está sujeita a aprovação"/>
    <s v="Baixa"/>
    <d v="1900-01-17T05:33:34"/>
    <d v="1899-12-30T06:17:34"/>
  </r>
  <r>
    <s v="46 291"/>
    <x v="1"/>
    <s v="Processando (atribuído)"/>
    <d v="2022-10-25T10:51:00"/>
    <s v="CSTI Requerente"/>
    <s v="Diretoria - TI &gt; Infraestrutura &gt; Sup. Campo"/>
    <d v="2022-11-22T14:17:00"/>
    <s v="Requisição"/>
    <s v="Não está sujeita a aprovação"/>
    <s v="Baixa"/>
    <d v="1900-01-27T09:44:34"/>
    <d v="1899-12-30T06:18:34"/>
  </r>
  <r>
    <s v="47 903"/>
    <x v="4"/>
    <s v="Novo"/>
    <d v="2022-11-21T18:55:00"/>
    <s v="CSTI Requerente"/>
    <s v="Diretoria - TI &gt; Infraestrutura &gt; Sup. Campo"/>
    <d v="2022-11-22T14:16:00"/>
    <s v="Requisição"/>
    <s v="Não está sujeita a aprovação"/>
    <s v="Baixa"/>
    <d v="1899-12-31T01:40:34"/>
    <d v="1899-12-30T06:19:34"/>
  </r>
  <r>
    <s v="47 933"/>
    <x v="5"/>
    <s v="Processando (atribuído)"/>
    <d v="2022-11-22T10:51:00"/>
    <s v="CSTI Requerente"/>
    <s v="Diretoria - TI &gt; Infraestrutura &gt; Sup. Campo"/>
    <d v="2022-11-22T14:04:00"/>
    <s v="Requisição"/>
    <s v="Esperando por uma validação"/>
    <s v="Baixa"/>
    <d v="1899-12-30T09:44:34"/>
    <d v="1899-12-30T06:31:34"/>
  </r>
  <r>
    <s v="47 384"/>
    <x v="6"/>
    <s v="Processando (atribuído)"/>
    <d v="2022-11-10T15:39:00"/>
    <s v="CSTI Requerente_x000a_Diretoria - TI &gt; Sistemas &gt; Medicina"/>
    <s v="Diretoria - TI &gt; Infraestrutura &gt; Sup. Campo"/>
    <d v="2022-11-22T11:53:00"/>
    <s v="Requisição"/>
    <s v="Não está sujeita a aprovação"/>
    <s v="Baixa"/>
    <d v="1900-01-11T04:56:34"/>
    <d v="1899-12-30T08:42:34"/>
  </r>
  <r>
    <s v="47 944"/>
    <x v="7"/>
    <s v="Novo"/>
    <d v="2022-11-22T11:48:00"/>
    <s v="CSTI Requerente"/>
    <s v="Diretoria - TI &gt; Infraestrutura &gt; Sup. Campo"/>
    <d v="2022-11-22T11:48:00"/>
    <s v="Requisição"/>
    <s v="Não está sujeita a aprovação"/>
    <s v="Baixa"/>
    <d v="1899-12-30T08:47:34"/>
    <d v="1899-12-30T08:47:34"/>
  </r>
  <r>
    <s v="47 344"/>
    <x v="6"/>
    <s v="Processando (atribuído)"/>
    <d v="2022-11-10T10:06:00"/>
    <s v="CSTI Requerente"/>
    <s v="Diretoria - TI &gt; Infraestrutura &gt; Sup. Campo"/>
    <d v="2022-11-22T11:48:00"/>
    <s v="Requisição"/>
    <s v="Não está sujeita a aprovação"/>
    <s v="Baixa"/>
    <d v="1900-01-11T10:29:34"/>
    <d v="1899-12-30T08:47:34"/>
  </r>
  <r>
    <s v="47 040"/>
    <x v="8"/>
    <s v="Processando (atribuído)"/>
    <d v="2022-11-07T12:47:00"/>
    <s v="CSTI Requerente"/>
    <s v="Diretoria - TI &gt; Infraestrutura &gt; Sup. Campo"/>
    <d v="2022-11-22T11:46:00"/>
    <s v="Requisição"/>
    <s v="Não está sujeita a aprovação"/>
    <s v="Baixa"/>
    <d v="1900-01-14T07:48:34"/>
    <d v="1899-12-30T08:49:34"/>
  </r>
  <r>
    <s v="47 731"/>
    <x v="5"/>
    <s v="Processando (atribuído)"/>
    <d v="2022-11-17T17:13:00"/>
    <s v="CSTI Requerente"/>
    <s v="Diretoria - TI &gt; Infraestrutura &gt; Sup. Campo"/>
    <d v="2022-11-22T11:17:00"/>
    <s v="Requisição"/>
    <s v="Concedida"/>
    <s v="Baixa"/>
    <d v="1900-01-04T03:22:34"/>
    <d v="1899-12-30T09:18:34"/>
  </r>
  <r>
    <s v="47 932"/>
    <x v="2"/>
    <s v="Processando (atribuído)"/>
    <d v="2022-11-22T10:48:00"/>
    <s v="CSTI Requerente"/>
    <s v="Diretoria - TI &gt; Infraestrutura &gt; Sup. Campo"/>
    <d v="2022-11-22T10:53:00"/>
    <s v="Incidente"/>
    <s v="Não está sujeita a aprovação"/>
    <s v="Baixa"/>
    <d v="1899-12-30T09:47:34"/>
    <d v="1899-12-30T09:42:34"/>
  </r>
  <r>
    <s v="47 915"/>
    <x v="9"/>
    <s v="Novo"/>
    <d v="2022-11-22T09:44:00"/>
    <s v="CSTI Requerente"/>
    <s v="Diretoria - TI &gt; Infraestrutura &gt; Sup. Campo"/>
    <d v="2022-11-22T10:52:00"/>
    <s v="Requisição"/>
    <s v="Não está sujeita a aprovação"/>
    <s v="Baixa"/>
    <d v="1899-12-30T10:51:34"/>
    <d v="1899-12-30T09:43:34"/>
  </r>
  <r>
    <s v="47 892"/>
    <x v="6"/>
    <s v="Novo"/>
    <d v="2022-11-21T16:44:00"/>
    <s v="CSTI Requerente_x000a_Diretoria - TI &gt; Sistemas &gt; Medicina"/>
    <s v="Diretoria - TI &gt; Infraestrutura &gt; Sup. Campo"/>
    <d v="2022-11-21T16:44:00"/>
    <s v="Requisição"/>
    <s v="Não está sujeita a aprovação"/>
    <s v="Baixa"/>
    <d v="1899-12-31T03:51:34"/>
    <d v="1899-12-31T03:51:34"/>
  </r>
  <r>
    <s v="47 891"/>
    <x v="10"/>
    <s v="Novo"/>
    <d v="2022-11-21T16:14:00"/>
    <s v="CSTI Requerente"/>
    <s v="Diretoria - TI &gt; Infraestrutura &gt; Sup. Campo"/>
    <d v="2022-11-21T16:14:00"/>
    <s v="Incidente"/>
    <s v="Não está sujeita a aprovação"/>
    <s v="Baixa"/>
    <d v="1899-12-31T04:21:34"/>
    <d v="1899-12-31T04:21:34"/>
  </r>
  <r>
    <s v="40 063"/>
    <x v="11"/>
    <s v="Processando (atribuído)"/>
    <d v="2022-07-01T08:38:00"/>
    <s v="CSTI Requerente"/>
    <s v="Diretoria - TI &gt; Infraestrutura &gt; Sup. Campo"/>
    <d v="2022-11-21T15:50:00"/>
    <s v="Incidente"/>
    <s v="Não está sujeita a aprovação"/>
    <s v="Baixa"/>
    <d v="1900-05-23T11:57:34"/>
    <d v="1899-12-31T04:45:34"/>
  </r>
  <r>
    <s v="47 883"/>
    <x v="12"/>
    <s v="Pendente"/>
    <d v="2022-11-21T15:39:00"/>
    <s v="CSTI Requerente_x000a_Não possui aprovador"/>
    <s v="Diretoria - TI &gt; Infraestrutura &gt; Sup. Campo"/>
    <d v="2022-11-21T15:39:00"/>
    <s v="Requisição"/>
    <s v="Não está sujeita a aprovação"/>
    <s v="Baixa"/>
    <d v="1899-12-31T04:56:34"/>
    <d v="1899-12-31T04:56:34"/>
  </r>
  <r>
    <s v="46 449"/>
    <x v="0"/>
    <s v="Processando (atribuído)"/>
    <d v="2022-10-27T11:58:00"/>
    <s v="CSTI Requerente"/>
    <s v="Diretoria - TI &gt; Infraestrutura &gt; Sup. Campo"/>
    <d v="2022-11-21T14:32:00"/>
    <s v="Requisição"/>
    <s v="Não está sujeita a aprovação"/>
    <s v="Baixa"/>
    <d v="1900-01-25T08:37:34"/>
    <d v="1899-12-31T06:03:34"/>
  </r>
  <r>
    <s v="47 872"/>
    <x v="11"/>
    <s v="Processando (atribuído)"/>
    <d v="2022-11-21T13:54:00"/>
    <s v="CSTI Requerente"/>
    <s v="Diretoria - TI &gt; Infraestrutura &gt; Sup. Campo"/>
    <d v="2022-11-21T14:25:00"/>
    <s v="Incidente"/>
    <s v="Não está sujeita a aprovação"/>
    <s v="Baixa"/>
    <d v="1899-12-31T06:41:34"/>
    <d v="1899-12-31T06:10:34"/>
  </r>
  <r>
    <s v="47 873"/>
    <x v="10"/>
    <s v="Novo"/>
    <d v="2022-11-21T14:01:00"/>
    <s v="CSTI Requerente"/>
    <s v="Diretoria - TI &gt; Infraestrutura &gt; Sup. Campo"/>
    <d v="2022-11-21T14:01:00"/>
    <s v="Incidente"/>
    <s v="Não está sujeita a aprovação"/>
    <s v="Baixa"/>
    <d v="1899-12-31T06:34:34"/>
    <d v="1899-12-31T06:34:34"/>
  </r>
  <r>
    <s v="47 166"/>
    <x v="5"/>
    <s v="Pendente"/>
    <d v="2022-11-08T11:11:00"/>
    <s v="CSTI Requerente"/>
    <s v="Diretoria - TI &gt; Infraestrutura &gt; Sup. Campo"/>
    <d v="2022-11-21T11:04:00"/>
    <s v="Requisição"/>
    <s v="Concedida"/>
    <s v="Baixa"/>
    <d v="1900-01-13T09:24:34"/>
    <d v="1899-12-31T09:31:34"/>
  </r>
  <r>
    <s v="47 161"/>
    <x v="5"/>
    <s v="Pendente"/>
    <d v="2022-11-08T10:52:00"/>
    <s v="CSTI Requerente"/>
    <s v="Diretoria - TI &gt; Infraestrutura &gt; Sup. Campo"/>
    <d v="2022-11-21T11:03:00"/>
    <s v="Requisição"/>
    <s v="Não está sujeita a aprovação"/>
    <s v="Baixa"/>
    <d v="1900-01-13T09:43:34"/>
    <d v="1899-12-31T09:32:34"/>
  </r>
  <r>
    <s v="47 165"/>
    <x v="13"/>
    <s v="Pendente"/>
    <d v="2022-11-08T11:05:00"/>
    <s v="CSTI Requerente"/>
    <s v="Diretoria - TI &gt; Infraestrutura &gt; Sup. Campo"/>
    <d v="2022-11-21T11:02:00"/>
    <s v="Requisição"/>
    <s v="Concedida"/>
    <s v="Baixa"/>
    <d v="1900-01-13T09:30:34"/>
    <d v="1899-12-31T09:33:34"/>
  </r>
  <r>
    <s v="47 310"/>
    <x v="14"/>
    <s v="Processando (atribuído)"/>
    <d v="2022-11-09T17:23:00"/>
    <s v="CSTI Requerente"/>
    <s v="Diretoria - TI &gt; Infraestrutura &gt; Sup. Campo"/>
    <d v="2022-11-21T10:57:00"/>
    <s v="Requisição"/>
    <s v="Concedida"/>
    <s v="Baixa"/>
    <d v="1900-01-12T03:12:34"/>
    <d v="1899-12-31T09:38:34"/>
  </r>
  <r>
    <s v="47 321"/>
    <x v="14"/>
    <s v="Processando (atribuído)"/>
    <d v="2022-11-09T18:43:00"/>
    <s v="CSTI Requerente"/>
    <s v="Diretoria - TI &gt; Infraestrutura &gt; Sup. Campo"/>
    <d v="2022-11-21T10:56:00"/>
    <s v="Requisição"/>
    <s v="Não está sujeita a aprovação"/>
    <s v="Baixa"/>
    <d v="1900-01-12T01:52:34"/>
    <d v="1899-12-31T09:39:34"/>
  </r>
  <r>
    <s v="47 802"/>
    <x v="14"/>
    <s v="Pendente"/>
    <d v="2022-11-18T16:01:00"/>
    <s v="CSTI Requerente_x000a_Não possui aprovador"/>
    <s v="Diretoria - TI &gt; Infraestrutura &gt; Sup. Campo"/>
    <d v="2022-11-21T10:48:00"/>
    <s v="Requisição"/>
    <s v="Concedida"/>
    <s v="Baixa"/>
    <d v="1900-01-03T04:34:34"/>
    <d v="1899-12-31T09:47:34"/>
  </r>
  <r>
    <s v="47 613"/>
    <x v="5"/>
    <s v="Processando (atribuído)"/>
    <d v="2022-11-16T12:25:00"/>
    <s v="CSTI Requerente"/>
    <s v="Diretoria - TI &gt; Infraestrutura &gt; Sup. Campo"/>
    <d v="2022-11-21T10:43:00"/>
    <s v="Requisição"/>
    <s v="Concedida"/>
    <s v="Baixa"/>
    <d v="1900-01-05T08:10:34"/>
    <d v="1899-12-31T09:52:34"/>
  </r>
  <r>
    <s v="47 311"/>
    <x v="14"/>
    <s v="Processando (atribuído)"/>
    <d v="2022-11-09T17:25:00"/>
    <s v="CSTI Requerente"/>
    <s v="Diretoria - TI &gt; Infraestrutura &gt; Sup. Campo"/>
    <d v="2022-11-21T10:32:00"/>
    <s v="Requisição"/>
    <s v="Concedida"/>
    <s v="Baixa"/>
    <d v="1900-01-12T03:10:34"/>
    <d v="1899-12-31T10:03:34"/>
  </r>
  <r>
    <s v="47 398"/>
    <x v="5"/>
    <s v="Processando (atribuído)"/>
    <d v="2022-11-10T16:32:00"/>
    <s v="CSTI Requerente"/>
    <s v="Diretoria - TI &gt; Infraestrutura &gt; Sup. Campo"/>
    <d v="2022-11-21T10:30:00"/>
    <s v="Requisição"/>
    <s v="Concedida"/>
    <s v="Baixa"/>
    <d v="1900-01-11T04:03:34"/>
    <d v="1899-12-31T10:05:34"/>
  </r>
  <r>
    <s v="47 612"/>
    <x v="5"/>
    <s v="Processando (atribuído)"/>
    <d v="2022-11-16T12:15:00"/>
    <s v="CSTI Requerente"/>
    <s v="Diretoria - TI &gt; Infraestrutura &gt; Sup. Campo"/>
    <d v="2022-11-21T10:25:00"/>
    <s v="Requisição"/>
    <s v="Esperando por uma validação"/>
    <s v="Baixa"/>
    <d v="1900-01-05T08:20:34"/>
    <d v="1899-12-31T10:10:34"/>
  </r>
  <r>
    <s v="47 848"/>
    <x v="15"/>
    <s v="Pendente"/>
    <d v="2022-11-21T10:01:00"/>
    <s v="CSTI Requerente"/>
    <s v="Diretoria - TI &gt; Infraestrutura &gt; Sup. Campo"/>
    <d v="2022-11-21T10:01:00"/>
    <s v="Requisição"/>
    <s v="Esperando por uma validação"/>
    <s v="Baixa"/>
    <d v="1899-12-31T10:34:34"/>
    <d v="1899-12-31T10:34:34"/>
  </r>
  <r>
    <s v="44 699"/>
    <x v="0"/>
    <s v="Processando (atribuído)"/>
    <d v="2022-09-22T17:02:00"/>
    <s v="CSTI Requerente"/>
    <s v="Diretoria - TI &gt; Infraestrutura &gt; Sup. Campo"/>
    <d v="2022-11-21T09:26:00"/>
    <s v="Requisição"/>
    <s v="Não está sujeita a aprovação"/>
    <s v="Baixa"/>
    <d v="1900-03-01T03:33:34"/>
    <d v="1899-12-31T11:09:34"/>
  </r>
  <r>
    <s v="47 836"/>
    <x v="2"/>
    <s v="Novo"/>
    <d v="2022-11-21T09:11:00"/>
    <s v="CSTI Requerente"/>
    <s v="Diretoria - TI &gt; Infraestrutura &gt; Sup. Campo"/>
    <d v="2022-11-21T09:11:00"/>
    <s v="Incidente"/>
    <s v="Não está sujeita a aprovação"/>
    <s v="Baixa"/>
    <d v="1899-12-31T11:24:34"/>
    <d v="1899-12-31T11:24:34"/>
  </r>
  <r>
    <s v="47 825"/>
    <x v="16"/>
    <s v="Novo"/>
    <d v="2022-11-21T08:45:00"/>
    <s v="Diretoria - TI &gt; DADOS &gt; BI - DBA - DW - SQL_x000a_Diretoria - TI &gt; DADOS &gt; DBO_x000a_CSTI Requerente"/>
    <s v="Diretoria - TI &gt; Infraestrutura &gt; Sup. Campo"/>
    <d v="2022-11-21T08:45:00"/>
    <s v="Incidente"/>
    <s v="Não está sujeita a aprovação"/>
    <s v="Baixa"/>
    <d v="1899-12-31T11:50:34"/>
    <d v="1899-12-31T11:50:34"/>
  </r>
  <r>
    <s v="47 824"/>
    <x v="17"/>
    <s v="Novo"/>
    <d v="2022-11-21T08:45:00"/>
    <s v="Diretoria - TI &gt; DADOS &gt; BI - DBA - DW - SQL_x000a_CSTI Requerente"/>
    <s v="Diretoria - TI &gt; Infraestrutura &gt; Sup. Campo"/>
    <d v="2022-11-21T08:45:00"/>
    <s v="Requisição"/>
    <s v="Não está sujeita a aprovação"/>
    <s v="Baixa"/>
    <d v="1899-12-31T11:50:34"/>
    <d v="1899-12-31T11:50:34"/>
  </r>
  <r>
    <s v="46 450"/>
    <x v="6"/>
    <s v="Processando (atribuído)"/>
    <d v="2022-10-27T12:07:00"/>
    <s v="CSTI Requerente"/>
    <s v="Diretoria - TI &gt; Infraestrutura &gt; Sup. Campo"/>
    <d v="2022-11-21T08:00:00"/>
    <s v="Requisição"/>
    <s v="Não está sujeita a aprovação"/>
    <s v="Baixa"/>
    <d v="1900-01-25T08:28:34"/>
    <d v="1899-12-31T12:35:34"/>
  </r>
  <r>
    <s v="47 806"/>
    <x v="13"/>
    <s v="Pendente"/>
    <d v="2022-11-18T16:33:00"/>
    <s v="CSTI Requerente"/>
    <s v="Diretoria - TI &gt; Infraestrutura &gt; Sup. Campo"/>
    <d v="2022-11-18T17:10:00"/>
    <s v="Requisição"/>
    <s v="Concedida"/>
    <s v="Baixa"/>
    <d v="1900-01-03T04:02:34"/>
    <d v="1900-01-03T03:25:34"/>
  </r>
  <r>
    <s v="46 845"/>
    <x v="6"/>
    <s v="Processando (atribuído)"/>
    <d v="2022-11-03T17:01:00"/>
    <s v="CSTI Requerente"/>
    <s v="Diretoria - TI &gt; Infraestrutura &gt; Sup. Campo"/>
    <d v="2022-11-18T14:38:00"/>
    <s v="Requisição"/>
    <s v="Não está sujeita a aprovação"/>
    <s v="Baixa"/>
    <d v="1900-01-18T03:34:34"/>
    <d v="1900-01-03T05:57:34"/>
  </r>
  <r>
    <s v="47 111"/>
    <x v="18"/>
    <s v="Processando (atribuído)"/>
    <d v="2022-11-07T16:40:00"/>
    <m/>
    <s v="Diretoria - TI &gt; Infraestrutura &gt; Sup. Campo"/>
    <d v="2022-11-18T14:00:00"/>
    <s v="Requisição"/>
    <s v="Não está sujeita a aprovação"/>
    <s v="Baixa"/>
    <d v="1900-01-14T03:55:34"/>
    <d v="1900-01-03T06:35:34"/>
  </r>
  <r>
    <s v="47 773"/>
    <x v="6"/>
    <s v="Novo"/>
    <d v="2022-11-18T11:26:00"/>
    <s v="CSTI Requerente"/>
    <s v="Diretoria - TI &gt; Infraestrutura &gt; Sup. Campo"/>
    <d v="2022-11-18T11:26:00"/>
    <s v="Requisição"/>
    <s v="Não está sujeita a aprovação"/>
    <s v="Baixa"/>
    <d v="1900-01-03T09:09:34"/>
    <d v="1900-01-03T09:09:34"/>
  </r>
  <r>
    <s v="47 772"/>
    <x v="6"/>
    <s v="Novo"/>
    <d v="2022-11-18T11:24:00"/>
    <s v="CSTI Requerente"/>
    <s v="Diretoria - TI &gt; Infraestrutura &gt; Sup. Campo"/>
    <d v="2022-11-18T11:24:00"/>
    <s v="Requisição"/>
    <s v="Não está sujeita a aprovação"/>
    <s v="Baixa"/>
    <d v="1900-01-03T09:11:34"/>
    <d v="1900-01-03T09:11:34"/>
  </r>
  <r>
    <s v="47 758"/>
    <x v="10"/>
    <s v="Novo"/>
    <d v="2022-11-18T10:13:00"/>
    <s v="CSTI Requerente"/>
    <s v="Diretoria - TI &gt; Infraestrutura &gt; Sup. Campo"/>
    <d v="2022-11-18T10:13:00"/>
    <s v="Incidente"/>
    <s v="Não está sujeita a aprovação"/>
    <s v="Baixa"/>
    <d v="1900-01-03T10:22:34"/>
    <d v="1900-01-03T10:22:34"/>
  </r>
  <r>
    <s v="45 588"/>
    <x v="19"/>
    <s v="Processando (atribuído)"/>
    <d v="2022-10-11T11:46:00"/>
    <s v="CSTI Requerente"/>
    <s v="Diretoria - TI &gt; Infraestrutura &gt; Sup. Campo"/>
    <d v="2022-11-18T10:12:00"/>
    <s v="Requisição"/>
    <s v="Não está sujeita a aprovação"/>
    <s v="Baixa"/>
    <d v="1900-02-10T08:49:34"/>
    <d v="1900-01-03T10:23:34"/>
  </r>
  <r>
    <s v="47 254"/>
    <x v="4"/>
    <s v="Processando (atribuído)"/>
    <d v="2022-11-08T17:52:00"/>
    <s v="CSTI Requerente"/>
    <s v="Diretoria - TI &gt; Infraestrutura &gt; Sup. Campo"/>
    <d v="2022-11-18T10:06:00"/>
    <s v="Requisição"/>
    <s v="Não está sujeita a aprovação"/>
    <s v="Baixa"/>
    <d v="1900-01-13T02:43:34"/>
    <d v="1900-01-03T10:29:34"/>
  </r>
  <r>
    <s v="46 640"/>
    <x v="20"/>
    <s v="Processando (atribuído)"/>
    <d v="2022-11-01T08:10:00"/>
    <s v="CSTI Requerente"/>
    <s v="Diretoria - TI &gt; Infraestrutura &gt; Sup. Campo"/>
    <d v="2022-11-18T10:03:00"/>
    <s v="Incidente"/>
    <s v="Não está sujeita a aprovação"/>
    <s v="Baixa"/>
    <d v="1900-01-20T12:25:34"/>
    <d v="1900-01-03T10:32:34"/>
  </r>
  <r>
    <s v="47 530"/>
    <x v="0"/>
    <s v="Novo"/>
    <d v="2022-11-14T11:16:00"/>
    <s v="CSTI Requerente"/>
    <s v="Diretoria - TI &gt; Infraestrutura &gt; Sup. Campo"/>
    <d v="2022-11-18T08:53:00"/>
    <s v="Requisição"/>
    <s v="Não está sujeita a aprovação"/>
    <s v="Baixa"/>
    <d v="1900-01-07T09:19:34"/>
    <d v="1900-01-03T11:42:34"/>
  </r>
  <r>
    <s v="47 742"/>
    <x v="21"/>
    <s v="Novo"/>
    <d v="2022-11-18T08:08:00"/>
    <s v="CSTI Requerente"/>
    <s v="Diretoria - TI &gt; Infraestrutura &gt; Sup. Campo"/>
    <d v="2022-11-18T08:10:00"/>
    <s v="Requisição"/>
    <s v="Não está sujeita a aprovação"/>
    <s v="Baixa"/>
    <d v="1900-01-03T12:27:34"/>
    <d v="1900-01-03T12:25:34"/>
  </r>
  <r>
    <s v="47 668"/>
    <x v="1"/>
    <s v="Processando (atribuído)"/>
    <d v="2022-11-17T08:09:00"/>
    <s v="CSTI Requerente"/>
    <s v="Diretoria - TI &gt; Infraestrutura &gt; Sup. Campo"/>
    <d v="2022-11-18T07:11:00"/>
    <s v="Requisição"/>
    <s v="Não está sujeita a aprovação"/>
    <s v="Baixa"/>
    <d v="1900-01-04T12:26:34"/>
    <d v="1900-01-03T13:24:34"/>
  </r>
  <r>
    <s v="47 564"/>
    <x v="22"/>
    <s v="Novo"/>
    <d v="2022-11-14T16:10:00"/>
    <s v="CSTI Requerente"/>
    <s v="Diretoria - TI &gt; Infraestrutura &gt; Sup. Campo"/>
    <d v="2022-11-17T13:45:00"/>
    <s v="Requisição"/>
    <s v="Não está sujeita a aprovação"/>
    <s v="Baixa"/>
    <d v="1900-01-07T04:25:34"/>
    <d v="1900-01-04T06:50:34"/>
  </r>
  <r>
    <s v="47 715"/>
    <x v="23"/>
    <s v="Novo"/>
    <d v="2022-11-17T13:23:00"/>
    <s v="CSTI Requerente"/>
    <s v="Diretoria - TI &gt; Infraestrutura &gt; Sup. Campo"/>
    <d v="2022-11-17T13:23:00"/>
    <s v="Requisição"/>
    <s v="Não está sujeita a aprovação"/>
    <s v="Baixa"/>
    <d v="1900-01-04T07:12:34"/>
    <d v="1900-01-04T07:12:34"/>
  </r>
  <r>
    <s v="47 688"/>
    <x v="24"/>
    <s v="Processando (atribuído)"/>
    <d v="2022-11-17T09:38:00"/>
    <s v="CSTI Requerente"/>
    <s v="Diretoria - TI &gt; Infraestrutura &gt; Sup. Campo"/>
    <d v="2022-11-17T12:39:00"/>
    <s v="Requisição"/>
    <s v="Não está sujeita a aprovação"/>
    <s v="Baixa"/>
    <d v="1900-01-04T10:57:34"/>
    <d v="1900-01-04T07:56:34"/>
  </r>
  <r>
    <s v="47 677"/>
    <x v="0"/>
    <s v="Novo"/>
    <d v="2022-11-17T09:03:00"/>
    <s v="CSTI Requerente"/>
    <s v="Diretoria - TI &gt; Infraestrutura &gt; Sup. Campo"/>
    <d v="2022-11-17T09:03:00"/>
    <s v="Requisição"/>
    <s v="Não está sujeita a aprovação"/>
    <s v="Baixa"/>
    <d v="1900-01-04T11:32:34"/>
    <d v="1900-01-04T11:32:34"/>
  </r>
  <r>
    <s v="47 228"/>
    <x v="25"/>
    <s v="Processando (atribuído)"/>
    <d v="2022-11-08T16:05:00"/>
    <s v="CSTI Requerente"/>
    <s v="Diretoria - TI &gt; Infraestrutura &gt; Sup. Campo"/>
    <d v="2022-11-17T08:38:00"/>
    <s v="Incidente"/>
    <s v="Não está sujeita a aprovação"/>
    <s v="Baixa"/>
    <d v="1900-01-13T04:30:34"/>
    <d v="1900-01-04T11:57:34"/>
  </r>
  <r>
    <s v="47 158"/>
    <x v="26"/>
    <s v="Processando (atribuído)"/>
    <d v="2022-11-08T10:35:00"/>
    <s v="CSTI Requerente"/>
    <s v="Diretoria - TI &gt; Infraestrutura &gt; Sup. Campo"/>
    <d v="2022-11-17T08:28:00"/>
    <s v="Requisição"/>
    <s v="Não está sujeita a aprovação"/>
    <s v="Baixa"/>
    <d v="1900-01-13T10:00:34"/>
    <d v="1900-01-04T12:07:34"/>
  </r>
  <r>
    <s v="47 601"/>
    <x v="9"/>
    <s v="Processando (atribuído)"/>
    <d v="2022-11-16T10:50:00"/>
    <s v="CSTI Requerente"/>
    <s v="Diretoria - TI &gt; Infraestrutura &gt; Sup. Campo"/>
    <d v="2022-11-17T07:26:00"/>
    <s v="Requisição"/>
    <s v="Não está sujeita a aprovação"/>
    <s v="Baixa"/>
    <d v="1900-01-05T09:45:34"/>
    <d v="1900-01-04T13:09:34"/>
  </r>
  <r>
    <s v="47 607"/>
    <x v="9"/>
    <s v="Processando (atribuído)"/>
    <d v="2022-11-16T11:23:00"/>
    <s v="CSTI Requerente"/>
    <s v="Diretoria - TI &gt; Infraestrutura &gt; Sup. Campo"/>
    <d v="2022-11-17T07:23:00"/>
    <s v="Requisição"/>
    <s v="Não está sujeita a aprovação"/>
    <s v="Baixa"/>
    <d v="1900-01-05T09:12:34"/>
    <d v="1900-01-04T13:12:34"/>
  </r>
  <r>
    <s v="47 622"/>
    <x v="2"/>
    <s v="Novo"/>
    <d v="2022-11-16T14:55:00"/>
    <s v="CSTI Requerente"/>
    <s v="Diretoria - TI &gt; Infraestrutura &gt; Sup. Campo"/>
    <d v="2022-11-16T14:55:00"/>
    <s v="Incidente"/>
    <s v="Não está sujeita a aprovação"/>
    <s v="Baixa"/>
    <d v="1900-01-05T05:40:34"/>
    <d v="1900-01-05T05:40:34"/>
  </r>
  <r>
    <s v="45 549"/>
    <x v="8"/>
    <s v="Processando (atribuído)"/>
    <d v="2022-10-11T07:58:00"/>
    <s v="CSTI Requerente"/>
    <s v="Diretoria - TI &gt; Infraestrutura &gt; Sup. Campo"/>
    <d v="2022-11-16T14:32:00"/>
    <s v="Requisição"/>
    <s v="Não está sujeita a aprovação"/>
    <s v="Baixa"/>
    <d v="1900-02-10T12:37:34"/>
    <d v="1900-01-05T06:03:34"/>
  </r>
  <r>
    <s v="47 597"/>
    <x v="27"/>
    <s v="Novo"/>
    <d v="2022-11-16T10:37:00"/>
    <s v="CSTI Requerente"/>
    <s v="Diretoria - TI &gt; Infraestrutura &gt; Sup. Campo"/>
    <d v="2022-11-16T12:00:00"/>
    <s v="Requisição"/>
    <s v="Não está sujeita a aprovação"/>
    <s v="Baixa"/>
    <d v="1900-01-05T09:58:34"/>
    <d v="1900-01-05T08:35:34"/>
  </r>
  <r>
    <s v="47 587"/>
    <x v="0"/>
    <s v="Novo"/>
    <d v="2022-11-16T09:28:00"/>
    <s v="CSTI Requerente"/>
    <s v="Diretoria - TI &gt; Infraestrutura &gt; Sup. Campo"/>
    <d v="2022-11-16T09:28:00"/>
    <s v="Requisição"/>
    <s v="Não está sujeita a aprovação"/>
    <s v="Baixa"/>
    <d v="1900-01-05T11:07:34"/>
    <d v="1900-01-05T11:07:34"/>
  </r>
  <r>
    <s v="46 659"/>
    <x v="6"/>
    <s v="Processando (atribuído)"/>
    <d v="2022-11-01T11:04:00"/>
    <s v="CSTI Requerente"/>
    <s v="Diretoria - TI &gt; Infraestrutura &gt; Sup. Campo"/>
    <d v="2022-11-16T09:12:00"/>
    <s v="Requisição"/>
    <s v="Não está sujeita a aprovação"/>
    <s v="Baixa"/>
    <d v="1900-01-20T09:31:34"/>
    <d v="1900-01-05T11:23:34"/>
  </r>
  <r>
    <s v="47 579"/>
    <x v="0"/>
    <s v="Novo"/>
    <d v="2022-11-16T08:40:00"/>
    <s v="CSTI Requerente"/>
    <s v="Diretoria - TI &gt; Infraestrutura &gt; Sup. Campo"/>
    <d v="2022-11-16T08:40:00"/>
    <s v="Requisição"/>
    <s v="Não está sujeita a aprovação"/>
    <s v="Baixa"/>
    <d v="1900-01-05T11:55:34"/>
    <d v="1900-01-05T11:55:34"/>
  </r>
  <r>
    <s v="46 263"/>
    <x v="9"/>
    <s v="Processando (atribuído)"/>
    <d v="2022-10-24T18:26:00"/>
    <s v="CSTI Requerente"/>
    <s v="Diretoria - TI &gt; Infraestrutura &gt; Sup. Campo"/>
    <d v="2022-11-16T08:24:00"/>
    <s v="Requisição"/>
    <s v="Não está sujeita a aprovação"/>
    <s v="Baixa"/>
    <d v="1900-01-28T02:09:34"/>
    <d v="1900-01-05T12:11:34"/>
  </r>
  <r>
    <s v="47 513"/>
    <x v="28"/>
    <s v="Processando (atribuído)"/>
    <d v="2022-11-14T09:02:00"/>
    <s v="CSTI Requerente"/>
    <s v="Diretoria - TI &gt; Infraestrutura &gt; Sup. Campo"/>
    <d v="2022-11-14T17:15:00"/>
    <s v="Requisição"/>
    <s v="Não está sujeita a aprovação"/>
    <s v="Baixa"/>
    <d v="1900-01-07T11:33:34"/>
    <d v="1900-01-07T03:20:34"/>
  </r>
  <r>
    <s v="47 567"/>
    <x v="29"/>
    <s v="Novo"/>
    <d v="2022-11-14T17:04:00"/>
    <s v="CSTI Requerente"/>
    <s v="Diretoria - TI &gt; Infraestrutura &gt; Sup. Campo"/>
    <d v="2022-11-14T17:04:00"/>
    <s v="Incidente"/>
    <s v="Não está sujeita a aprovação"/>
    <s v="Baixa"/>
    <d v="1900-01-07T03:31:34"/>
    <d v="1900-01-07T03:31:34"/>
  </r>
  <r>
    <s v="44 586"/>
    <x v="2"/>
    <s v="Processando (atribuído)"/>
    <d v="2022-09-21T13:00:00"/>
    <s v="CSTI Requerente"/>
    <s v="Diretoria - TI &gt; Infraestrutura &gt; Sup. Campo"/>
    <d v="2022-11-14T16:31:00"/>
    <s v="Incidente"/>
    <s v="Não está sujeita a aprovação"/>
    <s v="Baixa"/>
    <d v="1900-03-02T07:35:34"/>
    <d v="1900-01-07T04:04:34"/>
  </r>
  <r>
    <s v="47 326"/>
    <x v="30"/>
    <s v="Processando (atribuído)"/>
    <d v="2022-11-10T08:21:00"/>
    <s v="CSTI Requerente"/>
    <s v="Diretoria - TI &gt; Infraestrutura &gt; Sup. Campo"/>
    <d v="2022-11-14T16:06:00"/>
    <s v="Requisição"/>
    <s v="Não está sujeita a aprovação"/>
    <s v="Baixa"/>
    <d v="1900-01-11T12:14:34"/>
    <d v="1900-01-07T04:29:34"/>
  </r>
  <r>
    <s v="47 562"/>
    <x v="10"/>
    <s v="Novo"/>
    <d v="2022-11-14T15:49:00"/>
    <s v="CSTI Requerente"/>
    <s v="Diretoria - TI &gt; Infraestrutura &gt; Sup. Campo"/>
    <d v="2022-11-14T15:49:00"/>
    <s v="Incidente"/>
    <s v="Não está sujeita a aprovação"/>
    <s v="Baixa"/>
    <d v="1900-01-07T04:46:34"/>
    <d v="1900-01-07T04:46:34"/>
  </r>
  <r>
    <s v="45 021"/>
    <x v="31"/>
    <s v="Processando (atribuído)"/>
    <d v="2022-09-28T16:07:00"/>
    <s v="CSTI Requerente"/>
    <s v="Diretoria - TI &gt; Infraestrutura &gt; Sup. Campo"/>
    <d v="2022-11-14T15:01:00"/>
    <s v="Requisição"/>
    <s v="Concedida"/>
    <s v="Baixa"/>
    <d v="1900-02-23T04:28:34"/>
    <d v="1900-01-07T05:34:34"/>
  </r>
  <r>
    <s v="47 023"/>
    <x v="31"/>
    <s v="Processando (atribuído)"/>
    <d v="2022-11-07T10:12:00"/>
    <s v="CSTI Requerente"/>
    <s v="Diretoria - TI &gt; Infraestrutura &gt; Sup. Campo"/>
    <d v="2022-11-14T14:57:00"/>
    <s v="Requisição"/>
    <s v="Não está sujeita a aprovação"/>
    <s v="Baixa"/>
    <d v="1900-01-14T10:23:34"/>
    <d v="1900-01-07T05:38:34"/>
  </r>
  <r>
    <s v="47 550"/>
    <x v="6"/>
    <s v="Novo"/>
    <d v="2022-11-14T14:32:00"/>
    <s v="CSTI Requerente"/>
    <s v="Diretoria - TI &gt; Infraestrutura &gt; Sup. Campo"/>
    <d v="2022-11-14T14:32:00"/>
    <s v="Requisição"/>
    <s v="Não está sujeita a aprovação"/>
    <s v="Baixa"/>
    <d v="1900-01-07T06:03:34"/>
    <d v="1900-01-07T06:03:34"/>
  </r>
  <r>
    <s v="46 926"/>
    <x v="31"/>
    <s v="Processando (atribuído)"/>
    <d v="2022-11-04T15:18:00"/>
    <s v="CSTI Requerente"/>
    <s v="Diretoria - TI &gt; Infraestrutura &gt; Sup. Campo"/>
    <d v="2022-11-11T15:04:00"/>
    <s v="Requisição"/>
    <s v="Concedida"/>
    <s v="Baixa"/>
    <d v="1900-01-17T05:17:34"/>
    <d v="1900-01-10T05:31:34"/>
  </r>
  <r>
    <s v="47 468"/>
    <x v="11"/>
    <s v="Novo"/>
    <d v="2022-11-11T14:31:00"/>
    <s v="CSTI Requerente"/>
    <s v="Diretoria - TI &gt; Infraestrutura &gt; Sup. Campo"/>
    <d v="2022-11-11T14:31:00"/>
    <s v="Incidente"/>
    <s v="Não está sujeita a aprovação"/>
    <s v="Baixa"/>
    <d v="1900-01-10T06:04:34"/>
    <d v="1900-01-10T06:04:34"/>
  </r>
  <r>
    <s v="47 457"/>
    <x v="19"/>
    <s v="Novo"/>
    <d v="2022-11-11T13:29:00"/>
    <s v="CSTI Requerente"/>
    <s v="Diretoria - TI &gt; Infraestrutura &gt; Sup. Campo"/>
    <d v="2022-11-11T13:29:00"/>
    <s v="Requisição"/>
    <s v="Não está sujeita a aprovação"/>
    <s v="Baixa"/>
    <d v="1900-01-10T07:06:34"/>
    <d v="1900-01-10T07:06:34"/>
  </r>
  <r>
    <s v="46 204"/>
    <x v="2"/>
    <s v="Novo"/>
    <d v="2022-10-24T10:17:00"/>
    <s v="CSTI Requerente_x000a_Diretoria - TI &gt; Sistemas &gt; Medicina"/>
    <s v="Diretoria - TI &gt; Infraestrutura &gt; Sup. Campo"/>
    <d v="2022-11-11T11:01:00"/>
    <s v="Incidente"/>
    <s v="Não está sujeita a aprovação"/>
    <s v="Baixa"/>
    <d v="1900-01-28T10:18:34"/>
    <d v="1900-01-10T09:34:34"/>
  </r>
  <r>
    <s v="46 211"/>
    <x v="32"/>
    <s v="Processando (atribuído)"/>
    <d v="2022-10-24T11:23:00"/>
    <s v="CSTI Requerente"/>
    <s v="Diretoria - TI &gt; Infraestrutura &gt; Sup. Campo"/>
    <d v="2022-11-11T10:11:00"/>
    <s v="Requisição"/>
    <s v="Não está sujeita a aprovação"/>
    <s v="Baixa"/>
    <d v="1900-01-28T09:12:34"/>
    <d v="1900-01-10T10:24:34"/>
  </r>
  <r>
    <s v="46 933"/>
    <x v="11"/>
    <s v="Processando (atribuído)"/>
    <d v="2022-11-04T15:47:00"/>
    <s v="CSTI Requerente"/>
    <s v="Diretoria - TI &gt; Infraestrutura &gt; Sup. Campo"/>
    <d v="2022-11-11T09:40:00"/>
    <s v="Incidente"/>
    <s v="Não está sujeita a aprovação"/>
    <s v="Baixa"/>
    <d v="1900-01-17T04:48:34"/>
    <d v="1900-01-10T10:55:34"/>
  </r>
  <r>
    <s v="47 116"/>
    <x v="25"/>
    <s v="Processando (atribuído)"/>
    <d v="2022-11-07T17:44:00"/>
    <s v="CSTI Requerente"/>
    <s v="Diretoria - TI &gt; Infraestrutura &gt; Sup. Campo"/>
    <d v="2022-11-11T08:47:00"/>
    <s v="Incidente"/>
    <s v="Não está sujeita a aprovação"/>
    <s v="Baixa"/>
    <d v="1900-01-14T02:51:34"/>
    <d v="1900-01-10T11:48:34"/>
  </r>
  <r>
    <s v="47 414"/>
    <x v="4"/>
    <s v="Novo"/>
    <d v="2022-11-11T08:15:00"/>
    <s v="CSTI Requerente"/>
    <s v="Diretoria - TI &gt; Infraestrutura &gt; Sup. Campo"/>
    <d v="2022-11-11T08:15:00"/>
    <s v="Requisição"/>
    <s v="Não está sujeita a aprovação"/>
    <s v="Baixa"/>
    <d v="1900-01-10T12:20:34"/>
    <d v="1900-01-10T12:20:34"/>
  </r>
  <r>
    <s v="47 413"/>
    <x v="10"/>
    <s v="Novo"/>
    <d v="2022-11-11T08:13:00"/>
    <s v="CSTI Requerente"/>
    <s v="Diretoria - TI &gt; Infraestrutura &gt; Sup. Campo"/>
    <d v="2022-11-11T08:13:00"/>
    <s v="Incidente"/>
    <s v="Não está sujeita a aprovação"/>
    <s v="Baixa"/>
    <d v="1900-01-10T12:22:34"/>
    <d v="1900-01-10T12:22:34"/>
  </r>
  <r>
    <s v="47 403"/>
    <x v="10"/>
    <s v="Novo"/>
    <d v="2022-11-10T17:46:00"/>
    <s v="VIPs_x000a_CSTI Requerente"/>
    <s v="Diretoria - TI &gt; Infraestrutura &gt; Sup. Campo"/>
    <d v="2022-11-10T17:46:00"/>
    <s v="Incidente"/>
    <s v="Não está sujeita a aprovação"/>
    <s v="Muito alta"/>
    <d v="1900-01-11T02:49:34"/>
    <d v="1900-01-11T02:49:34"/>
  </r>
  <r>
    <s v="47 365"/>
    <x v="6"/>
    <s v="Processando (atribuído)"/>
    <d v="2022-11-10T13:55:00"/>
    <s v="CSTI Requerente"/>
    <s v="Diretoria - TI &gt; Infraestrutura &gt; Sup. Campo"/>
    <d v="2022-11-10T16:20:00"/>
    <s v="Requisição"/>
    <s v="Não está sujeita a aprovação"/>
    <s v="Baixa"/>
    <d v="1900-01-11T06:40:34"/>
    <d v="1900-01-11T04:15:34"/>
  </r>
  <r>
    <s v="46 212"/>
    <x v="6"/>
    <s v="Processando (atribuído)"/>
    <d v="2022-10-24T11:31:00"/>
    <s v="CSTI Requerente"/>
    <s v="Diretoria - TI &gt; Infraestrutura &gt; Sup. Campo"/>
    <d v="2022-11-10T15:47:00"/>
    <s v="Requisição"/>
    <s v="Não está sujeita a aprovação"/>
    <s v="Baixa"/>
    <d v="1900-01-28T09:04:34"/>
    <d v="1900-01-11T04:48:34"/>
  </r>
  <r>
    <s v="47 381"/>
    <x v="10"/>
    <s v="Novo"/>
    <d v="2022-11-10T15:35:00"/>
    <s v="CSTI Requerente"/>
    <s v="Diretoria - TI &gt; Infraestrutura &gt; Sup. Campo"/>
    <d v="2022-11-10T15:35:00"/>
    <s v="Incidente"/>
    <s v="Não está sujeita a aprovação"/>
    <s v="Baixa"/>
    <d v="1900-01-11T05:00:34"/>
    <d v="1900-01-11T05:00:34"/>
  </r>
  <r>
    <s v="47 378"/>
    <x v="10"/>
    <s v="Novo"/>
    <d v="2022-11-10T14:54:00"/>
    <s v="CSTI Requerente"/>
    <s v="Diretoria - TI &gt; Infraestrutura &gt; Sup. Campo"/>
    <d v="2022-11-10T14:54:00"/>
    <s v="Incidente"/>
    <s v="Não está sujeita a aprovação"/>
    <s v="Baixa"/>
    <d v="1900-01-11T05:41:34"/>
    <d v="1900-01-11T05:41:34"/>
  </r>
  <r>
    <s v="45 846"/>
    <x v="6"/>
    <s v="Processando (atribuído)"/>
    <d v="2022-10-17T17:02:00"/>
    <s v="CSTI Requerente"/>
    <s v="Diretoria - TI &gt; Infraestrutura &gt; Sup. Campo"/>
    <d v="2022-11-10T14:36:00"/>
    <s v="Requisição"/>
    <s v="Não está sujeita a aprovação"/>
    <s v="Baixa"/>
    <d v="1900-02-04T03:33:34"/>
    <d v="1900-01-11T05:59:34"/>
  </r>
  <r>
    <s v="47 366"/>
    <x v="19"/>
    <s v="Novo"/>
    <d v="2022-11-10T13:59:00"/>
    <s v="CSTI Requerente"/>
    <s v="Diretoria - TI &gt; Infraestrutura &gt; Sup. Campo"/>
    <d v="2022-11-10T13:59:00"/>
    <s v="Requisição"/>
    <s v="Não está sujeita a aprovação"/>
    <s v="Baixa"/>
    <d v="1900-01-11T06:36:34"/>
    <d v="1900-01-11T06:36:34"/>
  </r>
  <r>
    <s v="47 357"/>
    <x v="3"/>
    <s v="Novo"/>
    <d v="2022-11-10T11:53:00"/>
    <s v="CSTI Requerente"/>
    <s v="Diretoria - TI &gt; Infraestrutura &gt; Sup. Campo"/>
    <d v="2022-11-10T11:53:00"/>
    <s v="Requisição"/>
    <s v="Não está sujeita a aprovação"/>
    <s v="Baixa"/>
    <d v="1900-01-11T08:42:34"/>
    <d v="1900-01-11T08:42:34"/>
  </r>
  <r>
    <s v="47 274"/>
    <x v="9"/>
    <s v="Processando (atribuído)"/>
    <d v="2022-11-09T09:29:00"/>
    <s v="CSTI Requerente"/>
    <s v="Diretoria - TI &gt; Infraestrutura &gt; Sup. Campo"/>
    <d v="2022-11-10T08:45:00"/>
    <s v="Requisição"/>
    <s v="Não está sujeita a aprovação"/>
    <s v="Baixa"/>
    <d v="1900-01-12T11:06:34"/>
    <d v="1900-01-11T11:50:34"/>
  </r>
  <r>
    <s v="47 299"/>
    <x v="29"/>
    <s v="Novo"/>
    <d v="2022-11-09T15:26:00"/>
    <s v="CSTI Requerente"/>
    <s v="Diretoria - TI &gt; Infraestrutura &gt; Sup. Campo"/>
    <d v="2022-11-09T15:26:00"/>
    <s v="Incidente"/>
    <s v="Não está sujeita a aprovação"/>
    <s v="Baixa"/>
    <d v="1900-01-12T05:09:34"/>
    <d v="1900-01-12T05:09:34"/>
  </r>
  <r>
    <s v="44 983"/>
    <x v="33"/>
    <s v="Processando (atribuído)"/>
    <d v="2022-09-28T12:46:00"/>
    <s v="CSTI Requerente"/>
    <s v="Diretoria - TI &gt; Infraestrutura &gt; Sup. Campo"/>
    <d v="2022-11-09T10:53:00"/>
    <s v="Incidente"/>
    <s v="Não está sujeita a aprovação"/>
    <s v="Baixa"/>
    <d v="1900-02-23T07:49:34"/>
    <d v="1900-01-12T09:42:34"/>
  </r>
  <r>
    <s v="44 450"/>
    <x v="31"/>
    <s v="Processando (atribuído)"/>
    <d v="2022-09-19T16:29:00"/>
    <s v="CSTI Requerente"/>
    <s v="Diretoria - TI &gt; Infraestrutura &gt; Sup. Campo"/>
    <d v="2022-11-09T10:53:00"/>
    <s v="Requisição"/>
    <s v="Concedida"/>
    <s v="Baixa"/>
    <d v="1900-03-04T04:06:34"/>
    <d v="1900-01-12T09:42:34"/>
  </r>
  <r>
    <s v="47 279"/>
    <x v="34"/>
    <s v="Novo"/>
    <d v="2022-11-09T10:16:00"/>
    <s v="CSTI Requerente"/>
    <s v="Diretoria - TI &gt; Infraestrutura &gt; Sup. Campo"/>
    <d v="2022-11-09T10:16:00"/>
    <s v="Requisição"/>
    <s v="Não está sujeita a aprovação"/>
    <s v="Baixa"/>
    <d v="1900-01-12T10:19:34"/>
    <d v="1900-01-12T10:19:34"/>
  </r>
  <r>
    <s v="47 003"/>
    <x v="12"/>
    <s v="Pendente"/>
    <d v="2022-11-07T09:14:00"/>
    <s v="CSTI Requerente"/>
    <s v="Diretoria - TI &gt; Infraestrutura &gt; Sup. Campo"/>
    <d v="2022-11-09T10:04:00"/>
    <s v="Requisição"/>
    <s v="Concedida"/>
    <s v="Baixa"/>
    <d v="1900-01-14T11:21:34"/>
    <d v="1900-01-12T10:31:34"/>
  </r>
  <r>
    <s v="47 268"/>
    <x v="35"/>
    <s v="Novo"/>
    <d v="2022-11-09T08:46:00"/>
    <s v="CSTI Requerente"/>
    <s v="Diretoria - TI &gt; Infraestrutura &gt; Sup. Campo"/>
    <d v="2022-11-09T08:46:00"/>
    <s v="Incidente"/>
    <s v="Não está sujeita a aprovação"/>
    <s v="Baixa"/>
    <d v="1900-01-12T11:49:34"/>
    <d v="1900-01-12T11:49:34"/>
  </r>
  <r>
    <s v="47 264"/>
    <x v="12"/>
    <s v="Pendente"/>
    <d v="2022-11-09T07:14:00"/>
    <s v="CSTI Requerente"/>
    <s v="Diretoria - TI &gt; Infraestrutura &gt; Sup. Campo"/>
    <d v="2022-11-09T07:14:00"/>
    <s v="Requisição"/>
    <s v="Não está sujeita a aprovação"/>
    <s v="Baixa"/>
    <d v="1900-01-12T13:21:34"/>
    <d v="1900-01-12T13:21:34"/>
  </r>
  <r>
    <s v="45 528"/>
    <x v="6"/>
    <s v="Processando (atribuído)"/>
    <d v="2022-10-10T15:39:00"/>
    <s v="CSTI Requerente"/>
    <s v="Diretoria - TI &gt; Infraestrutura &gt; Sup. Campo"/>
    <d v="2022-11-09T07:12:00"/>
    <s v="Requisição"/>
    <s v="Não está sujeita a aprovação"/>
    <s v="Baixa"/>
    <d v="1900-02-11T04:56:34"/>
    <d v="1900-01-12T13:23:34"/>
  </r>
  <r>
    <s v="44 806"/>
    <x v="10"/>
    <s v="Processando (atribuído)"/>
    <d v="2022-09-26T08:06:00"/>
    <s v="CSTI Requerente"/>
    <s v="Diretoria - TI &gt; Infraestrutura &gt; Sup. Campo"/>
    <d v="2022-11-08T16:56:00"/>
    <s v="Incidente"/>
    <s v="Não está sujeita a aprovação"/>
    <s v="Baixa"/>
    <d v="1900-02-25T12:29:34"/>
    <d v="1900-01-13T03:39:34"/>
  </r>
  <r>
    <s v="47 216"/>
    <x v="10"/>
    <s v="Processando (atribuído)"/>
    <d v="2022-11-08T15:23:00"/>
    <s v="CSTI Requerente"/>
    <s v="Diretoria - TI &gt; Infraestrutura &gt; Sup. Campo"/>
    <d v="2022-11-08T16:55:00"/>
    <s v="Incidente"/>
    <s v="Não está sujeita a aprovação"/>
    <s v="Baixa"/>
    <d v="1900-01-13T05:12:34"/>
    <d v="1900-01-13T03:40:34"/>
  </r>
  <r>
    <s v="44 886"/>
    <x v="10"/>
    <s v="Processando (atribuído)"/>
    <d v="2022-09-26T17:29:00"/>
    <s v="CSTI Requerente"/>
    <s v="Diretoria - TI &gt; Infraestrutura &gt; Sup. Campo"/>
    <d v="2022-11-08T15:35:00"/>
    <s v="Incidente"/>
    <s v="Não está sujeita a aprovação"/>
    <s v="Baixa"/>
    <d v="1900-02-25T03:06:34"/>
    <d v="1900-01-13T05:00:34"/>
  </r>
  <r>
    <s v="47 171"/>
    <x v="36"/>
    <s v="Novo"/>
    <d v="2022-11-08T12:05:00"/>
    <s v="CSTI Requerente"/>
    <s v="Diretoria - TI &gt; Infraestrutura &gt; Sup. Campo"/>
    <d v="2022-11-08T12:05:00"/>
    <s v="Requisição"/>
    <s v="Não está sujeita a aprovação"/>
    <s v="Baixa"/>
    <d v="1900-01-13T08:30:34"/>
    <d v="1900-01-13T08:30:34"/>
  </r>
  <r>
    <s v="47 115"/>
    <x v="3"/>
    <s v="Novo"/>
    <d v="2022-11-07T17:00:00"/>
    <s v="CSTI Requerente"/>
    <s v="Diretoria - TI &gt; Infraestrutura &gt; Sup. Campo"/>
    <d v="2022-11-08T07:14:00"/>
    <s v="Requisição"/>
    <s v="Não está sujeita a aprovação"/>
    <s v="Baixa"/>
    <d v="1900-01-14T03:35:34"/>
    <d v="1900-01-13T13:21:34"/>
  </r>
  <r>
    <s v="47 117"/>
    <x v="10"/>
    <s v="Novo"/>
    <d v="2022-11-07T18:06:00"/>
    <s v="CSTI Requerente"/>
    <s v="Diretoria - TI &gt; Infraestrutura &gt; Sup. Campo"/>
    <d v="2022-11-07T18:06:00"/>
    <s v="Incidente"/>
    <s v="Não está sujeita a aprovação"/>
    <s v="Baixa"/>
    <d v="1900-01-14T02:29:34"/>
    <d v="1900-01-14T02:29:34"/>
  </r>
  <r>
    <s v="47 072"/>
    <x v="0"/>
    <s v="Processando (atribuído)"/>
    <d v="2022-11-07T14:50:00"/>
    <s v="CSTI Requerente"/>
    <s v="Diretoria - TI &gt; Infraestrutura &gt; Sup. Campo"/>
    <d v="2022-11-07T16:40:00"/>
    <s v="Requisição"/>
    <s v="Não está sujeita a aprovação"/>
    <s v="Baixa"/>
    <d v="1900-01-14T05:45:34"/>
    <d v="1900-01-14T03:55:34"/>
  </r>
  <r>
    <s v="47 071"/>
    <x v="0"/>
    <s v="Processando (atribuído)"/>
    <d v="2022-11-07T14:49:00"/>
    <s v="CSTI Requerente"/>
    <s v="Diretoria - TI &gt; Infraestrutura &gt; Sup. Campo"/>
    <d v="2022-11-07T16:39:00"/>
    <s v="Requisição"/>
    <s v="Não está sujeita a aprovação"/>
    <s v="Baixa"/>
    <d v="1900-01-14T05:46:34"/>
    <d v="1900-01-14T03:56:34"/>
  </r>
  <r>
    <s v="47 084"/>
    <x v="6"/>
    <s v="Novo"/>
    <d v="2022-11-07T15:21:00"/>
    <s v="CSTI Requerente"/>
    <s v="Diretoria - TI &gt; Infraestrutura &gt; Sup. Campo"/>
    <d v="2022-11-07T15:21:00"/>
    <s v="Requisição"/>
    <s v="Não está sujeita a aprovação"/>
    <s v="Baixa"/>
    <d v="1900-01-14T05:14:34"/>
    <d v="1900-01-14T05:14:34"/>
  </r>
  <r>
    <s v="46 330"/>
    <x v="17"/>
    <s v="Processando (atribuído)"/>
    <d v="2022-10-25T16:10:00"/>
    <s v="Diretoria - TI &gt; Sistemas &gt; ACA_x000a_CSTI Requerente"/>
    <s v="Diretoria - TI &gt; Infraestrutura &gt; Sup. Campo"/>
    <d v="2022-11-07T14:04:00"/>
    <s v="Requisição"/>
    <s v="Não está sujeita a aprovação"/>
    <s v="Baixa"/>
    <d v="1900-01-27T04:25:34"/>
    <d v="1900-01-14T06:31:34"/>
  </r>
  <r>
    <s v="47 030"/>
    <x v="6"/>
    <s v="Novo"/>
    <d v="2022-11-07T11:05:00"/>
    <s v="CSTI Requerente"/>
    <s v="Diretoria - TI &gt; Infraestrutura &gt; Sup. Campo"/>
    <d v="2022-11-07T11:05:00"/>
    <s v="Requisição"/>
    <s v="Não está sujeita a aprovação"/>
    <s v="Baixa"/>
    <d v="1900-01-14T09:30:34"/>
    <d v="1900-01-14T09:30:34"/>
  </r>
  <r>
    <s v="47 020"/>
    <x v="0"/>
    <s v="Novo"/>
    <d v="2022-11-07T10:01:00"/>
    <s v="CSTI Requerente_x000a_Colaborador - Comum"/>
    <s v="Diretoria - TI &gt; Infraestrutura &gt; Sup. Campo"/>
    <d v="2022-11-07T10:01:00"/>
    <s v="Requisição"/>
    <s v="Não está sujeita a aprovação"/>
    <s v="Baixa"/>
    <d v="1900-01-14T10:34:34"/>
    <d v="1900-01-14T10:34:34"/>
  </r>
  <r>
    <s v="46 321"/>
    <x v="6"/>
    <s v="Processando (atribuído)"/>
    <d v="2022-10-25T14:46:00"/>
    <s v="CSTI Requerente"/>
    <s v="Diretoria - TI &gt; Infraestrutura &gt; Sup. Campo"/>
    <d v="2022-11-07T09:12:00"/>
    <s v="Requisição"/>
    <s v="Não está sujeita a aprovação"/>
    <s v="Baixa"/>
    <d v="1900-01-27T05:49:34"/>
    <d v="1900-01-14T11:23:34"/>
  </r>
  <r>
    <s v="46 996"/>
    <x v="7"/>
    <s v="Novo"/>
    <d v="2022-11-07T08:56:00"/>
    <s v="CSTI Requerente"/>
    <s v="Diretoria - TI &gt; Infraestrutura &gt; Sup. Campo"/>
    <d v="2022-11-07T08:56:00"/>
    <s v="Requisição"/>
    <s v="Não está sujeita a aprovação"/>
    <s v="Baixa"/>
    <d v="1900-01-14T11:39:34"/>
    <d v="1900-01-14T11:39:34"/>
  </r>
  <r>
    <s v="46 850"/>
    <x v="10"/>
    <s v="Processando (atribuído)"/>
    <d v="2022-11-03T17:35:00"/>
    <s v="CSTI Requerente"/>
    <s v="Diretoria - TI &gt; Infraestrutura &gt; Sup. Campo"/>
    <d v="2022-11-05T16:54:00"/>
    <s v="Incidente"/>
    <s v="Não está sujeita a aprovação"/>
    <s v="Baixa"/>
    <d v="1900-01-18T03:00:34"/>
    <d v="1900-01-16T03:41:34"/>
  </r>
  <r>
    <s v="45 564"/>
    <x v="11"/>
    <s v="Processando (atribuído)"/>
    <d v="2022-10-11T09:33:00"/>
    <s v="CSTI Requerente"/>
    <s v="Diretoria - TI &gt; Infraestrutura &gt; Sup. Campo"/>
    <d v="2022-11-05T16:54:00"/>
    <s v="Incidente"/>
    <s v="Não está sujeita a aprovação"/>
    <s v="Baixa"/>
    <d v="1900-02-10T11:02:34"/>
    <d v="1900-01-16T03:41:34"/>
  </r>
  <r>
    <s v="45 123"/>
    <x v="10"/>
    <s v="Processando (atribuído)"/>
    <d v="2022-09-30T16:22:00"/>
    <s v="CSTI Requerente"/>
    <s v="Diretoria - TI &gt; Infraestrutura &gt; Sup. Campo"/>
    <d v="2022-11-05T16:53:00"/>
    <s v="Incidente"/>
    <s v="Não está sujeita a aprovação"/>
    <s v="Baixa"/>
    <d v="1900-02-21T04:13:34"/>
    <d v="1900-01-16T03:42:34"/>
  </r>
  <r>
    <s v="45 079"/>
    <x v="21"/>
    <s v="Processando (atribuído)"/>
    <d v="2022-09-30T08:05:00"/>
    <s v="CSTI Requerente"/>
    <s v="Diretoria - TI &gt; Infraestrutura &gt; Sup. Campo"/>
    <d v="2022-11-05T16:53:00"/>
    <s v="Requisição"/>
    <s v="Não está sujeita a aprovação"/>
    <s v="Baixa"/>
    <d v="1900-02-21T12:30:34"/>
    <d v="1900-01-16T03:42:34"/>
  </r>
  <r>
    <s v="46 184"/>
    <x v="10"/>
    <s v="Processando (atribuído)"/>
    <d v="2022-10-22T10:14:00"/>
    <s v="CSTI Requerente"/>
    <s v="Diretoria - TI &gt; Infraestrutura &gt; Sup. Campo"/>
    <d v="2022-11-05T16:51:00"/>
    <s v="Incidente"/>
    <s v="Não está sujeita a aprovação"/>
    <s v="Baixa"/>
    <d v="1900-01-30T10:21:34"/>
    <d v="1900-01-16T03:44:34"/>
  </r>
  <r>
    <s v="45 577"/>
    <x v="10"/>
    <s v="Processando (atribuído)"/>
    <d v="2022-10-11T10:36:00"/>
    <s v="CSTI Requerente"/>
    <s v="Diretoria - TI &gt; Infraestrutura &gt; Sup. Campo"/>
    <d v="2022-11-05T16:50:00"/>
    <s v="Incidente"/>
    <s v="Não está sujeita a aprovação"/>
    <s v="Baixa"/>
    <d v="1900-02-10T09:59:34"/>
    <d v="1900-01-16T03:45:34"/>
  </r>
  <r>
    <s v="44 914"/>
    <x v="10"/>
    <s v="Processando (atribuído)"/>
    <d v="2022-09-27T11:10:00"/>
    <s v="CSTI Requerente"/>
    <s v="Diretoria - TI &gt; Infraestrutura &gt; Sup. Campo"/>
    <d v="2022-11-05T16:50:00"/>
    <s v="Incidente"/>
    <s v="Não está sujeita a aprovação"/>
    <s v="Baixa"/>
    <d v="1900-02-24T09:25:34"/>
    <d v="1900-01-16T03:45:34"/>
  </r>
  <r>
    <s v="46 358"/>
    <x v="1"/>
    <s v="Processando (atribuído)"/>
    <d v="2022-10-26T09:06:00"/>
    <s v="CSTI Requerente"/>
    <s v="Diretoria - TI &gt; Infraestrutura &gt; Sup. Campo"/>
    <d v="2022-11-04T20:11:00"/>
    <s v="Requisição"/>
    <s v="Não está sujeita a aprovação"/>
    <s v="Baixa"/>
    <d v="1900-01-26T11:29:34"/>
    <d v="1900-01-17T00:24:34"/>
  </r>
  <r>
    <s v="46 175"/>
    <x v="1"/>
    <s v="Processando (atribuído)"/>
    <d v="2022-10-21T16:22:00"/>
    <s v="CSTI Requerente"/>
    <s v="Diretoria - TI &gt; Infraestrutura &gt; Sup. Campo"/>
    <d v="2022-11-04T20:11:00"/>
    <s v="Requisição"/>
    <s v="Não está sujeita a aprovação"/>
    <s v="Baixa"/>
    <d v="1900-01-31T04:13:34"/>
    <d v="1900-01-17T00:24:34"/>
  </r>
  <r>
    <s v="46 336"/>
    <x v="1"/>
    <s v="Processando (atribuído)"/>
    <d v="2022-10-25T16:21:00"/>
    <s v="CSTI Requerente"/>
    <s v="Diretoria - TI &gt; Infraestrutura &gt; Sup. Campo"/>
    <d v="2022-11-04T20:10:00"/>
    <s v="Requisição"/>
    <s v="Não está sujeita a aprovação"/>
    <s v="Baixa"/>
    <d v="1900-01-27T04:14:34"/>
    <d v="1900-01-17T00:25:34"/>
  </r>
  <r>
    <s v="46 442"/>
    <x v="2"/>
    <s v="Novo"/>
    <d v="2022-10-27T11:05:00"/>
    <s v="CSTI Requerente"/>
    <s v="Diretoria - TI &gt; Infraestrutura &gt; Sup. Campo"/>
    <d v="2022-11-04T15:54:00"/>
    <s v="Incidente"/>
    <s v="Não está sujeita a aprovação"/>
    <s v="Baixa"/>
    <d v="1900-01-25T09:30:34"/>
    <d v="1900-01-17T04:41:34"/>
  </r>
  <r>
    <s v="46 361"/>
    <x v="1"/>
    <s v="Processando (atribuído)"/>
    <d v="2022-10-26T10:56:00"/>
    <s v="CSTI Requerente"/>
    <s v="Diretoria - TI &gt; Infraestrutura &gt; Sup. Campo"/>
    <d v="2022-11-04T13:47:00"/>
    <s v="Requisição"/>
    <s v="Não está sujeita a aprovação"/>
    <s v="Baixa"/>
    <d v="1900-01-26T09:39:34"/>
    <d v="1900-01-17T06:48:34"/>
  </r>
  <r>
    <s v="44 965"/>
    <x v="35"/>
    <s v="Novo"/>
    <d v="2022-09-28T09:51:00"/>
    <s v="CSTI Requerente"/>
    <s v="Diretoria - TI &gt; Infraestrutura &gt; Sup. Campo"/>
    <d v="2022-11-04T10:36:00"/>
    <s v="Incidente"/>
    <s v="Não está sujeita a aprovação"/>
    <s v="Baixa"/>
    <d v="1900-02-23T10:44:34"/>
    <d v="1900-01-17T09:59:34"/>
  </r>
  <r>
    <s v="43 788"/>
    <x v="1"/>
    <s v="Processando (atribuído)"/>
    <d v="2022-09-05T16:51:00"/>
    <s v="CSTI Requerente"/>
    <s v="Diretoria - TI &gt; Infraestrutura &gt; Sup. Campo"/>
    <d v="2022-11-04T10:30:00"/>
    <s v="Requisição"/>
    <s v="Não está sujeita a aprovação"/>
    <s v="Baixa"/>
    <d v="1900-03-18T03:44:34"/>
    <d v="1900-01-17T10:05:34"/>
  </r>
  <r>
    <s v="44 876"/>
    <x v="2"/>
    <s v="Processando (atribuído)"/>
    <d v="2022-09-26T15:48:00"/>
    <s v="CSTI Requerente"/>
    <s v="Diretoria - TI &gt; Infraestrutura &gt; Sup. Campo"/>
    <d v="2022-11-04T09:56:00"/>
    <s v="Incidente"/>
    <s v="Não está sujeita a aprovação"/>
    <s v="Baixa"/>
    <d v="1900-02-25T04:47:34"/>
    <d v="1900-01-17T10:39:34"/>
  </r>
  <r>
    <s v="41 014"/>
    <x v="0"/>
    <s v="Processando (atribuído)"/>
    <d v="2022-07-19T09:05:00"/>
    <s v="CSTI Requerente"/>
    <s v="Diretoria - TI &gt; Infraestrutura &gt; Sup. Campo"/>
    <d v="2022-11-04T09:24:00"/>
    <s v="Requisição"/>
    <s v="Não está sujeita a aprovação"/>
    <s v="Baixa"/>
    <d v="1900-05-05T11:30:34"/>
    <d v="1900-01-17T11:11:34"/>
  </r>
  <r>
    <s v="44 944"/>
    <x v="1"/>
    <s v="Processando (atribuído)"/>
    <d v="2022-09-27T16:24:00"/>
    <s v="CSTI Requerente"/>
    <s v="Diretoria - TI &gt; Infraestrutura &gt; Sup. Campo"/>
    <d v="2022-11-04T09:06:00"/>
    <s v="Requisição"/>
    <s v="Não está sujeita a aprovação"/>
    <s v="Baixa"/>
    <d v="1900-02-24T04:11:34"/>
    <d v="1900-01-17T11:29:34"/>
  </r>
  <r>
    <s v="46 873"/>
    <x v="0"/>
    <s v="Novo"/>
    <d v="2022-11-04T08:48:00"/>
    <s v="CSTI Requerente"/>
    <s v="Diretoria - TI &gt; Infraestrutura &gt; Sup. Campo"/>
    <d v="2022-11-04T08:48:00"/>
    <s v="Requisição"/>
    <s v="Não está sujeita a aprovação"/>
    <s v="Baixa"/>
    <d v="1900-01-17T11:47:34"/>
    <d v="1900-01-17T11:47:34"/>
  </r>
  <r>
    <s v="46 662"/>
    <x v="37"/>
    <s v="Processando (atribuído)"/>
    <d v="2022-11-01T11:33:00"/>
    <s v="CSTI Requerente"/>
    <s v="Diretoria - TI &gt; Infraestrutura &gt; Sup. Campo"/>
    <d v="2022-11-04T08:26:00"/>
    <s v="Incidente"/>
    <s v="Não está sujeita a aprovação"/>
    <s v="Baixa"/>
    <d v="1900-01-20T09:02:34"/>
    <d v="1900-01-17T12:09:34"/>
  </r>
  <r>
    <s v="46 867"/>
    <x v="11"/>
    <s v="Novo"/>
    <d v="2022-11-04T08:06:00"/>
    <s v="CSTI Requerente"/>
    <s v="Diretoria - TI &gt; Infraestrutura &gt; Sup. Campo"/>
    <d v="2022-11-04T08:06:00"/>
    <s v="Incidente"/>
    <s v="Não está sujeita a aprovação"/>
    <s v="Baixa"/>
    <d v="1900-01-17T12:29:34"/>
    <d v="1900-01-17T12:29:34"/>
  </r>
  <r>
    <s v="46 836"/>
    <x v="10"/>
    <s v="Novo"/>
    <d v="2022-11-03T16:25:00"/>
    <s v="CSTI Requerente"/>
    <s v="Diretoria - TI &gt; Infraestrutura &gt; Sup. Campo"/>
    <d v="2022-11-03T16:25:00"/>
    <s v="Incidente"/>
    <s v="Não está sujeita a aprovação"/>
    <s v="Baixa"/>
    <d v="1900-01-18T04:10:34"/>
    <d v="1900-01-18T04:10:34"/>
  </r>
  <r>
    <s v="46 828"/>
    <x v="38"/>
    <s v="Novo"/>
    <d v="2022-11-03T15:53:00"/>
    <s v="CSTI Requerente"/>
    <s v="Diretoria - TI &gt; Infraestrutura &gt; Sup. Campo"/>
    <d v="2022-11-03T15:53:00"/>
    <s v="Requisição"/>
    <s v="Não está sujeita a aprovação"/>
    <s v="Baixa"/>
    <d v="1900-01-18T04:42:34"/>
    <d v="1900-01-18T04:42:34"/>
  </r>
  <r>
    <s v="46 782"/>
    <x v="11"/>
    <s v="Novo"/>
    <d v="2022-11-03T11:23:00"/>
    <s v="CSTI Requerente"/>
    <s v="Diretoria - TI &gt; Infraestrutura &gt; Sup. Campo"/>
    <d v="2022-11-03T11:23:00"/>
    <s v="Incidente"/>
    <s v="Não está sujeita a aprovação"/>
    <s v="Baixa"/>
    <d v="1900-01-18T09:12:34"/>
    <d v="1900-01-18T09:12:34"/>
  </r>
  <r>
    <s v="46 781"/>
    <x v="6"/>
    <s v="Novo"/>
    <d v="2022-11-03T11:06:00"/>
    <s v="CSTI Requerente"/>
    <s v="Diretoria - TI &gt; Infraestrutura &gt; Sup. Campo"/>
    <d v="2022-11-03T11:06:00"/>
    <s v="Requisição"/>
    <s v="Não está sujeita a aprovação"/>
    <s v="Baixa"/>
    <d v="1900-01-18T09:29:34"/>
    <d v="1900-01-18T09:29:34"/>
  </r>
  <r>
    <s v="46 022"/>
    <x v="21"/>
    <s v="Processando (atribuído)"/>
    <d v="2022-10-19T15:01:00"/>
    <s v="CSTI Requerente"/>
    <s v="Diretoria - TI &gt; Infraestrutura &gt; Sup. Campo"/>
    <d v="2022-11-03T10:50:00"/>
    <s v="Requisição"/>
    <s v="Não está sujeita a aprovação"/>
    <s v="Baixa"/>
    <d v="1900-02-02T05:34:34"/>
    <d v="1900-01-18T09:45:34"/>
  </r>
  <r>
    <s v="46 736"/>
    <x v="36"/>
    <s v="Novo"/>
    <d v="2022-11-03T09:01:00"/>
    <s v="CSTI Requerente"/>
    <s v="Diretoria - TI &gt; Infraestrutura &gt; Sup. Campo"/>
    <d v="2022-11-03T09:01:00"/>
    <s v="Requisição"/>
    <s v="Não está sujeita a aprovação"/>
    <s v="Baixa"/>
    <d v="1900-01-18T11:34:34"/>
    <d v="1900-01-18T11:34:34"/>
  </r>
  <r>
    <s v="46 723"/>
    <x v="6"/>
    <s v="Novo"/>
    <d v="2022-11-03T08:34:00"/>
    <s v="CSTI Requerente"/>
    <s v="Diretoria - TI &gt; Infraestrutura &gt; Sup. Campo"/>
    <d v="2022-11-03T08:34:00"/>
    <s v="Requisição"/>
    <s v="Não está sujeita a aprovação"/>
    <s v="Baixa"/>
    <d v="1900-01-18T12:01:34"/>
    <d v="1900-01-18T12:01:34"/>
  </r>
  <r>
    <s v="46 721"/>
    <x v="29"/>
    <s v="Novo"/>
    <d v="2022-11-03T07:44:00"/>
    <s v="CSTI Requerente"/>
    <s v="Diretoria - TI &gt; Infraestrutura &gt; Sup. Campo"/>
    <d v="2022-11-03T07:44:00"/>
    <s v="Incidente"/>
    <s v="Não está sujeita a aprovação"/>
    <s v="Baixa"/>
    <d v="1900-01-18T12:51:34"/>
    <d v="1900-01-18T12:51:34"/>
  </r>
  <r>
    <s v="46 466"/>
    <x v="39"/>
    <s v="Novo"/>
    <d v="2022-10-27T14:07:00"/>
    <s v="CSTI Requerente"/>
    <s v="Diretoria - TI &gt; Infraestrutura &gt; Sup. Campo"/>
    <d v="2022-11-01T14:53:00"/>
    <s v="Requisição"/>
    <s v="Não está sujeita a aprovação"/>
    <s v="Baixa"/>
    <d v="1900-01-25T06:28:34"/>
    <d v="1900-01-20T05:42:34"/>
  </r>
  <r>
    <s v="46 646"/>
    <x v="0"/>
    <s v="Novo"/>
    <d v="2022-11-01T09:06:00"/>
    <s v="CSTI Requerente"/>
    <s v="Diretoria - TI &gt; Infraestrutura &gt; Sup. Campo"/>
    <d v="2022-11-01T09:06:00"/>
    <s v="Requisição"/>
    <s v="Não está sujeita a aprovação"/>
    <s v="Baixa"/>
    <d v="1900-01-20T11:29:34"/>
    <d v="1900-01-20T11:29:34"/>
  </r>
  <r>
    <s v="46 593"/>
    <x v="0"/>
    <s v="Novo"/>
    <d v="2022-10-31T11:26:00"/>
    <s v="CSTI Requerente"/>
    <s v="Diretoria - TI &gt; Infraestrutura &gt; Sup. Campo"/>
    <d v="2022-10-31T11:26:00"/>
    <s v="Requisição"/>
    <s v="Não está sujeita a aprovação"/>
    <s v="Baixa"/>
    <d v="1900-01-21T09:09:34"/>
    <d v="1900-01-21T09:09:34"/>
  </r>
  <r>
    <s v="46 518"/>
    <x v="6"/>
    <s v="Novo"/>
    <d v="2022-10-28T10:11:00"/>
    <s v="CSTI Requerente"/>
    <s v="Diretoria - TI &gt; Infraestrutura &gt; Sup. Campo"/>
    <d v="2022-10-28T10:11:00"/>
    <s v="Requisição"/>
    <s v="Não está sujeita a aprovação"/>
    <s v="Baixa"/>
    <d v="1900-01-24T10:24:34"/>
    <d v="1900-01-24T10:24:34"/>
  </r>
  <r>
    <s v="46 505"/>
    <x v="21"/>
    <s v="Novo"/>
    <d v="2022-10-28T08:24:00"/>
    <s v="CSTI Requerente"/>
    <s v="Diretoria - TI &gt; Infraestrutura &gt; Sup. Campo"/>
    <d v="2022-10-28T08:24:00"/>
    <s v="Requisição"/>
    <s v="Não está sujeita a aprovação"/>
    <s v="Baixa"/>
    <d v="1900-01-24T12:11:34"/>
    <d v="1900-01-24T12:11:34"/>
  </r>
  <r>
    <s v="46 502"/>
    <x v="6"/>
    <s v="Novo"/>
    <d v="2022-10-28T07:50:00"/>
    <s v="CSTI Requerente"/>
    <s v="Diretoria - TI &gt; Infraestrutura &gt; Sup. Campo"/>
    <d v="2022-10-28T07:50:00"/>
    <s v="Requisição"/>
    <s v="Não está sujeita a aprovação"/>
    <s v="Baixa"/>
    <d v="1900-01-24T12:45:34"/>
    <d v="1900-01-24T12:45:34"/>
  </r>
  <r>
    <s v="46 495"/>
    <x v="6"/>
    <s v="Novo"/>
    <d v="2022-10-27T17:38:00"/>
    <s v="CSTI Requerente"/>
    <s v="Diretoria - TI &gt; Infraestrutura &gt; Sup. Campo"/>
    <d v="2022-10-27T17:38:00"/>
    <s v="Requisição"/>
    <s v="Não está sujeita a aprovação"/>
    <s v="Baixa"/>
    <d v="1900-01-25T02:57:34"/>
    <d v="1900-01-25T02:57:34"/>
  </r>
  <r>
    <s v="46 454"/>
    <x v="40"/>
    <s v="Processando (atribuído)"/>
    <d v="2022-10-27T12:13:00"/>
    <s v="CSTI Requerente"/>
    <s v="Diretoria - TI &gt; Infraestrutura &gt; Sup. Campo"/>
    <d v="2022-10-27T12:54:00"/>
    <s v="Requisição"/>
    <s v="Concedida"/>
    <s v="Baixa"/>
    <d v="1900-01-25T08:22:34"/>
    <d v="1900-01-25T07:41:34"/>
  </r>
  <r>
    <s v="46 417"/>
    <x v="31"/>
    <s v="Processando (atribuído)"/>
    <d v="2022-10-27T08:13:00"/>
    <s v="CSTI Requerente"/>
    <s v="Diretoria - TI &gt; Infraestrutura &gt; Sup. Campo"/>
    <d v="2022-10-27T10:24:00"/>
    <s v="Requisição"/>
    <s v="Concedida"/>
    <s v="Baixa"/>
    <d v="1900-01-25T12:22:34"/>
    <d v="1900-01-25T10:11:34"/>
  </r>
  <r>
    <s v="46 419"/>
    <x v="0"/>
    <s v="Novo"/>
    <d v="2022-10-27T08:35:00"/>
    <s v="CSTI Requerente"/>
    <s v="Diretoria - TI &gt; Infraestrutura &gt; Sup. Campo"/>
    <d v="2022-10-27T08:35:00"/>
    <s v="Requisição"/>
    <s v="Não está sujeita a aprovação"/>
    <s v="Baixa"/>
    <d v="1900-01-25T12:00:34"/>
    <d v="1900-01-25T12:00:34"/>
  </r>
  <r>
    <s v="45 004"/>
    <x v="31"/>
    <s v="Processando (atribuído)"/>
    <d v="2022-09-28T15:02:00"/>
    <s v="CSTI Requerente"/>
    <s v="Diretoria - TI &gt; Infraestrutura &gt; Sup. Campo"/>
    <d v="2022-10-27T08:05:00"/>
    <s v="Requisição"/>
    <s v="Concedida"/>
    <s v="Baixa"/>
    <d v="1900-02-23T05:33:34"/>
    <d v="1900-01-25T12:30:34"/>
  </r>
  <r>
    <s v="46 376"/>
    <x v="6"/>
    <s v="Novo"/>
    <d v="2022-10-26T14:23:00"/>
    <s v="CSTI Requerente_x000a_Diretoria - MKT &gt; Site &gt; Site EAD"/>
    <s v="Diretoria - TI &gt; Infraestrutura &gt; Sup. Campo"/>
    <d v="2022-10-26T14:23:00"/>
    <s v="Requisição"/>
    <s v="Não está sujeita a aprovação"/>
    <s v="Baixa"/>
    <d v="1900-01-26T06:12:34"/>
    <d v="1900-01-26T06:12:34"/>
  </r>
  <r>
    <s v="46 367"/>
    <x v="17"/>
    <s v="Novo"/>
    <d v="2022-10-26T13:35:00"/>
    <s v="CSTI Requerente"/>
    <s v="Diretoria - TI &gt; Infraestrutura &gt; Sup. Campo"/>
    <d v="2022-10-26T13:35:00"/>
    <s v="Requisição"/>
    <s v="Não está sujeita a aprovação"/>
    <s v="Baixa"/>
    <d v="1900-01-26T07:00:34"/>
    <d v="1900-01-26T07:00:34"/>
  </r>
  <r>
    <s v="46 281"/>
    <x v="12"/>
    <s v="Pendente"/>
    <d v="2022-10-25T09:29:00"/>
    <s v="CSTI Requerente"/>
    <s v="Diretoria - TI &gt; Infraestrutura &gt; Sup. Campo"/>
    <d v="2022-10-25T09:29:00"/>
    <s v="Requisição"/>
    <s v="Esperando por uma validação"/>
    <s v="Baixa"/>
    <d v="1900-01-27T11:06:34"/>
    <d v="1900-01-27T11:06:34"/>
  </r>
  <r>
    <s v="46 079"/>
    <x v="41"/>
    <s v="Processando (atribuído)"/>
    <d v="2022-10-20T11:44:00"/>
    <s v="CSTI Requerente"/>
    <s v="Diretoria - TI &gt; Infraestrutura &gt; Sup. Campo"/>
    <d v="2022-10-20T16:49:00"/>
    <s v="Incidente"/>
    <s v="Não está sujeita a aprovação"/>
    <s v="Baixa"/>
    <d v="1900-02-01T08:51:34"/>
    <d v="1900-02-01T03:46:34"/>
  </r>
  <r>
    <s v="46 059"/>
    <x v="9"/>
    <s v="Novo"/>
    <d v="2022-10-20T08:48:00"/>
    <s v="CSTI Requerente"/>
    <s v="Diretoria - TI &gt; Infraestrutura &gt; Sup. Campo"/>
    <d v="2022-10-20T08:48:00"/>
    <s v="Requisição"/>
    <s v="Não está sujeita a aprovação"/>
    <s v="Baixa"/>
    <d v="1900-02-01T11:47:34"/>
    <d v="1900-02-01T11:47:34"/>
  </r>
  <r>
    <s v="46 040"/>
    <x v="38"/>
    <s v="Novo"/>
    <d v="2022-10-19T16:44:00"/>
    <s v="CSTI Requerente"/>
    <s v="Diretoria - TI &gt; Infraestrutura &gt; Sup. Campo"/>
    <d v="2022-10-19T16:44:00"/>
    <s v="Requisição"/>
    <s v="Não está sujeita a aprovação"/>
    <s v="Baixa"/>
    <d v="1900-02-02T03:51:34"/>
    <d v="1900-02-02T03:51:34"/>
  </r>
  <r>
    <s v="46 037"/>
    <x v="10"/>
    <s v="Novo"/>
    <d v="2022-10-19T16:23:00"/>
    <s v="CSTI Requerente"/>
    <s v="Diretoria - TI &gt; Infraestrutura &gt; Sup. Campo"/>
    <d v="2022-10-19T16:23:00"/>
    <s v="Incidente"/>
    <s v="Não está sujeita a aprovação"/>
    <s v="Baixa"/>
    <d v="1900-02-02T04:12:34"/>
    <d v="1900-02-02T04:12:34"/>
  </r>
  <r>
    <s v="45 887"/>
    <x v="6"/>
    <s v="Novo"/>
    <d v="2022-10-18T11:20:00"/>
    <s v="CSTI Requerente"/>
    <s v="Diretoria - TI &gt; Infraestrutura &gt; Sup. Campo"/>
    <d v="2022-10-18T11:20:00"/>
    <s v="Requisição"/>
    <s v="Não está sujeita a aprovação"/>
    <s v="Baixa"/>
    <d v="1900-02-03T09:15:34"/>
    <d v="1900-02-03T09:15:34"/>
  </r>
  <r>
    <s v="45 885"/>
    <x v="10"/>
    <s v="Novo"/>
    <d v="2022-10-18T11:03:00"/>
    <s v="CSTI Requerente"/>
    <s v="Diretoria - TI &gt; Infraestrutura &gt; Sup. Campo"/>
    <d v="2022-10-18T11:03:00"/>
    <s v="Incidente"/>
    <s v="Não está sujeita a aprovação"/>
    <s v="Baixa"/>
    <d v="1900-02-03T09:32:34"/>
    <d v="1900-02-03T09:32:34"/>
  </r>
  <r>
    <s v="45 827"/>
    <x v="10"/>
    <s v="Novo"/>
    <d v="2022-10-17T14:20:00"/>
    <s v="CSTI Requerente_x000a_Diretoria - TI &gt; Sistemas &gt; Medicina"/>
    <s v="Diretoria - TI &gt; Infraestrutura &gt; Sup. Campo"/>
    <d v="2022-10-17T14:20:00"/>
    <s v="Incidente"/>
    <s v="Não está sujeita a aprovação"/>
    <s v="Baixa"/>
    <d v="1900-02-04T06:15:34"/>
    <d v="1900-02-04T06:15:34"/>
  </r>
  <r>
    <s v="45 755"/>
    <x v="6"/>
    <s v="Novo"/>
    <d v="2022-10-14T14:56:00"/>
    <s v="CSTI Requerente"/>
    <s v="Diretoria - TI &gt; Infraestrutura &gt; Sup. Campo"/>
    <d v="2022-10-14T14:56:00"/>
    <s v="Requisição"/>
    <s v="Não está sujeita a aprovação"/>
    <s v="Baixa"/>
    <d v="1900-02-07T05:39:34"/>
    <d v="1900-02-07T05:39:34"/>
  </r>
  <r>
    <s v="45 726"/>
    <x v="42"/>
    <s v="Novo"/>
    <d v="2022-10-14T09:09:00"/>
    <s v="CSTI Requerente"/>
    <s v="Diretoria - TI &gt; Infraestrutura &gt; Sup. Campo"/>
    <d v="2022-10-14T09:09:00"/>
    <s v="Requisição"/>
    <s v="Não está sujeita a aprovação"/>
    <s v="Baixa"/>
    <d v="1900-02-07T11:26:34"/>
    <d v="1900-02-07T11:26:34"/>
  </r>
  <r>
    <s v="45 242"/>
    <x v="0"/>
    <s v="Processando (atribuído)"/>
    <d v="2022-10-04T11:07:00"/>
    <s v="CSTI Requerente"/>
    <s v="Diretoria - TI &gt; Infraestrutura &gt; Sup. Campo"/>
    <d v="2022-10-13T16:10:00"/>
    <s v="Requisição"/>
    <s v="Não está sujeita a aprovação"/>
    <s v="Baixa"/>
    <d v="1900-02-17T09:28:34"/>
    <d v="1900-02-08T04:25:34"/>
  </r>
  <r>
    <s v="45 643"/>
    <x v="31"/>
    <s v="Processando (atribuído)"/>
    <d v="2022-10-13T09:31:00"/>
    <s v="CSTI Requerente"/>
    <s v="Diretoria - TI &gt; Infraestrutura &gt; Sup. Campo"/>
    <d v="2022-10-13T09:46:00"/>
    <s v="Requisição"/>
    <s v="Não está sujeita a aprovação"/>
    <s v="Baixa"/>
    <d v="1900-02-08T11:04:34"/>
    <d v="1900-02-08T10:49:34"/>
  </r>
  <r>
    <s v="45 627"/>
    <x v="10"/>
    <s v="Novo"/>
    <d v="2022-10-11T18:09:00"/>
    <s v="CSTI Requerente"/>
    <s v="Diretoria - TI &gt; Infraestrutura &gt; Sup. Campo"/>
    <d v="2022-10-11T18:09:00"/>
    <s v="Incidente"/>
    <s v="Não está sujeita a aprovação"/>
    <s v="Baixa"/>
    <d v="1900-02-10T02:26:34"/>
    <d v="1900-02-10T02:26:34"/>
  </r>
  <r>
    <s v="45 535"/>
    <x v="10"/>
    <s v="Novo"/>
    <d v="2022-10-10T16:20:00"/>
    <s v="CSTI Requerente"/>
    <s v="Diretoria - TI &gt; Infraestrutura &gt; Sup. Campo"/>
    <d v="2022-10-10T16:20:00"/>
    <s v="Incidente"/>
    <s v="Não está sujeita a aprovação"/>
    <s v="Baixa"/>
    <d v="1900-02-11T04:15:34"/>
    <d v="1900-02-11T04:15:34"/>
  </r>
  <r>
    <s v="44 631"/>
    <x v="43"/>
    <s v="Processando (atribuído)"/>
    <d v="2022-09-21T18:25:00"/>
    <s v="CSTI Requerente_x000a_Colaborador - Comum"/>
    <s v="Diretoria - TI &gt; Infraestrutura &gt; Sup. Campo"/>
    <d v="2022-10-04T15:27:00"/>
    <s v="Incidente"/>
    <s v="Não está sujeita a aprovação"/>
    <s v="Baixa"/>
    <d v="1900-03-02T02:10:34"/>
    <d v="1900-02-17T05:08:34"/>
  </r>
  <r>
    <s v="35 126"/>
    <x v="6"/>
    <s v="Processando (atribuído)"/>
    <d v="2022-04-12T11:34:00"/>
    <s v="CSTI Requerente"/>
    <s v="Diretoria - TI &gt; Infraestrutura &gt; Sup. Campo"/>
    <d v="2022-10-04T15:23:00"/>
    <s v="Requisição"/>
    <s v="Não está sujeita a aprovação"/>
    <s v="Baixa"/>
    <d v="1900-08-11T09:01:34"/>
    <d v="1900-02-17T05:12:34"/>
  </r>
  <r>
    <s v="45 003"/>
    <x v="23"/>
    <s v="Processando (atribuído)"/>
    <d v="2022-09-28T14:56:00"/>
    <s v="CSTI Requerente"/>
    <s v="Diretoria - TI &gt; Infraestrutura &gt; Sup. Campo"/>
    <d v="2022-10-04T15:21:00"/>
    <s v="Requisição"/>
    <s v="Não está sujeita a aprovação"/>
    <s v="Baixa"/>
    <d v="1900-02-23T05:39:34"/>
    <d v="1900-02-17T05:14:34"/>
  </r>
  <r>
    <s v="38 155"/>
    <x v="0"/>
    <s v="Processando (atribuído)"/>
    <d v="2022-06-01T15:46:00"/>
    <s v="CSTI Requerente"/>
    <s v="Diretoria - TI &gt; Infraestrutura &gt; Sup. Campo"/>
    <d v="2022-09-26T12:37:00"/>
    <s v="Requisição"/>
    <s v="Não está sujeita a aprovação"/>
    <s v="Baixa"/>
    <d v="1900-06-22T04:49:34"/>
    <d v="1900-02-25T07:58:34"/>
  </r>
  <r>
    <s v="44 135"/>
    <x v="44"/>
    <s v="Processando (atribuído)"/>
    <d v="2022-09-13T13:02:00"/>
    <s v="CSTI Requerente_x000a_Diretoria - TI &gt; Sistemas &gt; Medicina"/>
    <s v="Diretoria - TI &gt; Infraestrutura &gt; Sup. Campo"/>
    <d v="2022-09-19T09:01:00"/>
    <s v="Requisição"/>
    <s v="Não está sujeita a aprovação"/>
    <s v="Baixa"/>
    <d v="1900-03-10T07:33:34"/>
    <d v="1900-03-04T11:34:34"/>
  </r>
  <r>
    <s v="44 136"/>
    <x v="44"/>
    <s v="Processando (atribuído)"/>
    <d v="2022-09-13T13:06:00"/>
    <s v="CSTI Requerente_x000a_Diretoria - TI &gt; Sistemas &gt; Medicina"/>
    <s v="Diretoria - TI &gt; Infraestrutura &gt; Sup. Campo"/>
    <d v="2022-09-19T09:01:00"/>
    <s v="Requisição"/>
    <s v="Não está sujeita a aprovação"/>
    <s v="Baixa"/>
    <d v="1900-03-10T07:29:34"/>
    <d v="1900-03-04T11:34:34"/>
  </r>
  <r>
    <s v="41 913"/>
    <x v="44"/>
    <s v="Processando (atribuído)"/>
    <d v="2022-08-03T13:22:00"/>
    <s v="CSTI Requerente_x000a_Diretoria - TI &gt; Sistemas &gt; Medicina"/>
    <s v="Diretoria - TI &gt; Infraestrutura &gt; Sup. Campo"/>
    <d v="2022-08-30T15:01:00"/>
    <s v="Requisição"/>
    <s v="Não está sujeita a aprovação"/>
    <s v="Baixa"/>
    <d v="1900-04-20T07:13:34"/>
    <d v="1900-03-24T05:34:3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">
  <r>
    <s v="ID"/>
    <x v="0"/>
    <s v="Status"/>
    <s v="Data de abertura"/>
    <s v="Requerente - Grupo requerente"/>
    <s v="Atribuído para - Grupo técnico"/>
    <s v="Última atualização"/>
    <s v="Tipo"/>
    <s v="Aprovação - Aprovação"/>
    <s v="Prioridade"/>
    <e v="#VALUE!"/>
    <e v="#VALUE!"/>
  </r>
  <r>
    <s v="47 975"/>
    <x v="1"/>
    <s v="Pendente"/>
    <d v="2022-11-22T19:31:00"/>
    <s v="CSTI Requerente"/>
    <s v="Diretoria - TI &gt; Infraestrutura &gt; SD"/>
    <d v="2022-11-22T19:31:00"/>
    <s v="Requisição"/>
    <s v="Esperando por uma validação"/>
    <s v="Baixa"/>
    <d v="1899-12-30T01:04:34"/>
    <d v="1899-12-30T01:04:34"/>
  </r>
  <r>
    <s v="47 974"/>
    <x v="2"/>
    <s v="Novo"/>
    <d v="2022-11-22T18:57:00"/>
    <s v="CSTI Requerente"/>
    <s v="Diretoria - TI &gt; Infraestrutura &gt; SD"/>
    <d v="2022-11-22T18:57:00"/>
    <s v="Incidente"/>
    <s v="Não está sujeita a aprovação"/>
    <s v="Baixa"/>
    <d v="1899-12-30T01:38:34"/>
    <d v="1899-12-30T01:38:34"/>
  </r>
  <r>
    <s v="47 902"/>
    <x v="3"/>
    <s v="Processando (atribuído)"/>
    <d v="2022-11-21T18:17:00"/>
    <s v="CSTI Requerente"/>
    <s v="Diretoria - TI &gt; Infraestrutura &gt; SD"/>
    <d v="2022-11-22T17:33:00"/>
    <s v="Requisição"/>
    <s v="Concedida"/>
    <s v="Baixa"/>
    <d v="1899-12-31T02:18:34"/>
    <d v="1899-12-30T03:02:34"/>
  </r>
  <r>
    <s v="47 972"/>
    <x v="4"/>
    <s v="Pendente"/>
    <d v="2022-11-22T17:24:00"/>
    <s v="CSTI Requerente"/>
    <s v="Diretoria - TI &gt; Infraestrutura &gt; SD"/>
    <d v="2022-11-22T17:24:00"/>
    <s v="Requisição"/>
    <s v="Esperando por uma validação"/>
    <s v="Baixa"/>
    <d v="1899-12-30T03:11:34"/>
    <d v="1899-12-30T03:11:34"/>
  </r>
  <r>
    <s v="47 348"/>
    <x v="5"/>
    <s v="Processando (atribuído)"/>
    <d v="2022-11-10T10:17:00"/>
    <s v="CSTI Requerente"/>
    <s v="Diretoria - TI &gt; Infraestrutura &gt; SD"/>
    <d v="2022-11-22T16:46:00"/>
    <s v="Requisição"/>
    <s v="Concedida"/>
    <s v="Baixa"/>
    <d v="1900-01-11T10:18:34"/>
    <d v="1899-12-30T03:49:34"/>
  </r>
  <r>
    <s v="47 969"/>
    <x v="6"/>
    <s v="Novo"/>
    <d v="2022-11-22T16:28:00"/>
    <s v="CSTI Requerente"/>
    <s v="Diretoria - TI &gt; Infraestrutura &gt; SD"/>
    <d v="2022-11-22T16:28:00"/>
    <s v="Requisição"/>
    <s v="Não está sujeita a aprovação"/>
    <s v="Baixa"/>
    <d v="1899-12-30T04:07:34"/>
    <d v="1899-12-30T04:07:34"/>
  </r>
  <r>
    <s v="47 968"/>
    <x v="7"/>
    <s v="Novo"/>
    <d v="2022-11-22T16:17:00"/>
    <s v="CSTI Requerente"/>
    <s v="Diretoria - TI &gt; Infraestrutura &gt; SD"/>
    <d v="2022-11-22T16:17:00"/>
    <s v="Requisição"/>
    <s v="Não está sujeita a aprovação"/>
    <s v="Baixa"/>
    <d v="1899-12-30T04:18:34"/>
    <d v="1899-12-30T04:18:34"/>
  </r>
  <r>
    <s v="47 961"/>
    <x v="8"/>
    <s v="Pendente"/>
    <d v="2022-11-22T14:55:00"/>
    <s v="CSTI Requerente"/>
    <s v="Diretoria - TI &gt; Infraestrutura &gt; SD"/>
    <d v="2022-11-22T16:15:00"/>
    <s v="Requisição"/>
    <s v="Concedida"/>
    <s v="Baixa"/>
    <d v="1899-12-30T05:40:34"/>
    <d v="1899-12-30T04:20:34"/>
  </r>
  <r>
    <s v="47 962"/>
    <x v="8"/>
    <s v="Pendente"/>
    <d v="2022-11-22T15:00:00"/>
    <s v="CSTI Requerente"/>
    <s v="Diretoria - TI &gt; Infraestrutura &gt; SD"/>
    <d v="2022-11-22T16:14:00"/>
    <s v="Requisição"/>
    <s v="Concedida"/>
    <s v="Baixa"/>
    <d v="1899-12-30T05:35:34"/>
    <d v="1899-12-30T04:21:34"/>
  </r>
  <r>
    <s v="47 930"/>
    <x v="3"/>
    <s v="Processando (atribuído)"/>
    <d v="2022-11-22T10:41:00"/>
    <s v="CSTI Requerente"/>
    <s v="Diretoria - TI &gt; Infraestrutura &gt; SD"/>
    <d v="2022-11-22T16:10:00"/>
    <s v="Requisição"/>
    <s v="Concedida"/>
    <s v="Baixa"/>
    <d v="1899-12-30T09:54:34"/>
    <d v="1899-12-30T04:25:34"/>
  </r>
  <r>
    <s v="47 948"/>
    <x v="9"/>
    <s v="Pendente"/>
    <d v="2022-11-22T12:27:00"/>
    <s v="CSTI Requerente"/>
    <s v="Diretoria - TI &gt; Infraestrutura &gt; SD"/>
    <d v="2022-11-22T15:44:00"/>
    <s v="Requisição"/>
    <s v="Concedida"/>
    <s v="Baixa"/>
    <d v="1899-12-30T08:08:34"/>
    <d v="1899-12-30T04:51:34"/>
  </r>
  <r>
    <s v="47 966"/>
    <x v="5"/>
    <s v="Pendente"/>
    <d v="2022-11-22T15:10:00"/>
    <s v="CSTI Requerente"/>
    <s v="Diretoria - TI &gt; Infraestrutura &gt; SD"/>
    <d v="2022-11-22T15:22:00"/>
    <s v="Requisição"/>
    <s v="Concedida"/>
    <s v="Baixa"/>
    <d v="1899-12-30T05:25:34"/>
    <d v="1899-12-30T05:13:34"/>
  </r>
  <r>
    <s v="47 965"/>
    <x v="10"/>
    <s v="Pendente"/>
    <d v="2022-11-22T15:08:00"/>
    <s v="CSTI Requerente"/>
    <s v="Diretoria - TI &gt; Infraestrutura &gt; SD"/>
    <d v="2022-11-22T15:11:00"/>
    <s v="Requisição"/>
    <s v="Concedida"/>
    <s v="Baixa"/>
    <d v="1899-12-30T05:27:34"/>
    <d v="1899-12-30T05:24:34"/>
  </r>
  <r>
    <s v="47 749"/>
    <x v="11"/>
    <s v="Processando (atribuído)"/>
    <d v="2022-11-18T09:02:00"/>
    <s v="CSTI Requerente"/>
    <s v="Diretoria - TI &gt; Infraestrutura &gt; SD"/>
    <d v="2022-11-22T14:56:00"/>
    <s v="Requisição"/>
    <s v="Não está sujeita a aprovação"/>
    <s v="Baixa"/>
    <d v="1900-01-03T11:33:34"/>
    <d v="1899-12-30T05:39:34"/>
  </r>
  <r>
    <s v="47 832"/>
    <x v="9"/>
    <s v="Processando (atribuído)"/>
    <d v="2022-11-21T09:05:00"/>
    <s v="CSTI Requerente"/>
    <s v="Diretoria - TI &gt; Infraestrutura &gt; SD"/>
    <d v="2022-11-22T14:38:00"/>
    <s v="Requisição"/>
    <s v="Concedida"/>
    <s v="Baixa"/>
    <d v="1899-12-31T11:30:34"/>
    <d v="1899-12-30T05:57:34"/>
  </r>
  <r>
    <s v="47 837"/>
    <x v="9"/>
    <s v="Processando (atribuído)"/>
    <d v="2022-11-21T09:12:00"/>
    <s v="CSTI Requerente"/>
    <s v="Diretoria - TI &gt; Infraestrutura &gt; SD"/>
    <d v="2022-11-22T14:32:00"/>
    <s v="Requisição"/>
    <s v="Concedida"/>
    <s v="Baixa"/>
    <d v="1899-12-31T11:23:34"/>
    <d v="1899-12-30T06:03:34"/>
  </r>
  <r>
    <s v="47 814"/>
    <x v="12"/>
    <s v="Processando (atribuído)"/>
    <d v="2022-11-18T17:35:00"/>
    <s v="CSTI Requerente"/>
    <s v="Diretoria - TI &gt; Infraestrutura &gt; SD"/>
    <d v="2022-11-22T14:31:00"/>
    <s v="Requisição"/>
    <s v="Esperando por uma validação"/>
    <s v="Baixa"/>
    <d v="1900-01-03T03:00:34"/>
    <d v="1899-12-30T06:04:34"/>
  </r>
  <r>
    <s v="47 958"/>
    <x v="13"/>
    <s v="Novo"/>
    <d v="2022-11-22T14:17:00"/>
    <s v="CSTI Requerente"/>
    <s v="Diretoria - TI &gt; Infraestrutura &gt; SD"/>
    <d v="2022-11-22T14:17:00"/>
    <s v="Incidente"/>
    <s v="Não está sujeita a aprovação"/>
    <s v="Baixa"/>
    <d v="1899-12-30T06:18:34"/>
    <d v="1899-12-30T06:18:34"/>
  </r>
  <r>
    <s v="47 957"/>
    <x v="13"/>
    <s v="Novo"/>
    <d v="2022-11-22T14:12:00"/>
    <s v="CSTI Requerente"/>
    <s v="Diretoria - TI &gt; Infraestrutura &gt; SD"/>
    <d v="2022-11-22T14:12:00"/>
    <s v="Incidente"/>
    <s v="Não está sujeita a aprovação"/>
    <s v="Baixa"/>
    <d v="1899-12-30T06:23:34"/>
    <d v="1899-12-30T06:23:34"/>
  </r>
  <r>
    <s v="47 956"/>
    <x v="14"/>
    <s v="Novo"/>
    <d v="2022-11-22T14:03:00"/>
    <s v="CSTI Requerente"/>
    <s v="Diretoria - TI &gt; Infraestrutura &gt; SD"/>
    <d v="2022-11-22T14:04:00"/>
    <s v="Incidente"/>
    <s v="Não está sujeita a aprovação"/>
    <s v="Baixa"/>
    <d v="1899-12-30T06:32:34"/>
    <d v="1899-12-30T06:31:34"/>
  </r>
  <r>
    <s v="47 952"/>
    <x v="3"/>
    <s v="Pendente"/>
    <d v="2022-11-22T14:01:00"/>
    <s v="CSTI Requerente"/>
    <s v="Diretoria - TI &gt; Infraestrutura &gt; SD"/>
    <d v="2022-11-22T14:01:00"/>
    <s v="Requisição"/>
    <s v="Não está sujeita a aprovação"/>
    <s v="Baixa"/>
    <d v="1899-12-30T06:34:34"/>
    <d v="1899-12-30T06:34:34"/>
  </r>
  <r>
    <s v="47 788"/>
    <x v="9"/>
    <s v="Processando (atribuído)"/>
    <d v="2022-11-18T14:24:00"/>
    <s v="CSTI Requerente"/>
    <s v="Diretoria - TI &gt; Infraestrutura &gt; SD"/>
    <d v="2022-11-22T13:54:00"/>
    <s v="Requisição"/>
    <s v="Concedida"/>
    <s v="Baixa"/>
    <d v="1900-01-03T06:11:34"/>
    <d v="1899-12-30T06:41:34"/>
  </r>
  <r>
    <s v="47 693"/>
    <x v="8"/>
    <s v="Processando (atribuído)"/>
    <d v="2022-11-17T10:09:00"/>
    <s v="CSTI Requerente"/>
    <s v="Diretoria - TI &gt; Infraestrutura &gt; SD"/>
    <d v="2022-11-22T13:38:00"/>
    <s v="Requisição"/>
    <s v="Concedida"/>
    <s v="Baixa"/>
    <d v="1900-01-04T10:26:34"/>
    <d v="1899-12-30T06:57:34"/>
  </r>
  <r>
    <s v="47 694"/>
    <x v="8"/>
    <s v="Processando (atribuído)"/>
    <d v="2022-11-17T10:11:00"/>
    <s v="CSTI Requerente"/>
    <s v="Diretoria - TI &gt; Infraestrutura &gt; SD"/>
    <d v="2022-11-22T13:37:00"/>
    <s v="Requisição"/>
    <s v="Esperando por uma validação"/>
    <s v="Baixa"/>
    <d v="1900-01-04T10:24:34"/>
    <d v="1899-12-30T06:58:34"/>
  </r>
  <r>
    <s v="47 949"/>
    <x v="15"/>
    <s v="Pendente"/>
    <d v="2022-11-22T13:18:00"/>
    <s v="CSTI Requerente"/>
    <s v="Diretoria - TI &gt; Infraestrutura &gt; SD"/>
    <d v="2022-11-22T13:18:00"/>
    <s v="Requisição"/>
    <s v="Não está sujeita a aprovação"/>
    <s v="Baixa"/>
    <d v="1899-12-30T07:17:34"/>
    <d v="1899-12-30T07:17:34"/>
  </r>
  <r>
    <s v="47 947"/>
    <x v="7"/>
    <s v="Novo"/>
    <d v="2022-11-22T12:19:00"/>
    <s v="CSTI Requerente"/>
    <s v="Diretoria - TI &gt; Infraestrutura &gt; SD"/>
    <d v="2022-11-22T12:19:00"/>
    <s v="Requisição"/>
    <s v="Não está sujeita a aprovação"/>
    <s v="Baixa"/>
    <d v="1899-12-30T08:16:34"/>
    <d v="1899-12-30T08:16:34"/>
  </r>
  <r>
    <s v="47 935"/>
    <x v="3"/>
    <s v="Processando (atribuído)"/>
    <d v="2022-11-22T10:58:00"/>
    <s v="CSTI Requerente"/>
    <s v="Diretoria - TI &gt; Infraestrutura &gt; SD"/>
    <d v="2022-11-22T12:15:00"/>
    <s v="Requisição"/>
    <s v="Concedida"/>
    <s v="Baixa"/>
    <d v="1899-12-30T09:37:34"/>
    <d v="1899-12-30T08:20:34"/>
  </r>
  <r>
    <s v="47 690"/>
    <x v="8"/>
    <s v="Processando (atribuído)"/>
    <d v="2022-11-17T10:05:00"/>
    <s v="CSTI Requerente"/>
    <s v="Diretoria - TI &gt; Infraestrutura &gt; SD"/>
    <d v="2022-11-22T12:02:00"/>
    <s v="Requisição"/>
    <s v="Esperando por uma validação"/>
    <s v="Baixa"/>
    <d v="1900-01-04T10:30:34"/>
    <d v="1899-12-30T08:33:34"/>
  </r>
  <r>
    <s v="47 946"/>
    <x v="16"/>
    <s v="Processando (atribuído)"/>
    <d v="2022-11-22T12:00:00"/>
    <s v="CSTI Requerente"/>
    <s v="Diretoria - TI &gt; Infraestrutura &gt; SD"/>
    <d v="2022-11-22T12:00:00"/>
    <s v="Requisição"/>
    <s v="Não está sujeita a aprovação"/>
    <s v="Baixa"/>
    <d v="1899-12-30T08:35:34"/>
    <d v="1899-12-30T08:35:34"/>
  </r>
  <r>
    <s v="47 816"/>
    <x v="17"/>
    <s v="Processando (atribuído)"/>
    <d v="2022-11-18T17:48:00"/>
    <s v="CSTI Requerente"/>
    <s v="Diretoria - TI &gt; Infraestrutura &gt; SD"/>
    <d v="2022-11-22T11:47:00"/>
    <s v="Requisição"/>
    <s v="Concedida"/>
    <s v="Baixa"/>
    <d v="1900-01-03T02:47:34"/>
    <d v="1899-12-30T08:48:34"/>
  </r>
  <r>
    <s v="47 917"/>
    <x v="3"/>
    <s v="Processando (atribuído)"/>
    <d v="2022-11-22T09:49:00"/>
    <s v="Diretoria - TI &gt; Infraestrutura &gt; Infra - N1_x000a_CSTI Requerente"/>
    <s v="Diretoria - TI &gt; Infraestrutura &gt; SD"/>
    <d v="2022-11-22T11:32:00"/>
    <s v="Requisição"/>
    <s v="Não está sujeita a aprovação"/>
    <s v="Baixa"/>
    <d v="1899-12-30T10:46:34"/>
    <d v="1899-12-30T09:03:34"/>
  </r>
  <r>
    <s v="47 940"/>
    <x v="18"/>
    <s v="Novo"/>
    <d v="2022-11-22T11:19:00"/>
    <s v="CSTI Requerente"/>
    <s v="Diretoria - TI &gt; Infraestrutura &gt; SD"/>
    <d v="2022-11-22T11:19:00"/>
    <s v="Requisição"/>
    <s v="Não está sujeita a aprovação"/>
    <s v="Baixa"/>
    <d v="1899-12-30T09:16:34"/>
    <d v="1899-12-30T09:16:34"/>
  </r>
  <r>
    <s v="47 918"/>
    <x v="3"/>
    <s v="Processando (atribuído)"/>
    <d v="2022-11-22T09:52:00"/>
    <s v="Diretoria - TI &gt; Infraestrutura &gt; Infra - N1_x000a_CSTI Requerente"/>
    <s v="Diretoria - TI &gt; Infraestrutura &gt; SD"/>
    <d v="2022-11-22T11:15:00"/>
    <s v="Requisição"/>
    <s v="Não está sujeita a aprovação"/>
    <s v="Baixa"/>
    <d v="1899-12-30T10:43:34"/>
    <d v="1899-12-30T09:20:34"/>
  </r>
  <r>
    <s v="47 924"/>
    <x v="3"/>
    <s v="Processando (atribuído)"/>
    <d v="2022-11-22T10:06:00"/>
    <s v="Diretoria - TI &gt; Infraestrutura &gt; Infra - N1_x000a_CSTI Requerente"/>
    <s v="Diretoria - TI &gt; Infraestrutura &gt; SD"/>
    <d v="2022-11-22T11:15:00"/>
    <s v="Requisição"/>
    <s v="Não está sujeita a aprovação"/>
    <s v="Baixa"/>
    <d v="1899-12-30T10:29:34"/>
    <d v="1899-12-30T09:20:34"/>
  </r>
  <r>
    <s v="47 896"/>
    <x v="19"/>
    <s v="Processando (atribuído)"/>
    <d v="2022-11-21T17:12:00"/>
    <s v="CSTI Requerente"/>
    <s v="Diretoria - TI &gt; Infraestrutura &gt; SD"/>
    <d v="2022-11-22T11:04:00"/>
    <s v="Requisição"/>
    <s v="Concedida"/>
    <s v="Baixa"/>
    <d v="1899-12-31T03:23:34"/>
    <d v="1899-12-30T09:31:34"/>
  </r>
  <r>
    <s v="47 937"/>
    <x v="20"/>
    <s v="Novo"/>
    <d v="2022-11-22T11:04:00"/>
    <s v="CSTI Requerente"/>
    <s v="Diretoria - TI &gt; Infraestrutura &gt; SD"/>
    <d v="2022-11-22T11:04:00"/>
    <s v="Requisição"/>
    <s v="Não está sujeita a aprovação"/>
    <s v="Baixa"/>
    <d v="1899-12-30T09:31:34"/>
    <d v="1899-12-30T09:31:34"/>
  </r>
  <r>
    <s v="47 487"/>
    <x v="21"/>
    <s v="Processando (atribuído)"/>
    <d v="2022-11-11T16:56:00"/>
    <s v="CSTI Requerente"/>
    <s v="Diretoria - TI &gt; Infraestrutura &gt; SD"/>
    <d v="2022-11-22T10:53:00"/>
    <s v="Requisição"/>
    <s v="Não está sujeita a aprovação"/>
    <s v="Baixa"/>
    <d v="1900-01-10T03:39:34"/>
    <d v="1899-12-30T09:42:34"/>
  </r>
  <r>
    <s v="47 863"/>
    <x v="8"/>
    <s v="Processando (atribuído)"/>
    <d v="2022-11-21T11:48:00"/>
    <s v="CSTI Requerente"/>
    <s v="Diretoria - TI &gt; Infraestrutura &gt; SD"/>
    <d v="2022-11-22T10:51:00"/>
    <s v="Requisição"/>
    <s v="Concedida"/>
    <s v="Baixa"/>
    <d v="1899-12-31T08:47:34"/>
    <d v="1899-12-30T09:44:34"/>
  </r>
  <r>
    <s v="47 931"/>
    <x v="19"/>
    <s v="Pendente"/>
    <d v="2022-11-22T10:44:00"/>
    <s v="CSTI Requerente"/>
    <s v="Diretoria - TI &gt; Infraestrutura &gt; SD"/>
    <d v="2022-11-22T10:44:00"/>
    <s v="Requisição"/>
    <s v="Esperando por uma validação"/>
    <s v="Baixa"/>
    <d v="1899-12-30T09:51:34"/>
    <d v="1899-12-30T09:51:34"/>
  </r>
  <r>
    <s v="47 928"/>
    <x v="2"/>
    <s v="Novo"/>
    <d v="2022-11-22T10:34:00"/>
    <s v="CSTI Requerente"/>
    <s v="Diretoria - TI &gt; Infraestrutura &gt; SD"/>
    <d v="2022-11-22T10:34:00"/>
    <s v="Incidente"/>
    <s v="Não está sujeita a aprovação"/>
    <s v="Baixa"/>
    <d v="1899-12-30T10:01:34"/>
    <d v="1899-12-30T10:01:34"/>
  </r>
  <r>
    <s v="47 923"/>
    <x v="22"/>
    <s v="Pendente"/>
    <d v="2022-11-22T10:04:00"/>
    <s v="CSTI Requerente"/>
    <s v="Diretoria - TI &gt; Infraestrutura &gt; SD"/>
    <d v="2022-11-22T10:04:00"/>
    <s v="Requisição"/>
    <s v="Concedida"/>
    <s v="Baixa"/>
    <d v="1899-12-30T10:31:34"/>
    <d v="1899-12-30T10:31:34"/>
  </r>
  <r>
    <s v="47 692"/>
    <x v="8"/>
    <s v="Processando (atribuído)"/>
    <d v="2022-11-17T10:07:00"/>
    <s v="CSTI Requerente"/>
    <s v="Diretoria - TI &gt; Infraestrutura &gt; SD"/>
    <d v="2022-11-22T09:50:00"/>
    <s v="Requisição"/>
    <s v="Esperando por uma validação"/>
    <s v="Baixa"/>
    <d v="1900-01-04T10:28:34"/>
    <d v="1899-12-30T10:45:34"/>
  </r>
  <r>
    <s v="47 067"/>
    <x v="19"/>
    <s v="Processando (atribuído)"/>
    <d v="2022-11-07T14:15:00"/>
    <s v="CSTI Requerente"/>
    <s v="Diretoria - TI &gt; Infraestrutura &gt; SD"/>
    <d v="2022-11-22T08:59:00"/>
    <s v="Requisição"/>
    <s v="Concedida"/>
    <s v="Baixa"/>
    <d v="1900-01-14T06:20:34"/>
    <d v="1899-12-30T11:36:34"/>
  </r>
  <r>
    <s v="47 569"/>
    <x v="8"/>
    <s v="Processando (atribuído)"/>
    <d v="2022-11-14T17:46:00"/>
    <s v="CSTI Requerente"/>
    <s v="Diretoria - TI &gt; Infraestrutura &gt; SD"/>
    <d v="2022-11-22T08:53:00"/>
    <s v="Requisição"/>
    <s v="Concedida"/>
    <s v="Baixa"/>
    <d v="1900-01-07T02:49:34"/>
    <d v="1899-12-30T11:42:34"/>
  </r>
  <r>
    <s v="47 913"/>
    <x v="23"/>
    <s v="Novo"/>
    <d v="2022-11-22T08:49:00"/>
    <s v="CSTI Requerente"/>
    <s v="Diretoria - TI &gt; Infraestrutura &gt; SD"/>
    <d v="2022-11-22T08:49:00"/>
    <s v="Incidente"/>
    <s v="Não está sujeita a aprovação"/>
    <s v="Baixa"/>
    <d v="1899-12-30T11:46:34"/>
    <d v="1899-12-30T11:46:34"/>
  </r>
  <r>
    <s v="47 911"/>
    <x v="20"/>
    <s v="Novo"/>
    <d v="2022-11-22T08:28:00"/>
    <s v="CSTI Requerente"/>
    <s v="Diretoria - TI &gt; Infraestrutura &gt; SD"/>
    <d v="2022-11-22T08:28:00"/>
    <s v="Requisição"/>
    <s v="Não está sujeita a aprovação"/>
    <s v="Baixa"/>
    <d v="1899-12-30T12:07:34"/>
    <d v="1899-12-30T12:07:34"/>
  </r>
  <r>
    <s v="47 779"/>
    <x v="9"/>
    <s v="Processando (atribuído)"/>
    <d v="2022-11-18T11:48:00"/>
    <s v="CSTI Requerente"/>
    <s v="Diretoria - TI &gt; Infraestrutura &gt; SD"/>
    <d v="2022-11-22T08:04:00"/>
    <s v="Requisição"/>
    <s v="Concedida"/>
    <s v="Baixa"/>
    <d v="1900-01-03T08:47:34"/>
    <d v="1899-12-30T12:31:34"/>
  </r>
  <r>
    <s v="47 781"/>
    <x v="9"/>
    <s v="Processando (atribuído)"/>
    <d v="2022-11-18T11:52:00"/>
    <s v="CSTI Requerente"/>
    <s v="Diretoria - TI &gt; Infraestrutura &gt; SD"/>
    <d v="2022-11-22T08:04:00"/>
    <s v="Requisição"/>
    <s v="Concedida"/>
    <s v="Baixa"/>
    <d v="1900-01-03T08:43:34"/>
    <d v="1899-12-30T12:31:34"/>
  </r>
  <r>
    <s v="47 782"/>
    <x v="9"/>
    <s v="Processando (atribuído)"/>
    <d v="2022-11-18T11:55:00"/>
    <s v="CSTI Requerente"/>
    <s v="Diretoria - TI &gt; Infraestrutura &gt; SD"/>
    <d v="2022-11-22T08:04:00"/>
    <s v="Requisição"/>
    <s v="Concedida"/>
    <s v="Baixa"/>
    <d v="1900-01-03T08:40:34"/>
    <d v="1899-12-30T12:31:34"/>
  </r>
  <r>
    <s v="47 778"/>
    <x v="9"/>
    <s v="Processando (atribuído)"/>
    <d v="2022-11-18T11:46:00"/>
    <s v="CSTI Requerente"/>
    <s v="Diretoria - TI &gt; Infraestrutura &gt; SD"/>
    <d v="2022-11-22T08:03:00"/>
    <s v="Requisição"/>
    <s v="Concedida"/>
    <s v="Baixa"/>
    <d v="1900-01-03T08:49:34"/>
    <d v="1899-12-30T12:32:34"/>
  </r>
  <r>
    <s v="47 777"/>
    <x v="9"/>
    <s v="Processando (atribuído)"/>
    <d v="2022-11-18T11:44:00"/>
    <s v="CSTI Requerente"/>
    <s v="Diretoria - TI &gt; Infraestrutura &gt; SD"/>
    <d v="2022-11-22T08:03:00"/>
    <s v="Requisição"/>
    <s v="Concedida"/>
    <s v="Baixa"/>
    <d v="1900-01-03T08:51:34"/>
    <d v="1899-12-30T12:32:34"/>
  </r>
  <r>
    <s v="47 791"/>
    <x v="10"/>
    <s v="Pendente"/>
    <d v="2022-11-18T14:38:00"/>
    <s v="CSTI Requerente"/>
    <s v="Diretoria - TI &gt; Infraestrutura &gt; SD"/>
    <d v="2022-11-22T07:58:00"/>
    <s v="Requisição"/>
    <s v="Não está sujeita a aprovação"/>
    <s v="Baixa"/>
    <d v="1900-01-03T05:57:34"/>
    <d v="1899-12-30T12:37:34"/>
  </r>
  <r>
    <s v="47 897"/>
    <x v="24"/>
    <s v="Processando (atribuído)"/>
    <d v="2022-11-21T17:12:00"/>
    <s v="CSTI Requerente"/>
    <s v="Diretoria - TI &gt; Infraestrutura &gt; Sup. Remoto"/>
    <d v="2022-11-21T17:18:00"/>
    <s v="Incidente"/>
    <s v="Não está sujeita a aprovação"/>
    <s v="Baixa"/>
    <d v="1899-12-31T03:23:34"/>
    <d v="1899-12-31T03:17:34"/>
  </r>
  <r>
    <s v="47 877"/>
    <x v="25"/>
    <s v="Processando (atribuído)"/>
    <d v="2022-11-21T14:51:00"/>
    <s v="CSTI Requerente"/>
    <s v="Diretoria - TI &gt; Infraestrutura &gt; SD"/>
    <d v="2022-11-21T16:54:00"/>
    <s v="Requisição"/>
    <s v="Não está sujeita a aprovação"/>
    <s v="Baixa"/>
    <d v="1899-12-31T05:44:34"/>
    <d v="1899-12-31T03:41:34"/>
  </r>
  <r>
    <s v="47 725"/>
    <x v="26"/>
    <s v="Processando (atribuído)"/>
    <d v="2022-11-17T16:14:00"/>
    <s v="CSTI Requerente"/>
    <s v="Diretoria - TI &gt; Infraestrutura &gt; SD"/>
    <d v="2022-11-21T16:53:00"/>
    <s v="Requisição"/>
    <s v="Não está sujeita a aprovação"/>
    <s v="Baixa"/>
    <d v="1900-01-04T04:21:34"/>
    <d v="1899-12-31T03:42:34"/>
  </r>
  <r>
    <s v="47 887"/>
    <x v="27"/>
    <s v="Novo"/>
    <d v="2022-11-21T15:56:00"/>
    <s v="CSTI Requerente_x000a_Colaborador - Comum"/>
    <s v="Diretoria - TI &gt; Infraestrutura &gt; SD"/>
    <d v="2022-11-21T15:56:00"/>
    <s v="Requisição"/>
    <s v="Não está sujeita a aprovação"/>
    <s v="Baixa"/>
    <d v="1899-12-31T04:39:34"/>
    <d v="1899-12-31T04:39:34"/>
  </r>
  <r>
    <s v="47 879"/>
    <x v="28"/>
    <s v="Novo"/>
    <d v="2022-11-21T14:54:00"/>
    <s v="CSTI Requerente"/>
    <s v="Diretoria - TI &gt; Infraestrutura &gt; SD"/>
    <d v="2022-11-21T14:54:00"/>
    <s v="Incidente"/>
    <s v="Não está sujeita a aprovação"/>
    <s v="Baixa"/>
    <d v="1899-12-31T05:41:34"/>
    <d v="1899-12-31T05:41:34"/>
  </r>
  <r>
    <s v="47 835"/>
    <x v="21"/>
    <s v="Pendente"/>
    <d v="2022-11-21T09:08:00"/>
    <s v="CSTI Requerente"/>
    <s v="Diretoria - TI &gt; Infraestrutura &gt; SD"/>
    <d v="2022-11-21T13:55:00"/>
    <s v="Requisição"/>
    <s v="Concedida"/>
    <s v="Baixa"/>
    <d v="1899-12-31T11:27:34"/>
    <d v="1899-12-31T06:40:34"/>
  </r>
  <r>
    <s v="47 838"/>
    <x v="21"/>
    <s v="Processando (atribuído)"/>
    <d v="2022-11-21T09:13:00"/>
    <s v="CSTI Requerente"/>
    <s v="Diretoria - TI &gt; Infraestrutura &gt; SD"/>
    <d v="2022-11-21T13:54:00"/>
    <s v="Requisição"/>
    <s v="Concedida"/>
    <s v="Baixa"/>
    <d v="1899-12-31T11:22:34"/>
    <d v="1899-12-31T06:41:34"/>
  </r>
  <r>
    <s v="47 871"/>
    <x v="17"/>
    <s v="Pendente"/>
    <d v="2022-11-21T13:52:00"/>
    <s v="CSTI Requerente_x000a_Diretoria - MKT &gt; Site &gt; Site EAD"/>
    <s v="Diretoria - TI &gt; Infraestrutura &gt; SD"/>
    <d v="2022-11-21T13:52:00"/>
    <s v="Requisição"/>
    <s v="Não está sujeita a aprovação"/>
    <s v="Baixa"/>
    <d v="1899-12-31T06:43:34"/>
    <d v="1899-12-31T06:43:34"/>
  </r>
  <r>
    <s v="47 860"/>
    <x v="29"/>
    <s v="Processando (atribuído)"/>
    <d v="2022-11-21T11:01:00"/>
    <s v="CSTI Requerente"/>
    <s v="Diretoria - TI &gt; Infraestrutura &gt; SD"/>
    <d v="2022-11-21T12:36:00"/>
    <s v="Requisição"/>
    <s v="Não está sujeita a aprovação"/>
    <s v="Baixa"/>
    <d v="1899-12-31T09:34:34"/>
    <d v="1899-12-31T07:59:34"/>
  </r>
  <r>
    <s v="47 481"/>
    <x v="10"/>
    <s v="Processando (atribuído)"/>
    <d v="2022-11-11T15:34:00"/>
    <s v="CSTI Requerente"/>
    <s v="Diretoria - TI &gt; Infraestrutura &gt; SD"/>
    <d v="2022-11-21T12:34:00"/>
    <s v="Requisição"/>
    <s v="Concedida"/>
    <s v="Muito alta"/>
    <d v="1900-01-10T05:01:34"/>
    <d v="1899-12-31T08:01:34"/>
  </r>
  <r>
    <s v="47 826"/>
    <x v="30"/>
    <s v="Processando (atribuído)"/>
    <d v="2022-11-21T08:53:00"/>
    <s v="Diretoria - TI &gt; Sistemas &gt; WEB_x000a_CSTI Requerente_x000a_Diretoria - TI &gt; Sistemas &gt; Universo EAD"/>
    <s v="Diretoria - TI &gt; Infraestrutura &gt; Sup. Remoto"/>
    <d v="2022-11-21T12:28:00"/>
    <s v="Requisição"/>
    <s v="Esperando por uma validação"/>
    <s v="Baixa"/>
    <d v="1899-12-31T11:42:34"/>
    <d v="1899-12-31T08:07:34"/>
  </r>
  <r>
    <s v="47 861"/>
    <x v="31"/>
    <s v="Novo"/>
    <d v="2022-11-21T11:05:00"/>
    <s v="CSTI Requerente"/>
    <s v="Diretoria - TI &gt; Infraestrutura &gt; SD"/>
    <d v="2022-11-21T11:05:00"/>
    <s v="Incidente"/>
    <s v="Não está sujeita a aprovação"/>
    <s v="Baixa"/>
    <d v="1899-12-31T09:30:34"/>
    <d v="1899-12-31T09:30:34"/>
  </r>
  <r>
    <s v="47 847"/>
    <x v="32"/>
    <s v="Pendente"/>
    <d v="2022-11-21T09:57:00"/>
    <s v="CSTI Requerente"/>
    <s v="Diretoria - TI &gt; Infraestrutura &gt; SD"/>
    <d v="2022-11-21T10:54:00"/>
    <s v="Requisição"/>
    <s v="Concedida"/>
    <s v="Baixa"/>
    <d v="1899-12-31T10:38:34"/>
    <d v="1899-12-31T09:41:34"/>
  </r>
  <r>
    <s v="47 831"/>
    <x v="1"/>
    <s v="Processando (atribuído)"/>
    <d v="2022-11-21T09:04:00"/>
    <s v="CSTI Requerente"/>
    <s v="Diretoria - TI &gt; Infraestrutura &gt; SD"/>
    <d v="2022-11-21T10:37:00"/>
    <s v="Requisição"/>
    <s v="Concedida"/>
    <s v="Baixa"/>
    <d v="1899-12-31T11:31:34"/>
    <d v="1899-12-31T09:58:34"/>
  </r>
  <r>
    <s v="47 654"/>
    <x v="33"/>
    <s v="Processando (atribuído)"/>
    <d v="2022-11-16T16:47:00"/>
    <s v="CSTI Requerente"/>
    <s v="Diretoria - TI &gt; Infraestrutura &gt; SD"/>
    <d v="2022-11-21T10:27:00"/>
    <s v="Requisição"/>
    <s v="Não está sujeita a aprovação"/>
    <s v="Baixa"/>
    <d v="1900-01-05T03:48:34"/>
    <d v="1899-12-31T10:08:34"/>
  </r>
  <r>
    <s v="47 675"/>
    <x v="1"/>
    <s v="Pendente"/>
    <d v="2022-11-17T08:53:00"/>
    <s v="CSTI Requerente"/>
    <s v="Diretoria - TI &gt; Infraestrutura &gt; SD"/>
    <d v="2022-11-21T10:11:00"/>
    <s v="Requisição"/>
    <s v="Concedida"/>
    <s v="Baixa"/>
    <d v="1900-01-04T11:42:34"/>
    <d v="1899-12-31T10:24:34"/>
  </r>
  <r>
    <s v="47 088"/>
    <x v="34"/>
    <s v="Processando (atribuído)"/>
    <d v="2022-11-07T15:28:00"/>
    <s v="Diretoria - TI &gt; Infraestrutura &gt; Sup. Remoto_x000a_Diretoria - TI &gt; Infraestrutura &gt; SD_x000a_CSTI Requerente"/>
    <s v="Diretoria - TI &gt; Infraestrutura &gt; SD"/>
    <d v="2022-11-21T09:57:00"/>
    <s v="Requisição"/>
    <s v="Não está sujeita a aprovação"/>
    <s v="Baixa"/>
    <d v="1900-01-14T05:07:34"/>
    <d v="1899-12-31T10:38:34"/>
  </r>
  <r>
    <s v="47 844"/>
    <x v="2"/>
    <s v="Novo"/>
    <d v="2022-11-21T09:42:00"/>
    <s v="CSTI Requerente"/>
    <s v="Diretoria - TI &gt; Infraestrutura &gt; SD"/>
    <d v="2022-11-21T09:42:00"/>
    <s v="Incidente"/>
    <s v="Não está sujeita a aprovação"/>
    <s v="Baixa"/>
    <d v="1899-12-31T10:53:34"/>
    <d v="1899-12-31T10:53:34"/>
  </r>
  <r>
    <s v="47 841"/>
    <x v="22"/>
    <s v="Pendente"/>
    <d v="2022-11-21T09:25:00"/>
    <s v="CSTI Requerente_x000a_Não possui aprovador"/>
    <s v="Diretoria - TI &gt; Infraestrutura &gt; SD"/>
    <d v="2022-11-21T09:26:00"/>
    <s v="Requisição"/>
    <s v="Concedida"/>
    <s v="Baixa"/>
    <d v="1899-12-31T11:10:34"/>
    <d v="1899-12-31T11:09:34"/>
  </r>
  <r>
    <s v="47 833"/>
    <x v="35"/>
    <s v="Pendente"/>
    <d v="2022-11-21T09:08:00"/>
    <s v="CSTI Requerente"/>
    <s v="Diretoria - TI &gt; Infraestrutura &gt; SD"/>
    <d v="2022-11-21T09:20:00"/>
    <s v="Requisição"/>
    <s v="Concedida"/>
    <s v="Baixa"/>
    <d v="1899-12-31T11:27:34"/>
    <d v="1899-12-31T11:15:34"/>
  </r>
  <r>
    <s v="47 822"/>
    <x v="28"/>
    <s v="Novo"/>
    <d v="2022-11-21T08:24:00"/>
    <s v="CSTI Requerente"/>
    <s v="Diretoria - TI &gt; Infraestrutura &gt; SD"/>
    <d v="2022-11-21T08:24:00"/>
    <s v="Incidente"/>
    <s v="Não está sujeita a aprovação"/>
    <s v="Baixa"/>
    <d v="1899-12-31T12:11:34"/>
    <d v="1899-12-31T12:11:34"/>
  </r>
  <r>
    <s v="47 821"/>
    <x v="2"/>
    <s v="Novo"/>
    <d v="2022-11-21T08:16:00"/>
    <s v="CSTI Requerente"/>
    <s v="Diretoria - TI &gt; Infraestrutura &gt; SD"/>
    <d v="2022-11-21T08:16:00"/>
    <s v="Incidente"/>
    <s v="Não está sujeita a aprovação"/>
    <s v="Baixa"/>
    <d v="1899-12-31T12:19:34"/>
    <d v="1899-12-31T12:19:34"/>
  </r>
  <r>
    <s v="47 175"/>
    <x v="8"/>
    <s v="Processando (atribuído)"/>
    <d v="2022-11-08T13:17:00"/>
    <s v="CSTI Requerente"/>
    <s v="Diretoria - TI &gt; Infraestrutura &gt; SD"/>
    <d v="2022-11-21T08:05:00"/>
    <s v="Requisição"/>
    <s v="Esperando por uma validação"/>
    <s v="Baixa"/>
    <d v="1900-01-13T07:18:34"/>
    <d v="1899-12-31T12:30:34"/>
  </r>
  <r>
    <s v="47 563"/>
    <x v="21"/>
    <s v="Pendente"/>
    <d v="2022-11-14T16:04:00"/>
    <s v="CSTI Requerente"/>
    <s v="Diretoria - TI &gt; Infraestrutura &gt; SD"/>
    <d v="2022-11-19T12:37:00"/>
    <s v="Requisição"/>
    <s v="Concedida"/>
    <s v="Baixa"/>
    <d v="1900-01-07T04:31:34"/>
    <d v="1900-01-02T07:58:34"/>
  </r>
  <r>
    <s v="45 270"/>
    <x v="36"/>
    <s v="Processando (atribuído)"/>
    <d v="2022-10-04T16:06:00"/>
    <s v="CSTI Requerente"/>
    <s v="Diretoria - TI &gt; Infraestrutura &gt; SD"/>
    <d v="2022-11-19T10:56:00"/>
    <s v="Requisição"/>
    <s v="Esperando por uma validação"/>
    <s v="Baixa"/>
    <d v="1900-02-17T04:29:34"/>
    <d v="1900-01-02T09:39:34"/>
  </r>
  <r>
    <s v="47 807"/>
    <x v="2"/>
    <s v="Novo"/>
    <d v="2022-11-18T16:39:00"/>
    <s v="CSTI Requerente"/>
    <s v="Diretoria - TI &gt; Infraestrutura &gt; SD"/>
    <d v="2022-11-18T16:39:00"/>
    <s v="Incidente"/>
    <s v="Não está sujeita a aprovação"/>
    <s v="Baixa"/>
    <d v="1900-01-03T03:56:34"/>
    <d v="1900-01-03T03:56:34"/>
  </r>
  <r>
    <s v="47 796"/>
    <x v="37"/>
    <s v="Pendente"/>
    <d v="2022-11-18T15:24:00"/>
    <s v="CSTI Requerente"/>
    <s v="Diretoria - TI &gt; Infraestrutura &gt; SD"/>
    <d v="2022-11-18T15:27:00"/>
    <s v="Requisição"/>
    <s v="Concedida"/>
    <s v="Baixa"/>
    <d v="1900-01-03T05:11:34"/>
    <d v="1900-01-03T05:08:34"/>
  </r>
  <r>
    <s v="47 783"/>
    <x v="9"/>
    <s v="Pendente"/>
    <d v="2022-11-18T12:07:00"/>
    <s v="CSTI Requerente"/>
    <s v="Diretoria - TI &gt; Infraestrutura &gt; SD"/>
    <d v="2022-11-18T14:08:00"/>
    <s v="Requisição"/>
    <s v="Concedida"/>
    <s v="Baixa"/>
    <d v="1900-01-03T08:28:34"/>
    <d v="1900-01-03T06:27:34"/>
  </r>
  <r>
    <s v="47 480"/>
    <x v="10"/>
    <s v="Processando (atribuído)"/>
    <d v="2022-11-11T15:28:00"/>
    <s v="CSTI Requerente"/>
    <s v="Diretoria - TI &gt; Infraestrutura &gt; SD"/>
    <d v="2022-11-18T12:03:00"/>
    <s v="Requisição"/>
    <s v="Esperando por uma validação"/>
    <s v="Baixa"/>
    <d v="1900-01-10T05:07:34"/>
    <d v="1900-01-03T08:32:34"/>
  </r>
  <r>
    <s v="47 774"/>
    <x v="10"/>
    <s v="Pendente"/>
    <d v="2022-11-18T11:29:00"/>
    <s v="CSTI Requerente"/>
    <s v="Diretoria - TI &gt; Infraestrutura &gt; SD"/>
    <d v="2022-11-18T12:02:00"/>
    <s v="Requisição"/>
    <s v="Não está sujeita a aprovação"/>
    <s v="Baixa"/>
    <d v="1900-01-03T09:06:34"/>
    <d v="1900-01-03T08:33:34"/>
  </r>
  <r>
    <s v="47 767"/>
    <x v="10"/>
    <s v="Pendente"/>
    <d v="2022-11-18T10:58:00"/>
    <s v="CSTI Requerente"/>
    <s v="Diretoria - TI &gt; Infraestrutura &gt; SD"/>
    <d v="2022-11-18T10:58:00"/>
    <s v="Requisição"/>
    <s v="Não está sujeita a aprovação"/>
    <s v="Baixa"/>
    <d v="1900-01-03T09:37:34"/>
    <d v="1900-01-03T09:37:34"/>
  </r>
  <r>
    <s v="47 759"/>
    <x v="28"/>
    <s v="Novo"/>
    <d v="2022-11-18T10:19:00"/>
    <s v="CSTI Requerente"/>
    <s v="Diretoria - TI &gt; Infraestrutura &gt; SD"/>
    <d v="2022-11-18T10:19:00"/>
    <s v="Incidente"/>
    <s v="Não está sujeita a aprovação"/>
    <s v="Baixa"/>
    <d v="1900-01-03T10:16:34"/>
    <d v="1900-01-03T10:16:34"/>
  </r>
  <r>
    <s v="47 747"/>
    <x v="38"/>
    <s v="Pendente"/>
    <d v="2022-11-18T08:34:00"/>
    <s v="CSTI Requerente"/>
    <s v="Diretoria - TI &gt; Infraestrutura &gt; SD"/>
    <d v="2022-11-18T09:41:00"/>
    <s v="Requisição"/>
    <s v="Concedida"/>
    <s v="Baixa"/>
    <d v="1900-01-03T12:01:34"/>
    <d v="1900-01-03T10:54:34"/>
  </r>
  <r>
    <s v="45 392"/>
    <x v="39"/>
    <s v="Processando (atribuído)"/>
    <d v="2022-10-06T10:23:00"/>
    <s v="CSTI Requerente"/>
    <s v="Diretoria - TI &gt; Infraestrutura &gt; Sup. Remoto"/>
    <d v="2022-11-18T07:36:00"/>
    <s v="Incidente"/>
    <s v="Não está sujeita a aprovação"/>
    <s v="Baixa"/>
    <d v="1900-02-15T10:12:34"/>
    <d v="1900-01-03T12:59:34"/>
  </r>
  <r>
    <s v="47 354"/>
    <x v="9"/>
    <s v="Processando (atribuído)"/>
    <d v="2022-11-10T11:17:00"/>
    <s v="CSTI Requerente"/>
    <s v="Diretoria - TI &gt; Infraestrutura &gt; SD"/>
    <d v="2022-11-18T07:35:00"/>
    <s v="Requisição"/>
    <s v="Concedida"/>
    <s v="Baixa"/>
    <d v="1900-01-11T09:18:34"/>
    <d v="1900-01-03T13:00:34"/>
  </r>
  <r>
    <s v="47 736"/>
    <x v="18"/>
    <s v="Novo"/>
    <d v="2022-11-17T17:43:00"/>
    <s v="CSTI Requerente"/>
    <s v="Diretoria - TI &gt; Infraestrutura &gt; SD"/>
    <d v="2022-11-17T17:43:00"/>
    <s v="Requisição"/>
    <s v="Não está sujeita a aprovação"/>
    <s v="Baixa"/>
    <d v="1900-01-04T02:52:34"/>
    <d v="1900-01-04T02:52:34"/>
  </r>
  <r>
    <s v="47 716"/>
    <x v="40"/>
    <s v="Processando (atribuído)"/>
    <d v="2022-11-17T13:57:00"/>
    <s v="CSTI Requerente_x000a_Não possui aprovador"/>
    <s v="Diretoria - TI &gt; Infraestrutura &gt; SD"/>
    <d v="2022-11-17T16:52:00"/>
    <s v="Incidente"/>
    <s v="Não está sujeita a aprovação"/>
    <s v="Baixa"/>
    <d v="1900-01-04T06:38:34"/>
    <d v="1900-01-04T03:43:34"/>
  </r>
  <r>
    <s v="47 717"/>
    <x v="2"/>
    <s v="Novo"/>
    <d v="2022-11-17T13:58:00"/>
    <s v="CSTI Requerente"/>
    <s v="Diretoria - TI &gt; Infraestrutura &gt; SD"/>
    <d v="2022-11-17T13:58:00"/>
    <s v="Incidente"/>
    <s v="Não está sujeita a aprovação"/>
    <s v="Baixa"/>
    <d v="1900-01-04T06:37:34"/>
    <d v="1900-01-04T06:37:34"/>
  </r>
  <r>
    <s v="47 711"/>
    <x v="41"/>
    <s v="Novo"/>
    <d v="2022-11-17T12:11:00"/>
    <s v="CSTI Requerente"/>
    <s v="Diretoria - TI &gt; Infraestrutura &gt; SD"/>
    <d v="2022-11-17T12:11:00"/>
    <s v="Requisição"/>
    <s v="Não está sujeita a aprovação"/>
    <s v="Baixa"/>
    <d v="1900-01-04T08:24:34"/>
    <d v="1900-01-04T08:24:34"/>
  </r>
  <r>
    <s v="47 710"/>
    <x v="11"/>
    <s v="Novo"/>
    <d v="2022-11-17T11:50:00"/>
    <s v="CSTI Requerente"/>
    <s v="Diretoria - TI &gt; Infraestrutura &gt; SD"/>
    <d v="2022-11-17T11:50:00"/>
    <s v="Requisição"/>
    <s v="Não está sujeita a aprovação"/>
    <s v="Baixa"/>
    <d v="1900-01-04T08:45:34"/>
    <d v="1900-01-04T08:45:34"/>
  </r>
  <r>
    <s v="47 709"/>
    <x v="13"/>
    <s v="Novo"/>
    <d v="2022-11-17T11:29:00"/>
    <s v="CSTI Requerente"/>
    <s v="Diretoria - TI &gt; Infraestrutura &gt; SD"/>
    <d v="2022-11-17T11:29:00"/>
    <s v="Incidente"/>
    <s v="Não está sujeita a aprovação"/>
    <s v="Baixa"/>
    <d v="1900-01-04T09:06:34"/>
    <d v="1900-01-04T09:06:34"/>
  </r>
  <r>
    <s v="47 708"/>
    <x v="1"/>
    <s v="Pendente"/>
    <d v="2022-11-17T11:17:00"/>
    <s v="CSTI Requerente"/>
    <s v="Diretoria - TI &gt; Infraestrutura &gt; SD"/>
    <d v="2022-11-17T11:17:00"/>
    <s v="Requisição"/>
    <s v="Não está sujeita a aprovação"/>
    <s v="Baixa"/>
    <d v="1900-01-04T09:18:34"/>
    <d v="1900-01-04T09:18:34"/>
  </r>
  <r>
    <s v="47 707"/>
    <x v="42"/>
    <s v="Novo"/>
    <d v="2022-11-17T11:15:00"/>
    <s v="CSTI Requerente"/>
    <s v="Diretoria - TI &gt; Infraestrutura &gt; SD"/>
    <d v="2022-11-17T11:15:00"/>
    <s v="Incidente"/>
    <s v="Não está sujeita a aprovação"/>
    <s v="Baixa"/>
    <d v="1900-01-04T09:20:34"/>
    <d v="1900-01-04T09:20:34"/>
  </r>
  <r>
    <s v="47 687"/>
    <x v="1"/>
    <s v="Processando (atribuído)"/>
    <d v="2022-11-17T09:30:00"/>
    <s v="CSTI Requerente"/>
    <s v="Diretoria - TI &gt; Infraestrutura &gt; SD"/>
    <d v="2022-11-17T10:01:00"/>
    <s v="Requisição"/>
    <s v="Concedida"/>
    <s v="Baixa"/>
    <d v="1900-01-04T11:05:34"/>
    <d v="1900-01-04T10:34:34"/>
  </r>
  <r>
    <s v="47 679"/>
    <x v="1"/>
    <s v="Processando (atribuído)"/>
    <d v="2022-11-17T09:08:00"/>
    <s v="CSTI Requerente"/>
    <s v="Diretoria - TI &gt; Infraestrutura &gt; SD"/>
    <d v="2022-11-17T09:38:00"/>
    <s v="Requisição"/>
    <s v="Concedida"/>
    <s v="Baixa"/>
    <d v="1900-01-04T11:27:34"/>
    <d v="1900-01-04T10:57:34"/>
  </r>
  <r>
    <s v="47 576"/>
    <x v="10"/>
    <s v="Pendente"/>
    <d v="2022-11-16T08:38:00"/>
    <s v="CSTI Requerente"/>
    <s v="Diretoria - TI &gt; Infraestrutura &gt; SD"/>
    <d v="2022-11-17T09:21:00"/>
    <s v="Requisição"/>
    <s v="Concedida"/>
    <s v="Baixa"/>
    <d v="1900-01-05T11:57:34"/>
    <d v="1900-01-04T11:14:34"/>
  </r>
  <r>
    <s v="47 670"/>
    <x v="10"/>
    <s v="Pendente"/>
    <d v="2022-11-17T08:24:00"/>
    <s v="CSTI Requerente"/>
    <s v="Diretoria - TI &gt; Infraestrutura &gt; SD"/>
    <d v="2022-11-17T08:24:00"/>
    <s v="Requisição"/>
    <s v="Não está sujeita a aprovação"/>
    <s v="Baixa"/>
    <d v="1900-01-04T12:11:34"/>
    <d v="1900-01-04T12:11:34"/>
  </r>
  <r>
    <s v="47 669"/>
    <x v="1"/>
    <s v="Pendente"/>
    <d v="2022-11-17T08:21:00"/>
    <s v="CSTI Requerente"/>
    <s v="Diretoria - TI &gt; Infraestrutura &gt; SD"/>
    <d v="2022-11-17T08:21:00"/>
    <s v="Requisição"/>
    <s v="Não está sujeita a aprovação"/>
    <s v="Baixa"/>
    <d v="1900-01-04T12:14:34"/>
    <d v="1900-01-04T12:14:34"/>
  </r>
  <r>
    <s v="47 664"/>
    <x v="22"/>
    <s v="Pendente"/>
    <d v="2022-11-16T17:52:00"/>
    <s v="CSTI Requerente"/>
    <s v="Diretoria - TI &gt; Infraestrutura &gt; SD"/>
    <d v="2022-11-16T17:52:00"/>
    <s v="Requisição"/>
    <s v="Não está sujeita a aprovação"/>
    <s v="Baixa"/>
    <d v="1900-01-05T02:43:34"/>
    <d v="1900-01-05T02:43:34"/>
  </r>
  <r>
    <s v="47 662"/>
    <x v="32"/>
    <s v="Pendente"/>
    <d v="2022-11-16T17:24:00"/>
    <s v="CSTI Requerente"/>
    <s v="Diretoria - TI &gt; Infraestrutura &gt; SD"/>
    <d v="2022-11-16T17:38:00"/>
    <s v="Requisição"/>
    <s v="Concedida"/>
    <s v="Baixa"/>
    <d v="1900-01-05T03:11:34"/>
    <d v="1900-01-05T02:57:34"/>
  </r>
  <r>
    <s v="47 659"/>
    <x v="13"/>
    <s v="Novo"/>
    <d v="2022-11-16T17:05:00"/>
    <s v="CSTI Requerente"/>
    <s v="Diretoria - TI &gt; Infraestrutura &gt; SD"/>
    <d v="2022-11-16T17:05:00"/>
    <s v="Incidente"/>
    <s v="Não está sujeita a aprovação"/>
    <s v="Baixa"/>
    <d v="1900-01-05T03:30:34"/>
    <d v="1900-01-05T03:30:34"/>
  </r>
  <r>
    <s v="47 636"/>
    <x v="10"/>
    <s v="Pendente"/>
    <d v="2022-11-16T15:55:00"/>
    <s v="CSTI Requerente"/>
    <s v="Diretoria - TI &gt; Infraestrutura &gt; SD"/>
    <d v="2022-11-16T16:42:00"/>
    <s v="Requisição"/>
    <s v="Concedida"/>
    <s v="Baixa"/>
    <d v="1900-01-05T04:40:34"/>
    <d v="1900-01-05T03:53:34"/>
  </r>
  <r>
    <s v="46 608"/>
    <x v="43"/>
    <s v="Pendente"/>
    <d v="2022-10-31T16:18:00"/>
    <s v="CSTI Requerente"/>
    <s v="Diretoria - TI &gt; Infraestrutura &gt; SD"/>
    <d v="2022-11-16T16:41:00"/>
    <s v="Requisição"/>
    <s v="Não está sujeita a aprovação"/>
    <s v="Baixa"/>
    <d v="1900-01-21T04:17:34"/>
    <d v="1900-01-05T03:54:34"/>
  </r>
  <r>
    <s v="47 229"/>
    <x v="43"/>
    <s v="Pendente"/>
    <d v="2022-11-08T16:06:00"/>
    <s v="CSTI Requerente"/>
    <s v="Diretoria - TI &gt; Infraestrutura &gt; SD"/>
    <d v="2022-11-16T16:41:00"/>
    <s v="Requisição"/>
    <s v="Não está sujeita a aprovação"/>
    <s v="Baixa"/>
    <d v="1900-01-13T04:29:34"/>
    <d v="1900-01-05T03:54:34"/>
  </r>
  <r>
    <s v="47 230"/>
    <x v="43"/>
    <s v="Pendente"/>
    <d v="2022-11-08T16:12:00"/>
    <s v="CSTI Requerente"/>
    <s v="Diretoria - TI &gt; Infraestrutura &gt; SD"/>
    <d v="2022-11-16T16:41:00"/>
    <s v="Requisição"/>
    <s v="Não está sujeita a aprovação"/>
    <s v="Baixa"/>
    <d v="1900-01-13T04:23:34"/>
    <d v="1900-01-05T03:54:34"/>
  </r>
  <r>
    <s v="47 231"/>
    <x v="43"/>
    <s v="Pendente"/>
    <d v="2022-11-08T16:14:00"/>
    <s v="CSTI Requerente"/>
    <s v="Diretoria - TI &gt; Infraestrutura &gt; SD"/>
    <d v="2022-11-16T16:41:00"/>
    <s v="Requisição"/>
    <s v="Não está sujeita a aprovação"/>
    <s v="Baixa"/>
    <d v="1900-01-13T04:21:34"/>
    <d v="1900-01-05T03:54:34"/>
  </r>
  <r>
    <s v="47 233"/>
    <x v="43"/>
    <s v="Pendente"/>
    <d v="2022-11-08T16:23:00"/>
    <s v="CSTI Requerente"/>
    <s v="Diretoria - TI &gt; Infraestrutura &gt; SD"/>
    <d v="2022-11-16T16:41:00"/>
    <s v="Requisição"/>
    <s v="Não está sujeita a aprovação"/>
    <s v="Baixa"/>
    <d v="1900-01-13T04:12:34"/>
    <d v="1900-01-05T03:54:34"/>
  </r>
  <r>
    <s v="47 427"/>
    <x v="43"/>
    <s v="Pendente"/>
    <d v="2022-11-11T09:50:00"/>
    <s v="CSTI Requerente"/>
    <s v="Diretoria - TI &gt; Infraestrutura &gt; SD"/>
    <d v="2022-11-16T16:41:00"/>
    <s v="Requisição"/>
    <s v="Não está sujeita a aprovação"/>
    <s v="Baixa"/>
    <d v="1900-01-10T10:45:34"/>
    <d v="1900-01-05T03:54:34"/>
  </r>
  <r>
    <s v="47 637"/>
    <x v="44"/>
    <s v="Pendente"/>
    <d v="2022-11-16T15:55:00"/>
    <s v="CSTI Requerente"/>
    <s v="Diretoria - TI &gt; Infraestrutura &gt; SD"/>
    <d v="2022-11-16T15:55:00"/>
    <s v="Requisição"/>
    <s v="Esperando por uma validação"/>
    <s v="Baixa"/>
    <d v="1900-01-05T04:40:34"/>
    <d v="1900-01-05T04:40:34"/>
  </r>
  <r>
    <s v="47 618"/>
    <x v="37"/>
    <s v="Pendente"/>
    <d v="2022-11-16T14:34:00"/>
    <s v="CSTI Requerente"/>
    <s v="Diretoria - TI &gt; Infraestrutura &gt; SD"/>
    <d v="2022-11-16T14:35:00"/>
    <s v="Requisição"/>
    <s v="Concedida"/>
    <s v="Baixa"/>
    <d v="1900-01-05T06:01:34"/>
    <d v="1900-01-05T06:00:34"/>
  </r>
  <r>
    <s v="47 609"/>
    <x v="13"/>
    <s v="Novo"/>
    <d v="2022-11-16T11:56:00"/>
    <s v="CSTI Requerente"/>
    <s v="Diretoria - TI &gt; Infraestrutura &gt; SD"/>
    <d v="2022-11-16T11:56:00"/>
    <s v="Incidente"/>
    <s v="Não está sujeita a aprovação"/>
    <s v="Baixa"/>
    <d v="1900-01-05T08:39:34"/>
    <d v="1900-01-05T08:39:34"/>
  </r>
  <r>
    <s v="47 573"/>
    <x v="30"/>
    <s v="Processando (atribuído)"/>
    <d v="2022-11-16T08:34:00"/>
    <s v="CSTI Requerente"/>
    <s v="Diretoria - TI &gt; Infraestrutura &gt; Sup. Remoto"/>
    <d v="2022-11-16T10:49:00"/>
    <s v="Requisição"/>
    <s v="Não está sujeita a aprovação"/>
    <s v="Baixa"/>
    <d v="1900-01-05T12:01:34"/>
    <d v="1900-01-05T09:46:34"/>
  </r>
  <r>
    <s v="47 544"/>
    <x v="27"/>
    <s v="Processando (atribuído)"/>
    <d v="2022-11-14T14:21:00"/>
    <s v="CSTI Requerente"/>
    <s v="Diretoria - TI &gt; Infraestrutura &gt; SD"/>
    <d v="2022-11-16T09:44:00"/>
    <s v="Requisição"/>
    <s v="Não está sujeita a aprovação"/>
    <s v="Baixa"/>
    <d v="1900-01-07T06:14:34"/>
    <d v="1900-01-05T10:51:34"/>
  </r>
  <r>
    <s v="46 027"/>
    <x v="22"/>
    <s v="Processando (atribuído)"/>
    <d v="2022-10-19T15:20:00"/>
    <s v="CSTI Requerente"/>
    <s v="Diretoria - TI &gt; Infraestrutura &gt; SD"/>
    <d v="2022-11-16T08:55:00"/>
    <s v="Requisição"/>
    <s v="Concedida"/>
    <s v="Baixa"/>
    <d v="1900-02-02T05:15:34"/>
    <d v="1900-01-05T11:40:34"/>
  </r>
  <r>
    <s v="47 389"/>
    <x v="12"/>
    <s v="Processando (atribuído)"/>
    <d v="2022-11-10T16:01:00"/>
    <s v="CSTI Requerente"/>
    <s v="Diretoria - TI &gt; Infraestrutura &gt; SD"/>
    <d v="2022-11-16T07:57:00"/>
    <s v="Requisição"/>
    <s v="Esperando por uma validação"/>
    <s v="Baixa"/>
    <d v="1900-01-11T04:34:34"/>
    <d v="1900-01-05T12:38:34"/>
  </r>
  <r>
    <s v="47 561"/>
    <x v="42"/>
    <s v="Novo"/>
    <d v="2022-11-14T15:49:00"/>
    <s v="CSTI Requerente"/>
    <s v="Diretoria - TI &gt; Infraestrutura &gt; SD"/>
    <d v="2022-11-14T15:49:00"/>
    <s v="Incidente"/>
    <s v="Não está sujeita a aprovação"/>
    <s v="Baixa"/>
    <d v="1900-01-07T04:46:34"/>
    <d v="1900-01-07T04:46:34"/>
  </r>
  <r>
    <s v="47 535"/>
    <x v="45"/>
    <s v="Pendente"/>
    <d v="2022-11-14T13:19:00"/>
    <s v="Diretoria - TI &gt; Infraestrutura &gt; Infra - N1_x000a_CSTI Requerente"/>
    <s v="Diretoria - TI &gt; Infraestrutura &gt; SD"/>
    <d v="2022-11-14T14:07:00"/>
    <s v="Requisição"/>
    <s v="Concedida"/>
    <s v="Baixa"/>
    <d v="1900-01-07T07:16:34"/>
    <d v="1900-01-07T06:28:34"/>
  </r>
  <r>
    <s v="47 540"/>
    <x v="1"/>
    <s v="Pendente"/>
    <d v="2022-11-14T14:06:00"/>
    <s v="CSTI Requerente"/>
    <s v="Diretoria - TI &gt; Infraestrutura &gt; SD"/>
    <d v="2022-11-14T14:06:00"/>
    <s v="Requisição"/>
    <s v="Concedida"/>
    <s v="Baixa"/>
    <d v="1900-01-07T06:29:34"/>
    <d v="1900-01-07T06:29:34"/>
  </r>
  <r>
    <s v="47 515"/>
    <x v="17"/>
    <s v="Processando (atribuído)"/>
    <d v="2022-11-14T09:04:00"/>
    <s v="CSTI Requerente"/>
    <s v="Diretoria - TI &gt; Infraestrutura &gt; SD"/>
    <d v="2022-11-14T09:08:00"/>
    <s v="Requisição"/>
    <s v="Concedida"/>
    <s v="Baixa"/>
    <d v="1900-01-07T11:31:34"/>
    <d v="1900-01-07T11:27:34"/>
  </r>
  <r>
    <s v="47 492"/>
    <x v="46"/>
    <s v="Processando (atribuído)"/>
    <d v="2022-11-11T17:01:00"/>
    <s v="CSTI Requerente"/>
    <s v="Diretoria - TI &gt; Infraestrutura &gt; Sup. Remoto"/>
    <d v="2022-11-14T08:17:00"/>
    <s v="Requisição"/>
    <s v="Concedida"/>
    <s v="Baixa"/>
    <d v="1900-01-10T03:34:34"/>
    <d v="1900-01-07T12:18:34"/>
  </r>
  <r>
    <s v="47 052"/>
    <x v="10"/>
    <s v="Processando (atribuído)"/>
    <d v="2022-11-07T13:41:00"/>
    <s v="CSTI Requerente_x000a_Diretoria - TI &gt; Sistemas &gt; Medicina"/>
    <s v="Diretoria - TI &gt; Infraestrutura &gt; SD"/>
    <d v="2022-11-12T10:55:00"/>
    <s v="Requisição"/>
    <s v="Concedida"/>
    <s v="Baixa"/>
    <d v="1900-01-14T06:54:34"/>
    <d v="1900-01-09T09:40:34"/>
  </r>
  <r>
    <s v="47 478"/>
    <x v="10"/>
    <s v="Pendente"/>
    <d v="2022-11-11T15:27:00"/>
    <s v="CSTI Requerente"/>
    <s v="Diretoria - TI &gt; Infraestrutura &gt; SD"/>
    <d v="2022-11-12T10:54:00"/>
    <s v="Requisição"/>
    <s v="Concedida"/>
    <s v="Baixa"/>
    <d v="1900-01-10T05:08:34"/>
    <d v="1900-01-09T09:41:34"/>
  </r>
  <r>
    <s v="47 054"/>
    <x v="9"/>
    <s v="Pendente"/>
    <d v="2022-11-07T13:49:00"/>
    <s v="CSTI Requerente_x000a_Diretoria - TI &gt; Sistemas &gt; Medicina"/>
    <s v="Diretoria - TI &gt; Infraestrutura &gt; SD"/>
    <d v="2022-11-12T10:54:00"/>
    <s v="Requisição"/>
    <s v="Concedida"/>
    <s v="Baixa"/>
    <d v="1900-01-14T06:46:34"/>
    <d v="1900-01-09T09:41:34"/>
  </r>
  <r>
    <s v="47 502"/>
    <x v="2"/>
    <s v="Novo"/>
    <d v="2022-11-11T18:06:00"/>
    <s v="CSTI Requerente"/>
    <s v="Diretoria - TI &gt; Infraestrutura &gt; SD"/>
    <d v="2022-11-11T18:06:00"/>
    <s v="Incidente"/>
    <s v="Não está sujeita a aprovação"/>
    <s v="Baixa"/>
    <d v="1900-01-10T02:29:34"/>
    <d v="1900-01-10T02:29:34"/>
  </r>
  <r>
    <s v="47 358"/>
    <x v="22"/>
    <s v="Pendente"/>
    <d v="2022-11-10T11:54:00"/>
    <s v="CSTI Requerente"/>
    <s v="Diretoria - TI &gt; Infraestrutura &gt; SD"/>
    <d v="2022-11-11T17:14:00"/>
    <s v="Requisição"/>
    <s v="Concedida"/>
    <s v="Baixa"/>
    <d v="1900-01-11T08:41:34"/>
    <d v="1900-01-10T03:21:34"/>
  </r>
  <r>
    <s v="47 416"/>
    <x v="1"/>
    <s v="Pendente"/>
    <d v="2022-11-11T08:26:00"/>
    <s v="CSTI Requerente"/>
    <s v="Diretoria - TI &gt; Infraestrutura &gt; SD"/>
    <d v="2022-11-11T17:05:00"/>
    <s v="Requisição"/>
    <s v="Concedida"/>
    <s v="Baixa"/>
    <d v="1900-01-10T12:09:34"/>
    <d v="1900-01-10T03:30:34"/>
  </r>
  <r>
    <s v="46 702"/>
    <x v="2"/>
    <s v="Novo"/>
    <d v="2022-11-01T16:31:00"/>
    <s v="CSTI Requerente"/>
    <s v="Diretoria - TI &gt; Infraestrutura &gt; SD"/>
    <d v="2022-11-11T15:57:00"/>
    <s v="Incidente"/>
    <s v="Recusado"/>
    <s v="Baixa"/>
    <d v="1900-01-20T04:04:34"/>
    <d v="1900-01-10T04:38:34"/>
  </r>
  <r>
    <s v="44 846"/>
    <x v="14"/>
    <s v="Processando (atribuído)"/>
    <d v="2022-09-26T11:13:00"/>
    <s v="CSTI Requerente"/>
    <s v="Diretoria - TI &gt; Infraestrutura &gt; SD"/>
    <d v="2022-11-11T15:53:00"/>
    <s v="Incidente"/>
    <s v="Não está sujeita a aprovação"/>
    <s v="Baixa"/>
    <d v="1900-02-25T09:22:34"/>
    <d v="1900-01-10T04:42:34"/>
  </r>
  <r>
    <s v="47 482"/>
    <x v="21"/>
    <s v="Pendente"/>
    <d v="2022-11-11T15:39:00"/>
    <s v="CSTI Requerente"/>
    <s v="Diretoria - TI &gt; Infraestrutura &gt; SD"/>
    <d v="2022-11-11T15:39:00"/>
    <s v="Requisição"/>
    <s v="Não está sujeita a aprovação"/>
    <s v="Baixa"/>
    <d v="1900-01-10T04:56:34"/>
    <d v="1900-01-10T04:56:34"/>
  </r>
  <r>
    <s v="46 921"/>
    <x v="17"/>
    <s v="Processando (atribuído)"/>
    <d v="2022-11-04T14:04:00"/>
    <s v="CSTI Requerente"/>
    <s v="Diretoria - TI &gt; Infraestrutura &gt; SD"/>
    <d v="2022-11-11T14:09:00"/>
    <s v="Requisição"/>
    <s v="Concedida"/>
    <s v="Baixa"/>
    <d v="1900-01-17T06:31:34"/>
    <d v="1900-01-10T06:26:34"/>
  </r>
  <r>
    <s v="47 422"/>
    <x v="11"/>
    <s v="Novo"/>
    <d v="2022-11-11T09:03:00"/>
    <s v="CSTI Requerente"/>
    <s v="Diretoria - TI &gt; Infraestrutura &gt; SD"/>
    <d v="2022-11-11T13:28:00"/>
    <s v="Requisição"/>
    <s v="Não está sujeita a aprovação"/>
    <s v="Baixa"/>
    <d v="1900-01-10T11:32:34"/>
    <d v="1900-01-10T07:07:34"/>
  </r>
  <r>
    <s v="46 714"/>
    <x v="17"/>
    <s v="Pendente"/>
    <d v="2022-11-01T17:48:00"/>
    <s v="CSTI Requerente"/>
    <s v="Diretoria - TI &gt; Infraestrutura &gt; SD"/>
    <d v="2022-11-11T10:20:00"/>
    <s v="Requisição"/>
    <s v="Concedida"/>
    <s v="Baixa"/>
    <d v="1900-01-20T02:47:34"/>
    <d v="1900-01-10T10:15:34"/>
  </r>
  <r>
    <s v="47 308"/>
    <x v="38"/>
    <s v="Processando (atribuído)"/>
    <d v="2022-11-09T17:11:00"/>
    <s v="CSTI Requerente"/>
    <s v="Diretoria - TI &gt; Infraestrutura &gt; SD"/>
    <d v="2022-11-10T16:27:00"/>
    <s v="Requisição"/>
    <s v="Concedida"/>
    <s v="Baixa"/>
    <d v="1900-01-12T03:24:34"/>
    <d v="1900-01-11T04:08:34"/>
  </r>
  <r>
    <s v="47 379"/>
    <x v="22"/>
    <s v="Pendente"/>
    <d v="2022-11-10T14:57:00"/>
    <s v="VIPs_x000a_CSTI Requerente"/>
    <s v="Diretoria - TI &gt; Infraestrutura &gt; SD"/>
    <d v="2022-11-10T14:57:00"/>
    <s v="Requisição"/>
    <s v="Não está sujeita a aprovação"/>
    <s v="Muito alta"/>
    <d v="1900-01-11T05:38:34"/>
    <d v="1900-01-11T05:38:34"/>
  </r>
  <r>
    <s v="46 517"/>
    <x v="22"/>
    <s v="Pendente"/>
    <d v="2022-10-28T10:03:00"/>
    <s v="CSTI Requerente"/>
    <s v="Diretoria - TI &gt; Infraestrutura &gt; SD"/>
    <d v="2022-11-10T14:04:00"/>
    <s v="Requisição"/>
    <s v="Esperando por uma validação"/>
    <s v="Baixa"/>
    <d v="1900-01-24T10:32:34"/>
    <d v="1900-01-11T06:31:34"/>
  </r>
  <r>
    <s v="46 818"/>
    <x v="47"/>
    <s v="Pendente"/>
    <d v="2022-11-03T15:13:00"/>
    <s v="CSTI Requerente"/>
    <s v="Diretoria - TI &gt; Infraestrutura &gt; SD"/>
    <d v="2022-11-10T14:04:00"/>
    <s v="Requisição"/>
    <s v="Esperando por uma validação"/>
    <s v="Baixa"/>
    <d v="1900-01-18T05:22:34"/>
    <d v="1900-01-11T06:31:34"/>
  </r>
  <r>
    <s v="46 909"/>
    <x v="9"/>
    <s v="Processando (atribuído)"/>
    <d v="2022-11-04T11:38:00"/>
    <s v="CSTI Requerente"/>
    <s v="Diretoria - TI &gt; Infraestrutura &gt; SD"/>
    <d v="2022-11-10T14:04:00"/>
    <s v="Requisição"/>
    <s v="Esperando por uma validação"/>
    <s v="Baixa"/>
    <d v="1900-01-17T08:57:34"/>
    <d v="1900-01-11T06:31:34"/>
  </r>
  <r>
    <s v="47 355"/>
    <x v="18"/>
    <s v="Novo"/>
    <d v="2022-11-10T11:23:00"/>
    <s v="CSTI Requerente"/>
    <s v="Diretoria - TI &gt; Infraestrutura &gt; SD"/>
    <d v="2022-11-10T11:23:00"/>
    <s v="Requisição"/>
    <s v="Não está sujeita a aprovação"/>
    <s v="Baixa"/>
    <d v="1900-01-11T09:12:34"/>
    <d v="1900-01-11T09:12:34"/>
  </r>
  <r>
    <s v="47 352"/>
    <x v="22"/>
    <s v="Pendente"/>
    <d v="2022-11-10T11:05:00"/>
    <s v="CSTI Requerente"/>
    <s v="Diretoria - TI &gt; Infraestrutura &gt; SD"/>
    <d v="2022-11-10T11:13:00"/>
    <s v="Requisição"/>
    <s v="Concedida"/>
    <s v="Baixa"/>
    <d v="1900-01-11T09:30:34"/>
    <d v="1900-01-11T09:22:34"/>
  </r>
  <r>
    <s v="46 682"/>
    <x v="22"/>
    <s v="Processando (atribuído)"/>
    <d v="2022-11-01T14:10:00"/>
    <s v="CSTI Requerente"/>
    <s v="Diretoria - TI &gt; Infraestrutura &gt; SD"/>
    <d v="2022-11-10T10:46:00"/>
    <s v="Requisição"/>
    <s v="Concedida"/>
    <s v="Baixa"/>
    <d v="1900-01-20T06:25:34"/>
    <d v="1900-01-11T09:49:34"/>
  </r>
  <r>
    <s v="47 342"/>
    <x v="21"/>
    <s v="Pendente"/>
    <d v="2022-11-10T10:03:00"/>
    <s v="CSTI Requerente"/>
    <s v="Diretoria - TI &gt; Infraestrutura &gt; SD"/>
    <d v="2022-11-10T10:18:00"/>
    <s v="Requisição"/>
    <s v="Concedida"/>
    <s v="Baixa"/>
    <d v="1900-01-11T10:32:34"/>
    <d v="1900-01-11T10:17:34"/>
  </r>
  <r>
    <s v="47 325"/>
    <x v="42"/>
    <s v="Novo"/>
    <d v="2022-11-10T08:12:00"/>
    <s v="CSTI Requerente_x000a_Diretoria - TI &gt; Sistemas &gt; Medicina"/>
    <s v="Diretoria - TI &gt; Infraestrutura &gt; SD"/>
    <d v="2022-11-10T08:12:00"/>
    <s v="Incidente"/>
    <s v="Não está sujeita a aprovação"/>
    <s v="Baixa"/>
    <d v="1900-01-11T12:23:34"/>
    <d v="1900-01-11T12:23:34"/>
  </r>
  <r>
    <s v="47 296"/>
    <x v="22"/>
    <s v="Pendente"/>
    <d v="2022-11-09T14:58:00"/>
    <s v="CSTI Requerente"/>
    <s v="Diretoria - TI &gt; Infraestrutura &gt; SD"/>
    <d v="2022-11-09T14:58:00"/>
    <s v="Requisição"/>
    <s v="Não está sujeita a aprovação"/>
    <s v="Baixa"/>
    <d v="1900-01-12T05:37:34"/>
    <d v="1900-01-12T05:37:34"/>
  </r>
  <r>
    <s v="47 134"/>
    <x v="45"/>
    <s v="Pendente"/>
    <d v="2022-11-08T08:52:00"/>
    <s v="CSTI Requerente"/>
    <s v="Diretoria - TI &gt; Infraestrutura &gt; SD"/>
    <d v="2022-11-09T14:20:00"/>
    <s v="Requisição"/>
    <s v="Não está sujeita a aprovação"/>
    <s v="Baixa"/>
    <d v="1900-01-13T11:43:34"/>
    <d v="1900-01-12T06:15:34"/>
  </r>
  <r>
    <s v="46 351"/>
    <x v="22"/>
    <s v="Processando (atribuído)"/>
    <d v="2022-10-26T08:13:00"/>
    <s v="CSTI Requerente"/>
    <s v="Diretoria - TI &gt; Infraestrutura &gt; SD"/>
    <d v="2022-11-09T10:57:00"/>
    <s v="Requisição"/>
    <s v="Concedida"/>
    <s v="Baixa"/>
    <d v="1900-01-26T12:22:34"/>
    <d v="1900-01-12T09:38:34"/>
  </r>
  <r>
    <s v="46 971"/>
    <x v="22"/>
    <s v="Pendente"/>
    <d v="2022-11-04T19:03:00"/>
    <s v="CSTI Requerente"/>
    <s v="Diretoria - TI &gt; Infraestrutura &gt; SD"/>
    <d v="2022-11-09T10:04:00"/>
    <s v="Requisição"/>
    <s v="Concedida"/>
    <s v="Baixa"/>
    <d v="1900-01-17T01:32:34"/>
    <d v="1900-01-12T10:31:34"/>
  </r>
  <r>
    <s v="47 269"/>
    <x v="48"/>
    <s v="Pendente"/>
    <d v="2022-11-09T08:53:00"/>
    <s v="CSTI Requerente"/>
    <s v="Diretoria - TI &gt; Infraestrutura &gt; SD"/>
    <d v="2022-11-09T09:56:00"/>
    <s v="Requisição"/>
    <s v="Concedida"/>
    <s v="Baixa"/>
    <d v="1900-01-12T11:42:34"/>
    <d v="1900-01-12T10:39:34"/>
  </r>
  <r>
    <s v="47 186"/>
    <x v="21"/>
    <s v="Processando (atribuído)"/>
    <d v="2022-11-08T14:31:00"/>
    <s v="CSTI Requerente"/>
    <s v="Diretoria - TI &gt; Infraestrutura &gt; SD"/>
    <d v="2022-11-09T09:29:00"/>
    <s v="Requisição"/>
    <s v="Concedida"/>
    <s v="Baixa"/>
    <d v="1900-01-13T06:04:34"/>
    <d v="1900-01-12T11:06:34"/>
  </r>
  <r>
    <s v="47 185"/>
    <x v="21"/>
    <s v="Processando (atribuído)"/>
    <d v="2022-11-08T14:30:00"/>
    <s v="CSTI Requerente"/>
    <s v="Diretoria - TI &gt; Infraestrutura &gt; SD"/>
    <d v="2022-11-09T09:29:00"/>
    <s v="Requisição"/>
    <s v="Concedida"/>
    <s v="Baixa"/>
    <d v="1900-01-13T06:05:34"/>
    <d v="1900-01-12T11:06:34"/>
  </r>
  <r>
    <s v="47 114"/>
    <x v="42"/>
    <s v="Novo"/>
    <d v="2022-11-07T16:57:00"/>
    <s v="CSTI Requerente"/>
    <s v="Diretoria - TI &gt; Infraestrutura &gt; SD"/>
    <d v="2022-11-09T09:14:00"/>
    <s v="Incidente"/>
    <s v="Não está sujeita a aprovação"/>
    <s v="Baixa"/>
    <d v="1900-01-14T03:38:34"/>
    <d v="1900-01-12T11:21:34"/>
  </r>
  <r>
    <s v="47 263"/>
    <x v="17"/>
    <s v="Pendente"/>
    <d v="2022-11-09T07:11:00"/>
    <s v="CSTI Requerente"/>
    <s v="Diretoria - TI &gt; Infraestrutura &gt; SD"/>
    <d v="2022-11-09T07:11:00"/>
    <s v="Requisição"/>
    <s v="Não está sujeita a aprovação"/>
    <s v="Baixa"/>
    <d v="1900-01-12T13:24:34"/>
    <d v="1900-01-12T13:24:34"/>
  </r>
  <r>
    <s v="47 193"/>
    <x v="40"/>
    <s v="Processando (atribuído)"/>
    <d v="2022-11-08T14:51:00"/>
    <s v="CSTI Requerente"/>
    <s v="Diretoria - TI &gt; Infraestrutura &gt; SD"/>
    <d v="2022-11-08T15:20:00"/>
    <s v="Incidente"/>
    <s v="Não está sujeita a aprovação"/>
    <s v="Baixa"/>
    <d v="1900-01-13T05:44:34"/>
    <d v="1900-01-13T05:15:34"/>
  </r>
  <r>
    <s v="47 213"/>
    <x v="17"/>
    <s v="Pendente"/>
    <d v="2022-11-08T15:18:00"/>
    <s v="CSTI Requerente"/>
    <s v="Diretoria - TI &gt; Infraestrutura &gt; SD"/>
    <d v="2022-11-08T15:18:00"/>
    <s v="Requisição"/>
    <s v="Não está sujeita a aprovação"/>
    <s v="Baixa"/>
    <d v="1900-01-13T05:17:34"/>
    <d v="1900-01-13T05:17:34"/>
  </r>
  <r>
    <s v="46 469"/>
    <x v="22"/>
    <s v="Processando (atribuído)"/>
    <d v="2022-10-27T14:31:00"/>
    <s v="CSTI Requerente"/>
    <s v="Diretoria - TI &gt; Infraestrutura &gt; SD"/>
    <d v="2022-11-08T10:33:00"/>
    <s v="Requisição"/>
    <s v="Concedida"/>
    <s v="Baixa"/>
    <d v="1900-01-25T06:04:34"/>
    <d v="1900-01-13T10:02:34"/>
  </r>
  <r>
    <s v="47 148"/>
    <x v="4"/>
    <s v="Pendente"/>
    <d v="2022-11-08T09:59:00"/>
    <s v="CSTI Requerente"/>
    <s v="Diretoria - TI &gt; Infraestrutura &gt; SD"/>
    <d v="2022-11-08T10:02:00"/>
    <s v="Requisição"/>
    <s v="Concedida"/>
    <s v="Baixa"/>
    <d v="1900-01-13T10:36:34"/>
    <d v="1900-01-13T10:33:34"/>
  </r>
  <r>
    <s v="47 145"/>
    <x v="37"/>
    <s v="Pendente"/>
    <d v="2022-11-08T09:39:00"/>
    <s v="CSTI Requerente"/>
    <s v="Diretoria - TI &gt; Infraestrutura &gt; SD"/>
    <d v="2022-11-08T09:41:00"/>
    <s v="Requisição"/>
    <s v="Concedida"/>
    <s v="Baixa"/>
    <d v="1900-01-13T10:56:34"/>
    <d v="1900-01-13T10:54:34"/>
  </r>
  <r>
    <s v="47 130"/>
    <x v="17"/>
    <s v="Pendente"/>
    <d v="2022-11-08T08:37:00"/>
    <s v="CSTI Requerente"/>
    <s v="Diretoria - TI &gt; Infraestrutura &gt; SD"/>
    <d v="2022-11-08T09:35:00"/>
    <s v="Requisição"/>
    <s v="Concedida"/>
    <s v="Baixa"/>
    <d v="1900-01-13T11:58:34"/>
    <d v="1900-01-13T11:00:34"/>
  </r>
  <r>
    <s v="47 132"/>
    <x v="17"/>
    <s v="Pendente"/>
    <d v="2022-11-08T08:40:00"/>
    <s v="CSTI Requerente"/>
    <s v="Diretoria - TI &gt; Infraestrutura &gt; SD"/>
    <d v="2022-11-08T09:34:00"/>
    <s v="Requisição"/>
    <s v="Concedida"/>
    <s v="Baixa"/>
    <d v="1900-01-13T11:55:34"/>
    <d v="1900-01-13T11:01:34"/>
  </r>
  <r>
    <s v="47 141"/>
    <x v="17"/>
    <s v="Pendente"/>
    <d v="2022-11-08T09:21:00"/>
    <s v="CSTI Requerente"/>
    <s v="Diretoria - TI &gt; Infraestrutura &gt; SD"/>
    <d v="2022-11-08T09:27:00"/>
    <s v="Requisição"/>
    <s v="Concedida"/>
    <s v="Baixa"/>
    <d v="1900-01-13T11:14:34"/>
    <d v="1900-01-13T11:08:34"/>
  </r>
  <r>
    <s v="47 036"/>
    <x v="49"/>
    <s v="Processando (atribuído)"/>
    <d v="2022-11-07T11:38:00"/>
    <s v="CSTI Requerente"/>
    <s v="Diretoria - TI &gt; Infraestrutura &gt; Sup. Remoto"/>
    <d v="2022-11-07T20:01:00"/>
    <s v="Requisição"/>
    <s v="Não está sujeita a aprovação"/>
    <s v="Baixa"/>
    <d v="1900-01-14T08:57:34"/>
    <d v="1900-01-14T00:34:34"/>
  </r>
  <r>
    <s v="47 100"/>
    <x v="27"/>
    <s v="Novo"/>
    <d v="2022-11-07T15:49:00"/>
    <s v="CSTI Requerente_x000a_Diretoria - TI &gt; Sistemas &gt; Universo EAD"/>
    <s v="Diretoria - TI &gt; Infraestrutura &gt; SD"/>
    <d v="2022-11-07T15:49:00"/>
    <s v="Requisição"/>
    <s v="Não está sujeita a aprovação"/>
    <s v="Baixa"/>
    <d v="1900-01-14T04:46:34"/>
    <d v="1900-01-14T04:46:34"/>
  </r>
  <r>
    <s v="47 077"/>
    <x v="34"/>
    <s v="Processando (atribuído)"/>
    <d v="2022-11-07T15:06:00"/>
    <s v="Diretoria - TI &gt; Infraestrutura &gt; Sup. Remoto_x000a_Diretoria - TI &gt; Infraestrutura &gt; SD_x000a_CSTI Requerente"/>
    <s v="Diretoria - TI &gt; Infraestrutura &gt; SD"/>
    <d v="2022-11-07T15:31:00"/>
    <s v="Requisição"/>
    <s v="Não está sujeita a aprovação"/>
    <s v="Baixa"/>
    <d v="1900-01-14T05:29:34"/>
    <d v="1900-01-14T05:04:34"/>
  </r>
  <r>
    <s v="47 081"/>
    <x v="21"/>
    <s v="Pendente"/>
    <d v="2022-11-07T15:16:00"/>
    <s v="CSTI Requerente"/>
    <s v="Diretoria - TI &gt; Infraestrutura &gt; SD"/>
    <d v="2022-11-07T15:24:00"/>
    <s v="Requisição"/>
    <s v="Concedida"/>
    <s v="Baixa"/>
    <d v="1900-01-14T05:19:34"/>
    <d v="1900-01-14T05:11:34"/>
  </r>
  <r>
    <s v="46 894"/>
    <x v="22"/>
    <s v="Pendente"/>
    <d v="2022-11-04T10:05:00"/>
    <s v="CSTI Requerente"/>
    <s v="Diretoria - TI &gt; Infraestrutura &gt; SD"/>
    <d v="2022-11-07T14:28:00"/>
    <s v="Requisição"/>
    <s v="Concedida"/>
    <s v="Baixa"/>
    <d v="1900-01-17T10:30:34"/>
    <d v="1900-01-14T06:07:34"/>
  </r>
  <r>
    <s v="46 983"/>
    <x v="45"/>
    <s v="Pendente"/>
    <d v="2022-11-07T08:05:00"/>
    <s v="CSTI Requerente"/>
    <s v="Diretoria - TI &gt; Infraestrutura &gt; SD"/>
    <d v="2022-11-07T08:05:00"/>
    <s v="Requisição"/>
    <s v="Não está sujeita a aprovação"/>
    <s v="Baixa"/>
    <d v="1900-01-14T12:30:34"/>
    <d v="1900-01-14T12:30:34"/>
  </r>
  <r>
    <s v="46 865"/>
    <x v="22"/>
    <s v="Pendente"/>
    <d v="2022-11-04T07:54:00"/>
    <s v="CSTI Requerente"/>
    <s v="Diretoria - TI &gt; Infraestrutura &gt; SD"/>
    <d v="2022-11-04T10:16:00"/>
    <s v="Requisição"/>
    <s v="Concedida"/>
    <s v="Baixa"/>
    <d v="1900-01-17T12:41:34"/>
    <d v="1900-01-17T10:19:34"/>
  </r>
  <r>
    <s v="46 830"/>
    <x v="40"/>
    <s v="Processando (atribuído)"/>
    <d v="2022-11-03T16:01:00"/>
    <s v="CSTI Requerente"/>
    <s v="Diretoria - TI &gt; Infraestrutura &gt; SD"/>
    <d v="2022-11-03T18:17:00"/>
    <s v="Incidente"/>
    <s v="Não está sujeita a aprovação"/>
    <s v="Baixa"/>
    <d v="1900-01-18T04:34:34"/>
    <d v="1900-01-18T02:18:34"/>
  </r>
  <r>
    <s v="46 844"/>
    <x v="21"/>
    <s v="Pendente"/>
    <d v="2022-11-03T17:01:00"/>
    <s v="CSTI Requerente"/>
    <s v="Diretoria - TI &gt; Infraestrutura &gt; SD"/>
    <d v="2022-11-03T17:01:00"/>
    <s v="Requisição"/>
    <s v="Não está sujeita a aprovação"/>
    <s v="Baixa"/>
    <d v="1900-01-18T03:34:34"/>
    <d v="1900-01-18T03:34:34"/>
  </r>
  <r>
    <s v="46 761"/>
    <x v="22"/>
    <s v="Pendente"/>
    <d v="2022-11-03T09:54:00"/>
    <s v="CSTI Requerente"/>
    <s v="Diretoria - TI &gt; Infraestrutura &gt; SD"/>
    <d v="2022-11-03T09:59:00"/>
    <s v="Requisição"/>
    <s v="Concedida"/>
    <s v="Baixa"/>
    <d v="1900-01-18T10:41:34"/>
    <d v="1900-01-18T10:36:34"/>
  </r>
  <r>
    <s v="46 660"/>
    <x v="22"/>
    <s v="Pendente"/>
    <d v="2022-11-01T11:06:00"/>
    <s v="CSTI Requerente"/>
    <s v="Diretoria - TI &gt; Infraestrutura &gt; SD"/>
    <d v="2022-11-01T16:15:00"/>
    <s v="Requisição"/>
    <s v="Concedida"/>
    <s v="Baixa"/>
    <d v="1900-01-20T09:29:34"/>
    <d v="1900-01-20T04:20:34"/>
  </r>
  <r>
    <s v="46 685"/>
    <x v="50"/>
    <s v="Pendente"/>
    <d v="2022-11-01T14:41:00"/>
    <s v="Diretoria - TI &gt; DADOS &gt; BI - DBA - DW - SQL_x000a_CSTI Requerente"/>
    <s v="Diretoria - TI &gt; Infraestrutura &gt; SD"/>
    <d v="2022-11-01T14:41:00"/>
    <s v="Requisição"/>
    <s v="Não está sujeita a aprovação"/>
    <s v="Baixa"/>
    <d v="1900-01-20T05:54:34"/>
    <d v="1900-01-20T05:54:34"/>
  </r>
  <r>
    <s v="46 560"/>
    <x v="51"/>
    <s v="Processando (atribuído)"/>
    <d v="2022-10-28T15:20:00"/>
    <s v="CSTI Requerente"/>
    <s v="Diretoria - TI &gt; Infraestrutura &gt; Sup. Remoto"/>
    <d v="2022-11-01T11:19:00"/>
    <s v="Requisição"/>
    <s v="Não está sujeita a aprovação"/>
    <s v="Baixa"/>
    <d v="1900-01-24T05:15:34"/>
    <d v="1900-01-20T09:16:34"/>
  </r>
  <r>
    <s v="46 607"/>
    <x v="22"/>
    <s v="Pendente"/>
    <d v="2022-10-31T15:52:00"/>
    <s v="CSTI Requerente_x000a_Colaborador - Comum"/>
    <s v="Diretoria - TI &gt; Infraestrutura &gt; SD"/>
    <d v="2022-10-31T20:13:00"/>
    <s v="Requisição"/>
    <s v="Concedida"/>
    <s v="Baixa"/>
    <d v="1900-01-21T04:43:34"/>
    <d v="1900-01-21T00:22:34"/>
  </r>
  <r>
    <s v="46 550"/>
    <x v="52"/>
    <s v="Processando (atribuído)"/>
    <d v="2022-10-28T14:35:00"/>
    <s v="CSTI Requerente"/>
    <s v="Diretoria - TI &gt; Infraestrutura &gt; SD"/>
    <d v="2022-10-31T14:05:00"/>
    <s v="Requisição"/>
    <s v="Concedida"/>
    <s v="Baixa"/>
    <d v="1900-01-24T06:00:34"/>
    <d v="1900-01-21T06:30:34"/>
  </r>
  <r>
    <s v="46 485"/>
    <x v="22"/>
    <s v="Pendente"/>
    <d v="2022-10-27T15:59:00"/>
    <s v="CSTI Requerente"/>
    <s v="Diretoria - TI &gt; Infraestrutura &gt; SD"/>
    <d v="2022-10-31T09:04:00"/>
    <s v="Requisição"/>
    <s v="Concedida"/>
    <s v="Baixa"/>
    <d v="1900-01-25T04:36:34"/>
    <d v="1900-01-21T11:31:34"/>
  </r>
  <r>
    <s v="46 437"/>
    <x v="22"/>
    <s v="Pendente"/>
    <d v="2022-10-27T10:13:00"/>
    <s v="CSTI Requerente"/>
    <s v="Diretoria - TI &gt; Infraestrutura &gt; SD"/>
    <d v="2022-10-27T12:58:00"/>
    <s v="Requisição"/>
    <s v="Concedida"/>
    <s v="Baixa"/>
    <d v="1900-01-25T10:22:34"/>
    <d v="1900-01-25T07:37:34"/>
  </r>
  <r>
    <s v="45 615"/>
    <x v="17"/>
    <s v="Pendente"/>
    <d v="2022-10-11T16:07:00"/>
    <s v="CSTI Requerente"/>
    <s v="Diretoria - TI &gt; Infraestrutura &gt; SD"/>
    <d v="2022-10-27T08:09:00"/>
    <s v="Requisição"/>
    <s v="Não está sujeita a aprovação"/>
    <s v="Baixa"/>
    <d v="1900-02-10T04:28:34"/>
    <d v="1900-01-25T12:26:34"/>
  </r>
  <r>
    <s v="46 268"/>
    <x v="22"/>
    <s v="Pendente"/>
    <d v="2022-10-25T08:28:00"/>
    <s v="CSTI Requerente"/>
    <s v="Diretoria - TI &gt; Infraestrutura &gt; SD"/>
    <d v="2022-10-25T09:55:00"/>
    <s v="Requisição"/>
    <s v="Concedida"/>
    <s v="Baixa"/>
    <d v="1900-01-27T12:07:34"/>
    <d v="1900-01-27T10:40:34"/>
  </r>
  <r>
    <s v="45 859"/>
    <x v="2"/>
    <s v="Novo"/>
    <d v="2022-10-18T08:37:00"/>
    <s v="CSTI Requerente"/>
    <s v="Diretoria - TI &gt; Infraestrutura &gt; SD"/>
    <d v="2022-10-20T16:29:00"/>
    <s v="Incidente"/>
    <s v="Não está sujeita a aprovação"/>
    <s v="Baixa"/>
    <d v="1900-02-03T11:58:34"/>
    <d v="1900-02-01T04:06:34"/>
  </r>
  <r>
    <s v="45 877"/>
    <x v="53"/>
    <s v="Processando (atribuído)"/>
    <d v="2022-10-18T09:54:00"/>
    <s v="CSTI Requerente"/>
    <s v="Diretoria - TI &gt; Infraestrutura &gt; Sup. Remoto"/>
    <d v="2022-10-18T16:25:00"/>
    <s v="Incidente"/>
    <s v="Não está sujeita a aprovação"/>
    <s v="Baixa"/>
    <d v="1900-02-03T10:41:34"/>
    <d v="1900-02-03T04:10:34"/>
  </r>
  <r>
    <s v="44 692"/>
    <x v="17"/>
    <s v="Pendente"/>
    <d v="2022-09-22T15:49:00"/>
    <s v="CSTI Requerente"/>
    <s v="Diretoria - TI &gt; Infraestrutura &gt; SD"/>
    <d v="2022-10-14T18:24:00"/>
    <s v="Requisição"/>
    <s v="Concedida"/>
    <s v="Baixa"/>
    <d v="1900-03-01T04:46:34"/>
    <d v="1900-02-07T02:11:34"/>
  </r>
  <r>
    <s v="45 085"/>
    <x v="2"/>
    <s v="Processando (atribuído)"/>
    <d v="2022-09-30T09:02:00"/>
    <s v="CSTI Requerente"/>
    <s v="Diretoria - TI &gt; Infraestrutura &gt; SD"/>
    <d v="2022-10-04T11:41:00"/>
    <s v="Incidente"/>
    <s v="Não está sujeita a aprovação"/>
    <s v="Baixa"/>
    <d v="1900-02-21T11:33:34"/>
    <d v="1900-02-17T08:54: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n v="3442053"/>
    <s v="DIVINÓPOLIS - MG"/>
    <d v="2022-08-11T00:00:00"/>
    <d v="2022-09-28T00:00:00"/>
    <n v="1"/>
    <d v="1900-04-12T20:35:34"/>
    <d v="1900-02-23T20:35:34"/>
  </r>
  <r>
    <x v="0"/>
    <n v="3511432"/>
    <s v="TERESINA - PI"/>
    <d v="2022-08-26T00:00:00"/>
    <d v="2022-09-13T00:00:00"/>
    <n v="1"/>
    <d v="1900-03-28T20:35:34"/>
    <d v="1900-03-10T20:35:34"/>
  </r>
  <r>
    <x v="0"/>
    <n v="3544401"/>
    <s v="PIUMHI - MG"/>
    <d v="2022-09-05T00:00:00"/>
    <d v="2022-11-17T00:00:00"/>
    <n v="1"/>
    <d v="1900-03-18T20:35:34"/>
    <d v="1900-01-04T20:35:34"/>
  </r>
  <r>
    <x v="0"/>
    <n v="3556543"/>
    <s v="PRESIDENTE DUTRA - MA"/>
    <d v="2022-09-08T00:00:00"/>
    <d v="2022-11-17T00:00:00"/>
    <n v="1"/>
    <d v="1900-03-15T20:35:34"/>
    <d v="1900-01-04T20:35:34"/>
  </r>
  <r>
    <x v="0"/>
    <n v="3562747"/>
    <s v="SÃO GONÇALO DO SAPUCAÍ - MG"/>
    <d v="2022-09-09T00:00:00"/>
    <d v="2022-11-17T00:00:00"/>
    <n v="1"/>
    <d v="1900-03-14T20:35:34"/>
    <d v="1900-01-04T20:35:34"/>
  </r>
  <r>
    <x v="0"/>
    <n v="3568612"/>
    <s v="ENTRE RIOS - BA"/>
    <d v="2022-09-12T00:00:00"/>
    <d v="2022-10-03T00:00:00"/>
    <n v="1"/>
    <d v="1900-03-11T20:35:34"/>
    <d v="1900-02-18T20:35:34"/>
  </r>
  <r>
    <x v="0"/>
    <n v="3569897"/>
    <s v="CAMAMU - BA"/>
    <d v="2022-09-12T00:00:00"/>
    <d v="2022-09-12T00:00:00"/>
    <n v="1"/>
    <d v="1900-03-11T20:35:34"/>
    <d v="1900-03-11T20:35:34"/>
  </r>
  <r>
    <x v="0"/>
    <n v="3570266"/>
    <s v="CAXIAS DO SUL - RS"/>
    <d v="2022-09-12T00:00:00"/>
    <d v="2022-09-12T00:00:00"/>
    <n v="1"/>
    <d v="1900-03-11T20:35:34"/>
    <d v="1900-03-11T20:35:34"/>
  </r>
  <r>
    <x v="0"/>
    <n v="3574424"/>
    <s v="RECIFE - PE"/>
    <d v="2022-09-13T00:00:00"/>
    <d v="2022-09-13T00:00:00"/>
    <n v="1"/>
    <d v="1900-03-10T20:35:34"/>
    <d v="1900-03-10T20:35:34"/>
  </r>
  <r>
    <x v="0"/>
    <n v="3579263"/>
    <s v="ITAITUBA - PA"/>
    <d v="2022-09-14T00:00:00"/>
    <d v="2022-09-14T00:00:00"/>
    <n v="1"/>
    <d v="1900-03-09T20:35:34"/>
    <d v="1900-03-09T20:35:34"/>
  </r>
  <r>
    <x v="0"/>
    <n v="3583555"/>
    <s v="PARACAMBI - RJ"/>
    <d v="2022-09-15T00:00:00"/>
    <d v="2022-09-15T00:00:00"/>
    <n v="1"/>
    <d v="1900-03-08T20:35:34"/>
    <d v="1900-03-08T20:35:34"/>
  </r>
  <r>
    <x v="0"/>
    <n v="3590261"/>
    <s v="NOVO CRUZEIRO - MG"/>
    <d v="2022-09-17T00:00:00"/>
    <d v="2022-09-17T00:00:00"/>
    <n v="1"/>
    <d v="1900-03-06T20:35:34"/>
    <d v="1900-03-06T20:35:34"/>
  </r>
  <r>
    <x v="0"/>
    <n v="3594476"/>
    <s v="BOFETE - SP"/>
    <d v="2022-09-19T00:00:00"/>
    <d v="2022-09-19T00:00:00"/>
    <n v="1"/>
    <d v="1900-03-04T20:35:34"/>
    <d v="1900-03-04T20:35:34"/>
  </r>
  <r>
    <x v="0"/>
    <n v="3598839"/>
    <s v="TELÊMACO BORBA - PR"/>
    <d v="2022-09-20T00:00:00"/>
    <d v="2022-09-20T00:00:00"/>
    <n v="1"/>
    <d v="1900-03-03T20:35:34"/>
    <d v="1900-03-03T20:35:34"/>
  </r>
  <r>
    <x v="0"/>
    <n v="3606308"/>
    <s v="PÉROLA - PR"/>
    <d v="2022-09-22T00:00:00"/>
    <d v="2022-09-22T00:00:00"/>
    <n v="1"/>
    <d v="1900-03-01T20:35:34"/>
    <d v="1900-03-01T20:35:34"/>
  </r>
  <r>
    <x v="0"/>
    <n v="3625088"/>
    <s v="PARÁ DE MINAS - MG"/>
    <d v="2022-09-28T00:00:00"/>
    <d v="2022-09-28T00:00:00"/>
    <n v="1"/>
    <d v="1900-02-23T20:35:34"/>
    <d v="1900-02-23T20:35:34"/>
  </r>
  <r>
    <x v="0"/>
    <n v="3627687"/>
    <s v="VILHENA - RO"/>
    <d v="2022-09-29T00:00:00"/>
    <d v="2022-09-29T00:00:00"/>
    <n v="1"/>
    <d v="1900-02-22T20:35:34"/>
    <d v="1900-02-22T20:35:34"/>
  </r>
  <r>
    <x v="0"/>
    <n v="3628216"/>
    <s v="CACHOEIRO DE ITAPEMIRIM - ES"/>
    <d v="2022-09-29T00:00:00"/>
    <d v="2022-09-29T00:00:00"/>
    <n v="1"/>
    <d v="1900-02-22T20:35:34"/>
    <d v="1900-02-22T20:35:34"/>
  </r>
  <r>
    <x v="0"/>
    <n v="3630625"/>
    <s v="PORTO FELIZ - SP"/>
    <d v="2022-09-29T00:00:00"/>
    <d v="2022-09-29T00:00:00"/>
    <n v="1"/>
    <d v="1900-02-22T20:35:34"/>
    <d v="1900-02-22T20:35:34"/>
  </r>
  <r>
    <x v="0"/>
    <n v="3631653"/>
    <s v="ASTORGA - PR"/>
    <d v="2022-09-30T00:00:00"/>
    <d v="2022-09-30T00:00:00"/>
    <n v="1"/>
    <d v="1900-02-21T20:35:34"/>
    <d v="1900-02-21T20:35:34"/>
  </r>
  <r>
    <x v="0"/>
    <n v="3632827"/>
    <s v="PONTAL DO PARANÁ - PR"/>
    <d v="2022-09-30T00:00:00"/>
    <d v="2022-09-30T00:00:00"/>
    <n v="1"/>
    <d v="1900-02-21T20:35:34"/>
    <d v="1900-02-21T20:35:34"/>
  </r>
  <r>
    <x v="0"/>
    <n v="3633336"/>
    <s v="PAUDALHO - PE"/>
    <d v="2022-09-30T00:00:00"/>
    <d v="2022-09-30T00:00:00"/>
    <n v="1"/>
    <d v="1900-02-21T20:35:34"/>
    <d v="1900-02-21T20:35:34"/>
  </r>
  <r>
    <x v="0"/>
    <n v="3653677"/>
    <s v="BANDEIRANTES - PR"/>
    <d v="2022-10-07T00:00:00"/>
    <d v="2022-10-07T00:00:00"/>
    <n v="1"/>
    <d v="1900-02-14T20:35:34"/>
    <d v="1900-02-14T20:35:34"/>
  </r>
  <r>
    <x v="0"/>
    <n v="3656625"/>
    <s v="ITAGUAÍ - RJ"/>
    <d v="2022-10-10T00:00:00"/>
    <d v="2022-10-10T00:00:00"/>
    <n v="1"/>
    <d v="1900-02-11T20:35:34"/>
    <d v="1900-02-11T20:35:34"/>
  </r>
  <r>
    <x v="0"/>
    <n v="3657573"/>
    <s v="POXORÉU - MT"/>
    <d v="2022-10-10T00:00:00"/>
    <d v="2022-10-10T00:00:00"/>
    <n v="1"/>
    <d v="1900-02-11T20:35:34"/>
    <d v="1900-02-11T20:35:34"/>
  </r>
  <r>
    <x v="0"/>
    <n v="3660412"/>
    <s v="BOCA DO ACRE - AM"/>
    <d v="2022-10-11T00:00:00"/>
    <d v="2022-10-11T00:00:00"/>
    <n v="1"/>
    <d v="1900-02-10T20:35:34"/>
    <d v="1900-02-10T20:35:34"/>
  </r>
  <r>
    <x v="0"/>
    <n v="3661135"/>
    <s v="SÃO GERALDO DO ARAGUAIA - PA"/>
    <d v="2022-10-11T00:00:00"/>
    <d v="2022-10-11T00:00:00"/>
    <n v="1"/>
    <d v="1900-02-10T20:35:34"/>
    <d v="1900-02-10T20:35:34"/>
  </r>
  <r>
    <x v="0"/>
    <n v="3662378"/>
    <s v="POUSO ALEGRE - MG"/>
    <d v="2022-10-11T00:00:00"/>
    <d v="2022-10-11T00:00:00"/>
    <n v="1"/>
    <d v="1900-02-10T20:35:34"/>
    <d v="1900-02-10T20:35:34"/>
  </r>
  <r>
    <x v="0"/>
    <n v="3677935"/>
    <s v="RIO DE JANEIRO - RECREIO DOS BANDEIRANTES - RJ"/>
    <d v="2022-10-18T00:00:00"/>
    <d v="2022-10-18T00:00:00"/>
    <n v="1"/>
    <d v="1900-02-03T20:35:34"/>
    <d v="1900-02-03T20:35:34"/>
  </r>
  <r>
    <x v="0"/>
    <n v="3687722"/>
    <s v="SÃO BERNARDO DO CAMPO - SP"/>
    <d v="2022-10-20T00:00:00"/>
    <d v="2022-10-20T00:00:00"/>
    <n v="1"/>
    <d v="1900-02-01T20:35:34"/>
    <d v="1900-02-01T20:35:34"/>
  </r>
  <r>
    <x v="0"/>
    <n v="3707742"/>
    <s v="MIRANDÓPOLIS - SP"/>
    <d v="2022-10-26T00:00:00"/>
    <d v="2022-11-16T00:00:00"/>
    <n v="1"/>
    <d v="1900-01-26T20:35:34"/>
    <d v="1900-01-05T20:35:34"/>
  </r>
  <r>
    <x v="0"/>
    <n v="3708924"/>
    <s v="ARTUR NOGUEIRA - SP"/>
    <d v="2022-10-26T00:00:00"/>
    <d v="2022-10-26T00:00:00"/>
    <n v="1"/>
    <d v="1900-01-26T20:35:34"/>
    <d v="1900-01-26T20:35:34"/>
  </r>
  <r>
    <x v="0"/>
    <n v="3711371"/>
    <s v="OLHO D´ÁGUA DAS FLORES - AL"/>
    <d v="2022-10-26T00:00:00"/>
    <d v="2022-10-26T00:00:00"/>
    <n v="1"/>
    <d v="1900-01-26T20:35:34"/>
    <d v="1900-01-26T20:35:34"/>
  </r>
  <r>
    <x v="0"/>
    <n v="3718021"/>
    <s v="OURO PRETO DO OESTE - RO"/>
    <d v="2022-10-28T00:00:00"/>
    <d v="2022-10-28T00:00:00"/>
    <n v="1"/>
    <d v="1900-01-24T20:35:34"/>
    <d v="1900-01-24T20:35:34"/>
  </r>
  <r>
    <x v="0"/>
    <n v="3734071"/>
    <s v="BALSAS - MA"/>
    <d v="2022-11-03T00:00:00"/>
    <d v="2022-11-03T00:00:00"/>
    <n v="1"/>
    <d v="1900-01-18T20:35:34"/>
    <d v="1900-01-18T20:35:34"/>
  </r>
  <r>
    <x v="0"/>
    <n v="3737201"/>
    <s v="RIO BRILHANTE - MS"/>
    <d v="2022-11-03T00:00:00"/>
    <d v="2022-11-03T00:00:00"/>
    <n v="1"/>
    <d v="1900-01-18T20:35:34"/>
    <d v="1900-01-18T20:35:34"/>
  </r>
  <r>
    <x v="0"/>
    <n v="3746056"/>
    <s v="AFRÂNIO - PE"/>
    <d v="2022-11-07T00:00:00"/>
    <d v="2022-11-07T00:00:00"/>
    <n v="1"/>
    <d v="1900-01-14T20:35:34"/>
    <d v="1900-01-14T20:35:34"/>
  </r>
  <r>
    <x v="0"/>
    <n v="3753801"/>
    <s v="ITAPIPOCA - CE"/>
    <d v="2022-11-09T00:00:00"/>
    <d v="2022-11-09T00:00:00"/>
    <n v="1"/>
    <d v="1900-01-12T20:35:34"/>
    <d v="1900-01-12T20:35:34"/>
  </r>
  <r>
    <x v="0"/>
    <n v="3756317"/>
    <s v="CANAÃ DOS CARAJÁS - PA"/>
    <d v="2022-11-09T00:00:00"/>
    <d v="2022-11-09T00:00:00"/>
    <n v="1"/>
    <d v="1900-01-12T20:35:34"/>
    <d v="1900-01-12T20:35:34"/>
  </r>
  <r>
    <x v="0"/>
    <n v="3764151"/>
    <s v="PACAJUS - CE"/>
    <d v="2022-11-11T00:00:00"/>
    <d v="2022-11-11T00:00:00"/>
    <n v="1"/>
    <d v="1900-01-10T20:35:34"/>
    <d v="1900-01-10T20:35:34"/>
  </r>
  <r>
    <x v="0"/>
    <n v="3775641"/>
    <s v="ITUBERÁ - BA"/>
    <d v="2022-11-16T00:00:00"/>
    <d v="2022-11-16T00:00:00"/>
    <n v="1"/>
    <d v="1900-01-05T20:35:34"/>
    <d v="1900-01-05T20:35:34"/>
  </r>
  <r>
    <x v="0"/>
    <n v="3777924"/>
    <s v="BURITIS - MG"/>
    <d v="2022-11-17T00:00:00"/>
    <d v="2022-11-17T00:00:00"/>
    <n v="1"/>
    <d v="1900-01-04T20:35:34"/>
    <d v="1900-01-04T20:35:34"/>
  </r>
  <r>
    <x v="0"/>
    <n v="3791990"/>
    <s v="RIO REAL - BA"/>
    <d v="2022-11-22T00:00:00"/>
    <d v="2022-11-22T00:00:00"/>
    <n v="1"/>
    <d v="1899-12-30T20:35:34"/>
    <d v="1899-12-30T20:35:34"/>
  </r>
  <r>
    <x v="1"/>
    <n v="1419677"/>
    <s v="MUNDO NOVO - MS"/>
    <d v="2020-11-18T00:00:00"/>
    <d v="2022-10-21T00:00:00"/>
    <n v="1"/>
    <d v="1902-01-03T20:35:34"/>
    <d v="1900-01-31T20:35:34"/>
  </r>
  <r>
    <x v="1"/>
    <n v="3656434"/>
    <s v="JOINVILLE - SC"/>
    <d v="2022-10-10T00:00:00"/>
    <d v="2022-10-10T00:00:00"/>
    <n v="1"/>
    <d v="1900-02-11T20:35:34"/>
    <d v="1900-02-11T20:35:34"/>
  </r>
  <r>
    <x v="1"/>
    <n v="3679630"/>
    <s v="BARREIRINHAS - MA"/>
    <d v="2022-10-18T00:00:00"/>
    <d v="2022-10-18T00:00:00"/>
    <n v="1"/>
    <d v="1900-02-03T20:35:34"/>
    <d v="1900-02-03T20:35:34"/>
  </r>
  <r>
    <x v="1"/>
    <n v="3688772"/>
    <s v="CAMAMU - BA"/>
    <d v="2022-10-20T00:00:00"/>
    <d v="2022-10-20T00:00:00"/>
    <n v="1"/>
    <d v="1900-02-01T20:35:34"/>
    <d v="1900-02-01T20:35:34"/>
  </r>
  <r>
    <x v="1"/>
    <n v="3707755"/>
    <s v="MIRANDÓPOLIS - SP"/>
    <d v="2022-10-26T00:00:00"/>
    <d v="2022-10-26T00:00:00"/>
    <n v="1"/>
    <d v="1900-01-26T20:35:34"/>
    <d v="1900-01-26T20:35:34"/>
  </r>
  <r>
    <x v="1"/>
    <n v="3709436"/>
    <s v="SAQUAREMA - RJ"/>
    <d v="2022-10-26T00:00:00"/>
    <d v="2022-10-26T00:00:00"/>
    <n v="1"/>
    <d v="1900-01-26T20:35:34"/>
    <d v="1900-01-26T20:35:34"/>
  </r>
  <r>
    <x v="1"/>
    <n v="3709595"/>
    <s v="SAQUAREMA - RJ"/>
    <d v="2022-10-26T00:00:00"/>
    <d v="2022-10-26T00:00:00"/>
    <n v="1"/>
    <d v="1900-01-26T20:35:34"/>
    <d v="1900-01-26T20:35:34"/>
  </r>
  <r>
    <x v="1"/>
    <n v="3769523"/>
    <s v="QUEIMADOS - RJ"/>
    <d v="2022-11-14T00:00:00"/>
    <d v="2022-11-14T00:00:00"/>
    <n v="1"/>
    <d v="1900-01-07T20:35:34"/>
    <d v="1900-01-07T20:35:34"/>
  </r>
  <r>
    <x v="1"/>
    <n v="3769671"/>
    <s v="QUEIMADOS - RJ"/>
    <d v="2022-11-14T00:00:00"/>
    <d v="2022-11-14T00:00:00"/>
    <n v="1"/>
    <d v="1900-01-07T20:35:34"/>
    <d v="1900-01-07T20:35: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ela dinâmica7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M.I - Suporte Campo">
  <location ref="L2:O48" firstHeaderRow="0" firstDataRow="1" firstDataCol="1"/>
  <pivotFields count="12">
    <pivotField showAll="0"/>
    <pivotField axis="axisRow" dataField="1" showAll="0" sortType="descending">
      <items count="161">
        <item m="1" x="115"/>
        <item m="1" x="99"/>
        <item m="1" x="89"/>
        <item x="22"/>
        <item m="1" x="135"/>
        <item m="1" x="78"/>
        <item m="1" x="81"/>
        <item m="1" x="158"/>
        <item m="1" x="145"/>
        <item m="1" x="109"/>
        <item m="1" x="126"/>
        <item m="1" x="96"/>
        <item m="1" x="137"/>
        <item m="1" x="69"/>
        <item m="1" x="142"/>
        <item m="1" x="55"/>
        <item m="1" x="77"/>
        <item m="1" x="88"/>
        <item m="1" x="112"/>
        <item m="1" x="121"/>
        <item m="1" x="104"/>
        <item m="1" x="80"/>
        <item m="1" x="106"/>
        <item m="1" x="125"/>
        <item m="1" x="72"/>
        <item m="1" x="130"/>
        <item m="1" x="91"/>
        <item x="40"/>
        <item x="37"/>
        <item x="31"/>
        <item m="1" x="67"/>
        <item m="1" x="95"/>
        <item x="25"/>
        <item m="1" x="143"/>
        <item m="1" x="119"/>
        <item m="1" x="123"/>
        <item m="1" x="128"/>
        <item m="1" x="60"/>
        <item m="1" x="113"/>
        <item m="1" x="149"/>
        <item m="1" x="133"/>
        <item m="1" x="148"/>
        <item x="28"/>
        <item x="18"/>
        <item m="1" x="76"/>
        <item m="1" x="90"/>
        <item m="1" x="45"/>
        <item x="5"/>
        <item m="1" x="110"/>
        <item x="10"/>
        <item x="38"/>
        <item m="1" x="131"/>
        <item x="6"/>
        <item m="1" x="66"/>
        <item x="3"/>
        <item x="19"/>
        <item x="17"/>
        <item x="9"/>
        <item x="2"/>
        <item x="0"/>
        <item x="12"/>
        <item m="1" x="102"/>
        <item m="1" x="93"/>
        <item x="8"/>
        <item x="14"/>
        <item x="11"/>
        <item x="21"/>
        <item m="1" x="154"/>
        <item x="23"/>
        <item m="1" x="152"/>
        <item x="41"/>
        <item x="42"/>
        <item x="30"/>
        <item x="1"/>
        <item x="29"/>
        <item m="1" x="120"/>
        <item x="4"/>
        <item x="43"/>
        <item x="36"/>
        <item m="1" x="151"/>
        <item x="35"/>
        <item m="1" x="73"/>
        <item m="1" x="87"/>
        <item m="1" x="61"/>
        <item x="39"/>
        <item m="1" x="46"/>
        <item m="1" x="101"/>
        <item m="1" x="117"/>
        <item m="1" x="49"/>
        <item m="1" x="64"/>
        <item m="1" x="116"/>
        <item m="1" x="98"/>
        <item m="1" x="52"/>
        <item m="1" x="156"/>
        <item m="1" x="84"/>
        <item x="32"/>
        <item x="16"/>
        <item m="1" x="157"/>
        <item m="1" x="53"/>
        <item m="1" x="86"/>
        <item m="1" x="139"/>
        <item m="1" x="114"/>
        <item x="44"/>
        <item m="1" x="83"/>
        <item m="1" x="138"/>
        <item m="1" x="71"/>
        <item x="34"/>
        <item m="1" x="51"/>
        <item m="1" x="105"/>
        <item m="1" x="134"/>
        <item m="1" x="118"/>
        <item m="1" x="141"/>
        <item m="1" x="107"/>
        <item m="1" x="144"/>
        <item m="1" x="100"/>
        <item m="1" x="70"/>
        <item m="1" x="108"/>
        <item m="1" x="97"/>
        <item m="1" x="159"/>
        <item m="1" x="122"/>
        <item m="1" x="92"/>
        <item m="1" x="63"/>
        <item m="1" x="68"/>
        <item m="1" x="124"/>
        <item m="1" x="74"/>
        <item m="1" x="54"/>
        <item m="1" x="94"/>
        <item m="1" x="57"/>
        <item m="1" x="79"/>
        <item m="1" x="146"/>
        <item x="27"/>
        <item x="13"/>
        <item m="1" x="140"/>
        <item m="1" x="153"/>
        <item m="1" x="65"/>
        <item m="1" x="127"/>
        <item m="1" x="132"/>
        <item m="1" x="111"/>
        <item m="1" x="85"/>
        <item m="1" x="82"/>
        <item m="1" x="48"/>
        <item m="1" x="75"/>
        <item m="1" x="150"/>
        <item m="1" x="147"/>
        <item m="1" x="62"/>
        <item m="1" x="58"/>
        <item m="1" x="50"/>
        <item m="1" x="136"/>
        <item m="1" x="129"/>
        <item m="1" x="155"/>
        <item x="7"/>
        <item x="15"/>
        <item x="33"/>
        <item m="1" x="47"/>
        <item m="1" x="103"/>
        <item m="1" x="56"/>
        <item x="20"/>
        <item m="1" x="59"/>
        <item x="24"/>
        <item x="2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22" showAll="0"/>
    <pivotField showAll="0"/>
    <pivotField showAll="0"/>
    <pivotField numFmtId="22" showAll="0"/>
    <pivotField showAll="0"/>
    <pivotField showAll="0"/>
    <pivotField showAll="0"/>
    <pivotField dataField="1" numFmtId="22" showAll="0"/>
    <pivotField dataField="1" numFmtId="22" showAll="0"/>
  </pivotFields>
  <rowFields count="1">
    <field x="1"/>
  </rowFields>
  <rowItems count="46">
    <i>
      <x v="52"/>
    </i>
    <i>
      <x v="59"/>
    </i>
    <i>
      <x v="65"/>
    </i>
    <i>
      <x v="102"/>
    </i>
    <i>
      <x v="73"/>
    </i>
    <i>
      <x v="29"/>
    </i>
    <i>
      <x v="58"/>
    </i>
    <i>
      <x v="77"/>
    </i>
    <i>
      <x v="49"/>
    </i>
    <i>
      <x v="80"/>
    </i>
    <i>
      <x v="152"/>
    </i>
    <i>
      <x v="68"/>
    </i>
    <i>
      <x v="66"/>
    </i>
    <i>
      <x v="63"/>
    </i>
    <i>
      <x v="55"/>
    </i>
    <i>
      <x v="71"/>
    </i>
    <i>
      <x v="50"/>
    </i>
    <i>
      <x v="57"/>
    </i>
    <i>
      <x v="70"/>
    </i>
    <i>
      <x v="95"/>
    </i>
    <i>
      <x v="60"/>
    </i>
    <i>
      <x v="56"/>
    </i>
    <i>
      <x v="27"/>
    </i>
    <i>
      <x v="84"/>
    </i>
    <i>
      <x v="156"/>
    </i>
    <i>
      <x v="28"/>
    </i>
    <i>
      <x v="74"/>
    </i>
    <i>
      <x v="78"/>
    </i>
    <i>
      <x v="54"/>
    </i>
    <i>
      <x v="150"/>
    </i>
    <i>
      <x v="43"/>
    </i>
    <i>
      <x v="32"/>
    </i>
    <i>
      <x v="159"/>
    </i>
    <i>
      <x v="47"/>
    </i>
    <i>
      <x v="131"/>
    </i>
    <i>
      <x v="76"/>
    </i>
    <i>
      <x v="106"/>
    </i>
    <i>
      <x v="64"/>
    </i>
    <i>
      <x v="72"/>
    </i>
    <i>
      <x v="42"/>
    </i>
    <i>
      <x v="3"/>
    </i>
    <i>
      <x v="130"/>
    </i>
    <i>
      <x v="158"/>
    </i>
    <i>
      <x v="96"/>
    </i>
    <i>
      <x v="15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e Título" fld="1" subtotal="count" baseField="0" baseItem="0"/>
    <dataField name="Máx de Aging" fld="10" subtotal="max" baseField="1" baseItem="0" numFmtId="1"/>
    <dataField name="Máx de Aging Mod" fld="11" subtotal="max" baseField="1" baseItem="0" numFmtId="1"/>
  </dataFields>
  <formats count="19">
    <format dxfId="77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" type="button" dataOnly="0" labelOnly="1" outline="0" axis="axisRow" fieldPosition="0"/>
    </format>
    <format dxfId="73">
      <pivotArea dataOnly="0" labelOnly="1" fieldPosition="0">
        <references count="1">
          <reference field="1" count="0"/>
        </references>
      </pivotArea>
    </format>
    <format dxfId="72">
      <pivotArea dataOnly="0" labelOnly="1" grandRow="1" outline="0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collapsedLevelsAreSubtotals="1" fieldPosition="0">
        <references count="1">
          <reference field="1" count="42">
            <x v="3"/>
            <x v="27"/>
            <x v="28"/>
            <x v="29"/>
            <x v="32"/>
            <x v="42"/>
            <x v="43"/>
            <x v="47"/>
            <x v="49"/>
            <x v="50"/>
            <x v="54"/>
            <x v="55"/>
            <x v="56"/>
            <x v="57"/>
            <x v="58"/>
            <x v="60"/>
            <x v="63"/>
            <x v="64"/>
            <x v="66"/>
            <x v="68"/>
            <x v="70"/>
            <x v="71"/>
            <x v="72"/>
            <x v="73"/>
            <x v="74"/>
            <x v="76"/>
            <x v="77"/>
            <x v="78"/>
            <x v="80"/>
            <x v="84"/>
            <x v="95"/>
            <x v="96"/>
            <x v="102"/>
            <x v="106"/>
            <x v="130"/>
            <x v="131"/>
            <x v="150"/>
            <x v="151"/>
            <x v="152"/>
            <x v="156"/>
            <x v="158"/>
            <x v="159"/>
          </reference>
        </references>
      </pivotArea>
    </format>
    <format dxfId="31">
      <pivotArea grandRow="1" outline="0" collapsedLevelsAreSubtotals="1" fieldPosition="0"/>
    </format>
    <format dxfId="30">
      <pivotArea dataOnly="0" labelOnly="1" fieldPosition="0">
        <references count="1">
          <reference field="1" count="42">
            <x v="3"/>
            <x v="27"/>
            <x v="28"/>
            <x v="29"/>
            <x v="32"/>
            <x v="42"/>
            <x v="43"/>
            <x v="47"/>
            <x v="49"/>
            <x v="50"/>
            <x v="54"/>
            <x v="55"/>
            <x v="56"/>
            <x v="57"/>
            <x v="58"/>
            <x v="60"/>
            <x v="63"/>
            <x v="64"/>
            <x v="66"/>
            <x v="68"/>
            <x v="70"/>
            <x v="71"/>
            <x v="72"/>
            <x v="73"/>
            <x v="74"/>
            <x v="76"/>
            <x v="77"/>
            <x v="78"/>
            <x v="80"/>
            <x v="84"/>
            <x v="95"/>
            <x v="96"/>
            <x v="102"/>
            <x v="106"/>
            <x v="130"/>
            <x v="131"/>
            <x v="150"/>
            <x v="151"/>
            <x v="152"/>
            <x v="156"/>
            <x v="158"/>
            <x v="159"/>
          </reference>
        </references>
      </pivotArea>
    </format>
    <format dxfId="29">
      <pivotArea dataOnly="0" labelOnly="1" grandRow="1" outline="0" fieldPosition="0"/>
    </format>
    <format dxfId="28">
      <pivotArea collapsedLevelsAreSubtotals="1" fieldPosition="0">
        <references count="1">
          <reference field="1" count="1">
            <x v="65"/>
          </reference>
        </references>
      </pivotArea>
    </format>
    <format dxfId="27">
      <pivotArea dataOnly="0" labelOnly="1" fieldPosition="0">
        <references count="1">
          <reference field="1" count="1">
            <x v="65"/>
          </reference>
        </references>
      </pivotArea>
    </format>
    <format dxfId="26">
      <pivotArea collapsedLevelsAreSubtotals="1" fieldPosition="0">
        <references count="1">
          <reference field="1" count="1">
            <x v="59"/>
          </reference>
        </references>
      </pivotArea>
    </format>
    <format dxfId="25">
      <pivotArea dataOnly="0" labelOnly="1" fieldPosition="0">
        <references count="1">
          <reference field="1" count="1">
            <x v="59"/>
          </reference>
        </references>
      </pivotArea>
    </format>
    <format dxfId="24">
      <pivotArea collapsedLevelsAreSubtotals="1" fieldPosition="0">
        <references count="1">
          <reference field="1" count="1">
            <x v="52"/>
          </reference>
        </references>
      </pivotArea>
    </format>
    <format dxfId="23">
      <pivotArea dataOnly="0" labelOnly="1" fieldPosition="0">
        <references count="1">
          <reference field="1" count="1">
            <x v="52"/>
          </reference>
        </references>
      </pivotArea>
    </format>
    <format dxfId="22">
      <pivotArea field="1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54">
    <conditionalFormat priority="17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6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  <conditionalFormat priority="16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  <conditionalFormat priority="16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  <conditionalFormat priority="15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5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</reference>
          </references>
        </pivotArea>
      </pivotAreas>
    </conditionalFormat>
    <conditionalFormat priority="15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5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</reference>
          </references>
        </pivotArea>
      </pivotAreas>
    </conditionalFormat>
    <conditionalFormat priority="15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5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</reference>
          </references>
        </pivotArea>
      </pivotAreas>
    </conditionalFormat>
    <conditionalFormat priority="15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15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15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13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2"/>
              <x v="103"/>
              <x v="105"/>
            </reference>
          </references>
        </pivotArea>
      </pivotAreas>
    </conditionalFormat>
    <conditionalFormat priority="13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2"/>
              <x v="103"/>
              <x v="105"/>
            </reference>
          </references>
        </pivotArea>
      </pivotAreas>
    </conditionalFormat>
    <conditionalFormat priority="13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2"/>
              <x v="103"/>
              <x v="105"/>
            </reference>
          </references>
        </pivotArea>
      </pivotAreas>
    </conditionalFormat>
    <conditionalFormat priority="12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1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3"/>
              <x v="105"/>
              <x v="106"/>
            </reference>
          </references>
        </pivotArea>
      </pivotAreas>
    </conditionalFormat>
    <conditionalFormat priority="12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1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3"/>
              <x v="105"/>
              <x v="106"/>
            </reference>
          </references>
        </pivotArea>
      </pivotAreas>
    </conditionalFormat>
    <conditionalFormat priority="12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1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3"/>
              <x v="105"/>
              <x v="106"/>
            </reference>
          </references>
        </pivotArea>
      </pivotAreas>
    </conditionalFormat>
    <conditionalFormat priority="1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9"/>
              <x v="60"/>
              <x v="61"/>
              <x v="76"/>
              <x v="79"/>
              <x v="90"/>
              <x v="94"/>
              <x v="99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</reference>
          </references>
        </pivotArea>
      </pivotAreas>
    </conditionalFormat>
    <conditionalFormat priority="11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9"/>
              <x v="60"/>
              <x v="61"/>
              <x v="76"/>
              <x v="79"/>
              <x v="90"/>
              <x v="94"/>
              <x v="99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</reference>
          </references>
        </pivotArea>
      </pivotAreas>
    </conditionalFormat>
    <conditionalFormat priority="10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9"/>
              <x v="60"/>
              <x v="61"/>
              <x v="76"/>
              <x v="79"/>
              <x v="90"/>
              <x v="94"/>
              <x v="99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</reference>
          </references>
        </pivotArea>
      </pivotAreas>
    </conditionalFormat>
    <conditionalFormat priority="10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3"/>
              <x v="105"/>
              <x v="106"/>
              <x v="130"/>
            </reference>
          </references>
        </pivotArea>
      </pivotAreas>
    </conditionalFormat>
    <conditionalFormat priority="10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3"/>
              <x v="105"/>
              <x v="106"/>
              <x v="130"/>
            </reference>
          </references>
        </pivotArea>
      </pivotAreas>
    </conditionalFormat>
    <conditionalFormat priority="10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3"/>
              <x v="105"/>
              <x v="106"/>
              <x v="130"/>
            </reference>
          </references>
        </pivotArea>
      </pivotAreas>
    </conditionalFormat>
    <conditionalFormat priority="8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6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3"/>
              <x v="105"/>
              <x v="106"/>
              <x v="114"/>
              <x v="130"/>
              <x v="131"/>
            </reference>
          </references>
        </pivotArea>
      </pivotAreas>
    </conditionalFormat>
    <conditionalFormat priority="8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6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3"/>
              <x v="105"/>
              <x v="106"/>
              <x v="114"/>
              <x v="130"/>
              <x v="131"/>
            </reference>
          </references>
        </pivotArea>
      </pivotAreas>
    </conditionalFormat>
    <conditionalFormat priority="8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6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3"/>
              <x v="105"/>
              <x v="106"/>
              <x v="114"/>
              <x v="130"/>
              <x v="131"/>
            </reference>
          </references>
        </pivotArea>
      </pivotAreas>
    </conditionalFormat>
    <conditionalFormat priority="7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0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6"/>
              <x v="28"/>
              <x v="29"/>
              <x v="30"/>
              <x v="32"/>
              <x v="33"/>
              <x v="34"/>
              <x v="36"/>
              <x v="39"/>
              <x v="40"/>
              <x v="43"/>
              <x v="44"/>
              <x v="45"/>
              <x v="49"/>
              <x v="60"/>
              <x v="61"/>
              <x v="66"/>
              <x v="70"/>
              <x v="90"/>
              <x v="94"/>
              <x v="99"/>
              <x v="105"/>
              <x v="108"/>
              <x v="109"/>
              <x v="110"/>
              <x v="111"/>
              <x v="115"/>
              <x v="116"/>
              <x v="118"/>
              <x v="119"/>
              <x v="120"/>
              <x v="124"/>
              <x v="125"/>
              <x v="128"/>
              <x v="132"/>
              <x v="133"/>
              <x v="134"/>
              <x v="135"/>
              <x v="136"/>
              <x v="137"/>
              <x v="138"/>
              <x v="139"/>
            </reference>
          </references>
        </pivotArea>
      </pivotAreas>
    </conditionalFormat>
    <conditionalFormat priority="7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0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6"/>
              <x v="28"/>
              <x v="29"/>
              <x v="30"/>
              <x v="32"/>
              <x v="33"/>
              <x v="34"/>
              <x v="36"/>
              <x v="39"/>
              <x v="40"/>
              <x v="43"/>
              <x v="44"/>
              <x v="45"/>
              <x v="49"/>
              <x v="60"/>
              <x v="61"/>
              <x v="66"/>
              <x v="70"/>
              <x v="90"/>
              <x v="94"/>
              <x v="99"/>
              <x v="105"/>
              <x v="108"/>
              <x v="109"/>
              <x v="110"/>
              <x v="111"/>
              <x v="115"/>
              <x v="116"/>
              <x v="118"/>
              <x v="119"/>
              <x v="120"/>
              <x v="124"/>
              <x v="125"/>
              <x v="128"/>
              <x v="132"/>
              <x v="133"/>
              <x v="134"/>
              <x v="135"/>
              <x v="136"/>
              <x v="137"/>
              <x v="138"/>
              <x v="139"/>
            </reference>
          </references>
        </pivotArea>
      </pivotAreas>
    </conditionalFormat>
    <conditionalFormat priority="7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0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6"/>
              <x v="28"/>
              <x v="29"/>
              <x v="30"/>
              <x v="32"/>
              <x v="33"/>
              <x v="34"/>
              <x v="36"/>
              <x v="39"/>
              <x v="40"/>
              <x v="43"/>
              <x v="44"/>
              <x v="45"/>
              <x v="49"/>
              <x v="60"/>
              <x v="61"/>
              <x v="66"/>
              <x v="70"/>
              <x v="90"/>
              <x v="94"/>
              <x v="99"/>
              <x v="105"/>
              <x v="108"/>
              <x v="109"/>
              <x v="110"/>
              <x v="111"/>
              <x v="115"/>
              <x v="116"/>
              <x v="118"/>
              <x v="119"/>
              <x v="120"/>
              <x v="124"/>
              <x v="125"/>
              <x v="128"/>
              <x v="132"/>
              <x v="133"/>
              <x v="134"/>
              <x v="135"/>
              <x v="136"/>
              <x v="137"/>
              <x v="138"/>
              <x v="139"/>
            </reference>
          </references>
        </pivotArea>
      </pivotAreas>
    </conditionalFormat>
    <conditionalFormat priority="6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60"/>
              <x v="61"/>
              <x v="66"/>
              <x v="70"/>
              <x v="90"/>
              <x v="94"/>
              <x v="95"/>
              <x v="105"/>
              <x v="109"/>
              <x v="110"/>
              <x v="111"/>
              <x v="114"/>
              <x v="115"/>
              <x v="116"/>
              <x v="118"/>
              <x v="119"/>
              <x v="120"/>
              <x v="121"/>
              <x v="125"/>
              <x v="132"/>
              <x v="133"/>
              <x v="134"/>
              <x v="136"/>
              <x v="137"/>
              <x v="139"/>
              <x v="140"/>
              <x v="141"/>
              <x v="142"/>
              <x v="143"/>
              <x v="144"/>
              <x v="145"/>
              <x v="146"/>
              <x v="147"/>
            </reference>
          </references>
        </pivotArea>
      </pivotAreas>
    </conditionalFormat>
    <conditionalFormat priority="6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60"/>
              <x v="61"/>
              <x v="66"/>
              <x v="70"/>
              <x v="90"/>
              <x v="94"/>
              <x v="95"/>
              <x v="105"/>
              <x v="109"/>
              <x v="110"/>
              <x v="111"/>
              <x v="114"/>
              <x v="115"/>
              <x v="116"/>
              <x v="118"/>
              <x v="119"/>
              <x v="120"/>
              <x v="121"/>
              <x v="125"/>
              <x v="132"/>
              <x v="133"/>
              <x v="134"/>
              <x v="136"/>
              <x v="137"/>
              <x v="139"/>
              <x v="140"/>
              <x v="141"/>
              <x v="142"/>
              <x v="143"/>
              <x v="144"/>
              <x v="145"/>
              <x v="146"/>
              <x v="147"/>
            </reference>
          </references>
        </pivotArea>
      </pivotAreas>
    </conditionalFormat>
    <conditionalFormat priority="6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60"/>
              <x v="61"/>
              <x v="66"/>
              <x v="70"/>
              <x v="90"/>
              <x v="94"/>
              <x v="95"/>
              <x v="105"/>
              <x v="109"/>
              <x v="110"/>
              <x v="111"/>
              <x v="114"/>
              <x v="115"/>
              <x v="116"/>
              <x v="118"/>
              <x v="119"/>
              <x v="120"/>
              <x v="121"/>
              <x v="125"/>
              <x v="132"/>
              <x v="133"/>
              <x v="134"/>
              <x v="136"/>
              <x v="137"/>
              <x v="139"/>
              <x v="140"/>
              <x v="141"/>
              <x v="142"/>
              <x v="143"/>
              <x v="144"/>
              <x v="145"/>
              <x v="146"/>
              <x v="147"/>
            </reference>
          </references>
        </pivotArea>
      </pivotAreas>
    </conditionalFormat>
    <conditionalFormat priority="5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2"/>
              <x v="103"/>
              <x v="105"/>
              <x v="106"/>
              <x v="114"/>
              <x v="118"/>
              <x v="126"/>
              <x v="130"/>
              <x v="148"/>
            </reference>
          </references>
        </pivotArea>
      </pivotAreas>
    </conditionalFormat>
    <conditionalFormat priority="5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2"/>
              <x v="103"/>
              <x v="105"/>
              <x v="106"/>
              <x v="114"/>
              <x v="118"/>
              <x v="126"/>
              <x v="130"/>
              <x v="148"/>
            </reference>
          </references>
        </pivotArea>
      </pivotAreas>
    </conditionalFormat>
    <conditionalFormat priority="5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2"/>
              <x v="103"/>
              <x v="105"/>
              <x v="106"/>
              <x v="114"/>
              <x v="118"/>
              <x v="126"/>
              <x v="130"/>
              <x v="148"/>
            </reference>
          </references>
        </pivotArea>
      </pivotAreas>
    </conditionalFormat>
    <conditionalFormat priority="4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7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90"/>
              <x v="93"/>
              <x v="94"/>
              <x v="99"/>
              <x v="102"/>
              <x v="103"/>
              <x v="105"/>
              <x v="106"/>
              <x v="114"/>
              <x v="126"/>
              <x v="148"/>
              <x v="149"/>
            </reference>
          </references>
        </pivotArea>
      </pivotAreas>
    </conditionalFormat>
    <conditionalFormat priority="4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7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90"/>
              <x v="93"/>
              <x v="94"/>
              <x v="99"/>
              <x v="102"/>
              <x v="103"/>
              <x v="105"/>
              <x v="106"/>
              <x v="114"/>
              <x v="126"/>
              <x v="148"/>
              <x v="149"/>
            </reference>
          </references>
        </pivotArea>
      </pivotAreas>
    </conditionalFormat>
    <conditionalFormat priority="4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7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90"/>
              <x v="93"/>
              <x v="94"/>
              <x v="99"/>
              <x v="102"/>
              <x v="103"/>
              <x v="105"/>
              <x v="106"/>
              <x v="114"/>
              <x v="126"/>
              <x v="148"/>
              <x v="149"/>
            </reference>
          </references>
        </pivotArea>
      </pivotAreas>
    </conditionalFormat>
    <conditionalFormat priority="3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3"/>
              <x v="7"/>
              <x v="9"/>
              <x v="28"/>
              <x v="29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1"/>
              <x v="83"/>
              <x v="84"/>
              <x v="85"/>
              <x v="88"/>
              <x v="93"/>
              <x v="102"/>
              <x v="105"/>
              <x v="106"/>
              <x v="114"/>
              <x v="126"/>
              <x v="130"/>
              <x v="150"/>
              <x v="151"/>
            </reference>
          </references>
        </pivotArea>
      </pivotAreas>
    </conditionalFormat>
    <conditionalFormat priority="3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3"/>
              <x v="7"/>
              <x v="9"/>
              <x v="28"/>
              <x v="29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1"/>
              <x v="83"/>
              <x v="84"/>
              <x v="85"/>
              <x v="88"/>
              <x v="93"/>
              <x v="102"/>
              <x v="105"/>
              <x v="106"/>
              <x v="114"/>
              <x v="126"/>
              <x v="130"/>
              <x v="150"/>
              <x v="151"/>
            </reference>
          </references>
        </pivotArea>
      </pivotAreas>
    </conditionalFormat>
    <conditionalFormat priority="3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3"/>
              <x v="7"/>
              <x v="9"/>
              <x v="28"/>
              <x v="29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1"/>
              <x v="83"/>
              <x v="84"/>
              <x v="85"/>
              <x v="88"/>
              <x v="93"/>
              <x v="102"/>
              <x v="105"/>
              <x v="106"/>
              <x v="114"/>
              <x v="126"/>
              <x v="130"/>
              <x v="150"/>
              <x v="151"/>
            </reference>
          </references>
        </pivotArea>
      </pivotAreas>
    </conditionalFormat>
    <conditionalFormat priority="3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4">
              <x v="3"/>
              <x v="7"/>
              <x v="9"/>
              <x v="27"/>
              <x v="28"/>
              <x v="29"/>
              <x v="32"/>
              <x v="47"/>
              <x v="49"/>
              <x v="50"/>
              <x v="51"/>
              <x v="52"/>
              <x v="53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0"/>
              <x v="84"/>
              <x v="85"/>
              <x v="93"/>
              <x v="100"/>
              <x v="102"/>
              <x v="106"/>
              <x v="130"/>
              <x v="131"/>
              <x v="150"/>
              <x v="152"/>
            </reference>
          </references>
        </pivotArea>
      </pivotAreas>
    </conditionalFormat>
    <conditionalFormat priority="3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4">
              <x v="3"/>
              <x v="7"/>
              <x v="9"/>
              <x v="27"/>
              <x v="28"/>
              <x v="29"/>
              <x v="32"/>
              <x v="47"/>
              <x v="49"/>
              <x v="50"/>
              <x v="51"/>
              <x v="52"/>
              <x v="53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0"/>
              <x v="84"/>
              <x v="85"/>
              <x v="93"/>
              <x v="100"/>
              <x v="102"/>
              <x v="106"/>
              <x v="130"/>
              <x v="131"/>
              <x v="150"/>
              <x v="152"/>
            </reference>
          </references>
        </pivotArea>
      </pivotAreas>
    </conditionalFormat>
    <conditionalFormat priority="3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4">
              <x v="3"/>
              <x v="7"/>
              <x v="9"/>
              <x v="27"/>
              <x v="28"/>
              <x v="29"/>
              <x v="32"/>
              <x v="47"/>
              <x v="49"/>
              <x v="50"/>
              <x v="51"/>
              <x v="52"/>
              <x v="53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0"/>
              <x v="84"/>
              <x v="85"/>
              <x v="93"/>
              <x v="100"/>
              <x v="102"/>
              <x v="106"/>
              <x v="130"/>
              <x v="131"/>
              <x v="150"/>
              <x v="152"/>
            </reference>
          </references>
        </pivotArea>
      </pivotAreas>
    </conditionalFormat>
    <conditionalFormat priority="2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1">
              <x v="2"/>
              <x v="3"/>
              <x v="27"/>
              <x v="28"/>
              <x v="29"/>
              <x v="32"/>
              <x v="47"/>
              <x v="49"/>
              <x v="50"/>
              <x v="51"/>
              <x v="52"/>
              <x v="55"/>
              <x v="57"/>
              <x v="58"/>
              <x v="59"/>
              <x v="60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3"/>
              <x v="74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3"/>
              <x v="154"/>
              <x v="155"/>
            </reference>
          </references>
        </pivotArea>
      </pivotAreas>
    </conditionalFormat>
    <conditionalFormat priority="2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1">
              <x v="2"/>
              <x v="3"/>
              <x v="27"/>
              <x v="28"/>
              <x v="29"/>
              <x v="32"/>
              <x v="47"/>
              <x v="49"/>
              <x v="50"/>
              <x v="51"/>
              <x v="52"/>
              <x v="55"/>
              <x v="57"/>
              <x v="58"/>
              <x v="59"/>
              <x v="60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3"/>
              <x v="74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3"/>
              <x v="154"/>
              <x v="155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1">
              <x v="2"/>
              <x v="3"/>
              <x v="27"/>
              <x v="28"/>
              <x v="29"/>
              <x v="32"/>
              <x v="47"/>
              <x v="49"/>
              <x v="50"/>
              <x v="51"/>
              <x v="52"/>
              <x v="55"/>
              <x v="57"/>
              <x v="58"/>
              <x v="59"/>
              <x v="60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3"/>
              <x v="74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3"/>
              <x v="154"/>
              <x v="155"/>
            </reference>
          </references>
        </pivotArea>
      </pivotAreas>
    </conditionalFormat>
    <conditionalFormat priority="1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9">
              <x v="2"/>
              <x v="13"/>
              <x v="27"/>
              <x v="28"/>
              <x v="29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6"/>
            </reference>
          </references>
        </pivotArea>
      </pivotAreas>
    </conditionalFormat>
    <conditionalFormat priority="1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39">
              <x v="2"/>
              <x v="13"/>
              <x v="27"/>
              <x v="28"/>
              <x v="29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6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39">
              <x v="2"/>
              <x v="13"/>
              <x v="27"/>
              <x v="28"/>
              <x v="29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6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7">
              <x v="3"/>
              <x v="27"/>
              <x v="28"/>
              <x v="29"/>
              <x v="32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95"/>
              <x v="102"/>
              <x v="106"/>
              <x v="130"/>
              <x v="131"/>
              <x v="15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7">
              <x v="3"/>
              <x v="27"/>
              <x v="28"/>
              <x v="29"/>
              <x v="32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95"/>
              <x v="102"/>
              <x v="106"/>
              <x v="130"/>
              <x v="131"/>
              <x v="15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7">
              <x v="3"/>
              <x v="27"/>
              <x v="28"/>
              <x v="29"/>
              <x v="32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95"/>
              <x v="102"/>
              <x v="106"/>
              <x v="130"/>
              <x v="131"/>
              <x v="150"/>
              <x v="152"/>
              <x v="156"/>
              <x v="157"/>
              <x v="158"/>
              <x v="15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ela dinâmica6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CSTI - Suporte Remoto">
  <location ref="G2:J57" firstHeaderRow="0" firstDataRow="1" firstDataCol="1"/>
  <pivotFields count="12">
    <pivotField showAll="0"/>
    <pivotField axis="axisRow" dataField="1" showAll="0" sortType="descending">
      <items count="190">
        <item x="32"/>
        <item m="1" x="123"/>
        <item m="1" x="114"/>
        <item m="1" x="155"/>
        <item m="1" x="160"/>
        <item m="1" x="102"/>
        <item m="1" x="104"/>
        <item m="1" x="187"/>
        <item m="1" x="172"/>
        <item m="1" x="135"/>
        <item m="1" x="149"/>
        <item x="20"/>
        <item x="5"/>
        <item x="15"/>
        <item x="19"/>
        <item x="43"/>
        <item x="8"/>
        <item m="1" x="113"/>
        <item x="21"/>
        <item x="9"/>
        <item x="4"/>
        <item x="3"/>
        <item m="1" x="128"/>
        <item m="1" x="148"/>
        <item x="35"/>
        <item m="1" x="153"/>
        <item x="1"/>
        <item x="47"/>
        <item x="42"/>
        <item x="22"/>
        <item m="1" x="89"/>
        <item m="1" x="119"/>
        <item x="28"/>
        <item m="1" x="169"/>
        <item x="46"/>
        <item m="1" x="144"/>
        <item x="13"/>
        <item m="1" x="81"/>
        <item m="1" x="137"/>
        <item m="1" x="177"/>
        <item m="1" x="158"/>
        <item m="1" x="176"/>
        <item m="1" x="76"/>
        <item x="17"/>
        <item x="14"/>
        <item m="1" x="115"/>
        <item m="1" x="55"/>
        <item m="1" x="162"/>
        <item m="1" x="90"/>
        <item m="1" x="181"/>
        <item m="1" x="74"/>
        <item m="1" x="179"/>
        <item x="37"/>
        <item m="1" x="156"/>
        <item m="1" x="127"/>
        <item m="1" x="139"/>
        <item m="1" x="133"/>
        <item m="1" x="167"/>
        <item m="1" x="86"/>
        <item m="1" x="58"/>
        <item x="36"/>
        <item x="10"/>
        <item m="1" x="100"/>
        <item m="1" x="143"/>
        <item m="1" x="145"/>
        <item x="31"/>
        <item m="1" x="146"/>
        <item m="1" x="126"/>
        <item x="24"/>
        <item m="1" x="152"/>
        <item m="1" x="93"/>
        <item m="1" x="174"/>
        <item x="30"/>
        <item m="1" x="141"/>
        <item m="1" x="147"/>
        <item m="1" x="112"/>
        <item m="1" x="60"/>
        <item m="1" x="61"/>
        <item m="1" x="54"/>
        <item m="1" x="91"/>
        <item m="1" x="73"/>
        <item x="50"/>
        <item m="1" x="99"/>
        <item x="38"/>
        <item x="23"/>
        <item m="1" x="118"/>
        <item m="1" x="79"/>
        <item m="1" x="103"/>
        <item m="1" x="117"/>
        <item m="1" x="134"/>
        <item m="1" x="168"/>
        <item m="1" x="120"/>
        <item m="1" x="188"/>
        <item m="1" x="69"/>
        <item x="34"/>
        <item m="1" x="132"/>
        <item m="1" x="171"/>
        <item m="1" x="166"/>
        <item m="1" x="157"/>
        <item x="40"/>
        <item x="52"/>
        <item m="1" x="109"/>
        <item m="1" x="124"/>
        <item m="1" x="161"/>
        <item m="1" x="62"/>
        <item m="1" x="68"/>
        <item x="33"/>
        <item m="1" x="59"/>
        <item m="1" x="96"/>
        <item x="29"/>
        <item m="1" x="106"/>
        <item m="1" x="84"/>
        <item m="1" x="80"/>
        <item x="25"/>
        <item m="1" x="175"/>
        <item m="1" x="101"/>
        <item m="1" x="154"/>
        <item m="1" x="159"/>
        <item m="1" x="70"/>
        <item m="1" x="83"/>
        <item m="1" x="163"/>
        <item m="1" x="92"/>
        <item m="1" x="183"/>
        <item m="1" x="116"/>
        <item m="1" x="130"/>
        <item m="1" x="56"/>
        <item m="1" x="170"/>
        <item m="1" x="186"/>
        <item m="1" x="87"/>
        <item m="1" x="111"/>
        <item m="1" x="98"/>
        <item m="1" x="180"/>
        <item m="1" x="75"/>
        <item m="1" x="107"/>
        <item m="1" x="131"/>
        <item m="1" x="182"/>
        <item m="1" x="64"/>
        <item m="1" x="185"/>
        <item m="1" x="57"/>
        <item m="1" x="97"/>
        <item m="1" x="151"/>
        <item m="1" x="110"/>
        <item m="1" x="66"/>
        <item m="1" x="105"/>
        <item m="1" x="88"/>
        <item x="49"/>
        <item m="1" x="121"/>
        <item m="1" x="140"/>
        <item m="1" x="85"/>
        <item m="1" x="184"/>
        <item m="1" x="67"/>
        <item m="1" x="63"/>
        <item m="1" x="173"/>
        <item m="1" x="95"/>
        <item m="1" x="164"/>
        <item m="1" x="129"/>
        <item m="1" x="122"/>
        <item x="18"/>
        <item m="1" x="82"/>
        <item x="51"/>
        <item x="2"/>
        <item x="11"/>
        <item x="45"/>
        <item x="26"/>
        <item m="1" x="65"/>
        <item x="12"/>
        <item x="7"/>
        <item x="44"/>
        <item m="1" x="165"/>
        <item x="48"/>
        <item x="16"/>
        <item m="1" x="150"/>
        <item x="39"/>
        <item m="1" x="71"/>
        <item m="1" x="142"/>
        <item x="53"/>
        <item m="1" x="138"/>
        <item m="1" x="78"/>
        <item m="1" x="178"/>
        <item x="27"/>
        <item m="1" x="136"/>
        <item m="1" x="77"/>
        <item m="1" x="94"/>
        <item m="1" x="125"/>
        <item m="1" x="72"/>
        <item m="1" x="108"/>
        <item x="41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22" showAll="0"/>
    <pivotField showAll="0"/>
    <pivotField showAll="0"/>
    <pivotField numFmtId="22" showAll="0"/>
    <pivotField showAll="0"/>
    <pivotField showAll="0"/>
    <pivotField showAll="0"/>
    <pivotField dataField="1" numFmtId="22" showAll="0"/>
    <pivotField dataField="1" numFmtId="22" showAll="0"/>
  </pivotFields>
  <rowFields count="1">
    <field x="1"/>
  </rowFields>
  <rowItems count="55">
    <i>
      <x v="43"/>
    </i>
    <i>
      <x v="44"/>
    </i>
    <i>
      <x v="160"/>
    </i>
    <i>
      <x v="60"/>
    </i>
    <i>
      <x v="172"/>
    </i>
    <i>
      <x v="175"/>
    </i>
    <i>
      <x v="29"/>
    </i>
    <i>
      <x v="100"/>
    </i>
    <i>
      <x v="159"/>
    </i>
    <i>
      <x v="15"/>
    </i>
    <i>
      <x v="81"/>
    </i>
    <i>
      <x v="27"/>
    </i>
    <i>
      <x v="99"/>
    </i>
    <i>
      <x v="18"/>
    </i>
    <i>
      <x v="19"/>
    </i>
    <i>
      <x v="162"/>
    </i>
    <i>
      <x v="145"/>
    </i>
    <i>
      <x v="61"/>
    </i>
    <i>
      <x v="14"/>
    </i>
    <i>
      <x v="94"/>
    </i>
    <i>
      <x v="179"/>
    </i>
    <i>
      <x v="28"/>
    </i>
    <i>
      <x v="52"/>
    </i>
    <i>
      <x v="20"/>
    </i>
    <i>
      <x v="16"/>
    </i>
    <i>
      <x v="169"/>
    </i>
    <i>
      <x v="83"/>
    </i>
    <i>
      <x v="12"/>
    </i>
    <i>
      <x v="157"/>
    </i>
    <i>
      <x v="165"/>
    </i>
    <i>
      <x v="26"/>
    </i>
    <i>
      <x v="161"/>
    </i>
    <i>
      <x v="34"/>
    </i>
    <i>
      <x v="72"/>
    </i>
    <i>
      <x v="36"/>
    </i>
    <i>
      <x v="167"/>
    </i>
    <i>
      <x v="106"/>
    </i>
    <i>
      <x/>
    </i>
    <i>
      <x v="186"/>
    </i>
    <i>
      <x v="163"/>
    </i>
    <i>
      <x v="32"/>
    </i>
    <i>
      <x v="24"/>
    </i>
    <i>
      <x v="109"/>
    </i>
    <i>
      <x v="65"/>
    </i>
    <i>
      <x v="113"/>
    </i>
    <i>
      <x v="68"/>
    </i>
    <i>
      <x v="21"/>
    </i>
    <i>
      <x v="11"/>
    </i>
    <i>
      <x v="84"/>
    </i>
    <i>
      <x v="170"/>
    </i>
    <i>
      <x v="166"/>
    </i>
    <i>
      <x v="13"/>
    </i>
    <i>
      <x v="188"/>
    </i>
    <i>
      <x v="18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e Título" fld="1" subtotal="count" baseField="0" baseItem="0"/>
    <dataField name="Máx de Aging" fld="10" subtotal="max" baseField="1" baseItem="0" numFmtId="1"/>
    <dataField name="Máx de Aging Mod" fld="11" subtotal="max" baseField="1" baseItem="0" numFmtId="1"/>
  </dataFields>
  <formats count="20">
    <format dxfId="84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1" type="button" dataOnly="0" labelOnly="1" outline="0" axis="axisRow" fieldPosition="0"/>
    </format>
    <format dxfId="80">
      <pivotArea dataOnly="0" labelOnly="1" fieldPosition="0">
        <references count="1">
          <reference field="1" count="0"/>
        </references>
      </pivotArea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collapsedLevelsAreSubtotals="1" fieldPosition="0">
        <references count="1">
          <reference field="1" count="51">
            <x v="0"/>
            <x v="11"/>
            <x v="12"/>
            <x v="13"/>
            <x v="14"/>
            <x v="15"/>
            <x v="16"/>
            <x v="18"/>
            <x v="19"/>
            <x v="20"/>
            <x v="21"/>
            <x v="24"/>
            <x v="26"/>
            <x v="27"/>
            <x v="28"/>
            <x v="29"/>
            <x v="32"/>
            <x v="34"/>
            <x v="36"/>
            <x v="52"/>
            <x v="60"/>
            <x v="61"/>
            <x v="65"/>
            <x v="68"/>
            <x v="72"/>
            <x v="81"/>
            <x v="83"/>
            <x v="84"/>
            <x v="94"/>
            <x v="99"/>
            <x v="100"/>
            <x v="106"/>
            <x v="109"/>
            <x v="113"/>
            <x v="145"/>
            <x v="157"/>
            <x v="159"/>
            <x v="161"/>
            <x v="162"/>
            <x v="163"/>
            <x v="165"/>
            <x v="166"/>
            <x v="167"/>
            <x v="169"/>
            <x v="170"/>
            <x v="172"/>
            <x v="175"/>
            <x v="179"/>
            <x v="186"/>
            <x v="187"/>
            <x v="188"/>
          </reference>
        </references>
      </pivotArea>
    </format>
    <format dxfId="19">
      <pivotArea grandRow="1" outline="0" collapsedLevelsAreSubtotals="1" fieldPosition="0"/>
    </format>
    <format dxfId="18">
      <pivotArea dataOnly="0" labelOnly="1" fieldPosition="0">
        <references count="1">
          <reference field="1" count="50">
            <x v="0"/>
            <x v="11"/>
            <x v="12"/>
            <x v="13"/>
            <x v="14"/>
            <x v="15"/>
            <x v="16"/>
            <x v="18"/>
            <x v="19"/>
            <x v="20"/>
            <x v="21"/>
            <x v="24"/>
            <x v="26"/>
            <x v="27"/>
            <x v="28"/>
            <x v="29"/>
            <x v="32"/>
            <x v="34"/>
            <x v="36"/>
            <x v="52"/>
            <x v="60"/>
            <x v="61"/>
            <x v="65"/>
            <x v="68"/>
            <x v="72"/>
            <x v="81"/>
            <x v="83"/>
            <x v="84"/>
            <x v="94"/>
            <x v="99"/>
            <x v="100"/>
            <x v="106"/>
            <x v="109"/>
            <x v="113"/>
            <x v="145"/>
            <x v="157"/>
            <x v="159"/>
            <x v="161"/>
            <x v="162"/>
            <x v="163"/>
            <x v="165"/>
            <x v="166"/>
            <x v="167"/>
            <x v="169"/>
            <x v="170"/>
            <x v="172"/>
            <x v="175"/>
            <x v="179"/>
            <x v="186"/>
            <x v="188"/>
          </reference>
        </references>
      </pivotArea>
    </format>
    <format dxfId="17">
      <pivotArea dataOnly="0" labelOnly="1" fieldPosition="0">
        <references count="1">
          <reference field="1" count="1">
            <x v="187"/>
          </reference>
        </references>
      </pivotArea>
    </format>
    <format dxfId="16">
      <pivotArea dataOnly="0" labelOnly="1" grandRow="1" outline="0" fieldPosition="0"/>
    </format>
    <format dxfId="15">
      <pivotArea collapsedLevelsAreSubtotals="1" fieldPosition="0">
        <references count="1">
          <reference field="1" count="1">
            <x v="160"/>
          </reference>
        </references>
      </pivotArea>
    </format>
    <format dxfId="14">
      <pivotArea dataOnly="0" labelOnly="1" fieldPosition="0">
        <references count="1">
          <reference field="1" count="1">
            <x v="160"/>
          </reference>
        </references>
      </pivotArea>
    </format>
    <format dxfId="13">
      <pivotArea collapsedLevelsAreSubtotals="1" fieldPosition="0">
        <references count="1">
          <reference field="1" count="1">
            <x v="44"/>
          </reference>
        </references>
      </pivotArea>
    </format>
    <format dxfId="12">
      <pivotArea dataOnly="0" labelOnly="1" fieldPosition="0">
        <references count="1">
          <reference field="1" count="1">
            <x v="44"/>
          </reference>
        </references>
      </pivotArea>
    </format>
    <format dxfId="11">
      <pivotArea collapsedLevelsAreSubtotals="1" fieldPosition="0">
        <references count="1">
          <reference field="1" count="1">
            <x v="43"/>
          </reference>
        </references>
      </pivotArea>
    </format>
    <format dxfId="10">
      <pivotArea dataOnly="0" labelOnly="1" fieldPosition="0">
        <references count="1">
          <reference field="1" count="1">
            <x v="43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113">
    <conditionalFormat priority="17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3">
              <x v="0"/>
              <x v="1"/>
              <x v="2"/>
              <x v="4"/>
              <x v="8"/>
              <x v="12"/>
              <x v="13"/>
              <x v="14"/>
              <x v="16"/>
              <x v="17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7"/>
              <x v="38"/>
              <x v="39"/>
              <x v="40"/>
              <x v="41"/>
              <x v="42"/>
              <x v="43"/>
              <x v="47"/>
              <x v="48"/>
              <x v="49"/>
            </reference>
          </references>
        </pivotArea>
      </pivotAreas>
    </conditionalFormat>
    <conditionalFormat priority="17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33">
              <x v="0"/>
              <x v="1"/>
              <x v="2"/>
              <x v="4"/>
              <x v="8"/>
              <x v="12"/>
              <x v="13"/>
              <x v="14"/>
              <x v="16"/>
              <x v="17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7"/>
              <x v="38"/>
              <x v="39"/>
              <x v="40"/>
              <x v="41"/>
              <x v="42"/>
              <x v="43"/>
              <x v="47"/>
              <x v="48"/>
              <x v="49"/>
            </reference>
          </references>
        </pivotArea>
      </pivotAreas>
    </conditionalFormat>
    <conditionalFormat priority="16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33">
              <x v="0"/>
              <x v="1"/>
              <x v="2"/>
              <x v="4"/>
              <x v="8"/>
              <x v="12"/>
              <x v="13"/>
              <x v="14"/>
              <x v="16"/>
              <x v="17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7"/>
              <x v="38"/>
              <x v="39"/>
              <x v="40"/>
              <x v="41"/>
              <x v="42"/>
              <x v="43"/>
              <x v="47"/>
              <x v="48"/>
              <x v="49"/>
            </reference>
          </references>
        </pivotArea>
      </pivotAreas>
    </conditionalFormat>
    <conditionalFormat priority="16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0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0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</reference>
          </references>
        </pivotArea>
      </pivotAreas>
    </conditionalFormat>
    <conditionalFormat priority="16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0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0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</reference>
          </references>
        </pivotArea>
      </pivotAreas>
    </conditionalFormat>
    <conditionalFormat priority="16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0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0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</reference>
          </references>
        </pivotArea>
      </pivotAreas>
    </conditionalFormat>
    <conditionalFormat priority="16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2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</reference>
          </references>
        </pivotArea>
      </pivotAreas>
    </conditionalFormat>
    <conditionalFormat priority="16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2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</reference>
          </references>
        </pivotArea>
      </pivotAreas>
    </conditionalFormat>
    <conditionalFormat priority="16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2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</reference>
          </references>
        </pivotArea>
      </pivotAreas>
    </conditionalFormat>
    <conditionalFormat priority="15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9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0"/>
              <x v="32"/>
              <x v="34"/>
              <x v="36"/>
              <x v="37"/>
              <x v="38"/>
              <x v="41"/>
              <x v="42"/>
              <x v="43"/>
              <x v="47"/>
              <x v="50"/>
              <x v="51"/>
              <x v="52"/>
              <x v="55"/>
              <x v="56"/>
              <x v="58"/>
              <x v="59"/>
              <x v="60"/>
              <x v="61"/>
              <x v="62"/>
            </reference>
          </references>
        </pivotArea>
      </pivotAreas>
    </conditionalFormat>
    <conditionalFormat priority="15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0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0"/>
              <x v="32"/>
              <x v="33"/>
              <x v="34"/>
              <x v="36"/>
              <x v="37"/>
              <x v="38"/>
              <x v="41"/>
              <x v="42"/>
              <x v="43"/>
              <x v="47"/>
              <x v="50"/>
              <x v="51"/>
              <x v="52"/>
              <x v="55"/>
              <x v="56"/>
              <x v="58"/>
              <x v="59"/>
              <x v="60"/>
              <x v="61"/>
              <x v="62"/>
            </reference>
          </references>
        </pivotArea>
      </pivotAreas>
    </conditionalFormat>
    <conditionalFormat priority="15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0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0"/>
              <x v="32"/>
              <x v="33"/>
              <x v="34"/>
              <x v="36"/>
              <x v="37"/>
              <x v="38"/>
              <x v="41"/>
              <x v="42"/>
              <x v="43"/>
              <x v="47"/>
              <x v="50"/>
              <x v="51"/>
              <x v="52"/>
              <x v="55"/>
              <x v="56"/>
              <x v="58"/>
              <x v="59"/>
              <x v="60"/>
              <x v="61"/>
              <x v="62"/>
            </reference>
          </references>
        </pivotArea>
      </pivotAreas>
    </conditionalFormat>
    <conditionalFormat priority="14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41"/>
              <x v="42"/>
              <x v="43"/>
              <x v="47"/>
              <x v="50"/>
              <x v="51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</reference>
          </references>
        </pivotArea>
      </pivotAreas>
    </conditionalFormat>
    <conditionalFormat priority="14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41"/>
              <x v="42"/>
              <x v="43"/>
              <x v="47"/>
              <x v="50"/>
              <x v="51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</reference>
          </references>
        </pivotArea>
      </pivotAreas>
    </conditionalFormat>
    <conditionalFormat priority="14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41"/>
              <x v="42"/>
              <x v="43"/>
              <x v="47"/>
              <x v="50"/>
              <x v="51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</reference>
          </references>
        </pivotArea>
      </pivotAreas>
    </conditionalFormat>
    <conditionalFormat priority="14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6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5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41"/>
              <x v="42"/>
              <x v="43"/>
              <x v="45"/>
              <x v="47"/>
              <x v="50"/>
              <x v="51"/>
              <x v="52"/>
              <x v="53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</reference>
          </references>
        </pivotArea>
      </pivotAreas>
    </conditionalFormat>
    <conditionalFormat priority="14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6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5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41"/>
              <x v="42"/>
              <x v="43"/>
              <x v="45"/>
              <x v="47"/>
              <x v="50"/>
              <x v="51"/>
              <x v="52"/>
              <x v="53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</reference>
          </references>
        </pivotArea>
      </pivotAreas>
    </conditionalFormat>
    <conditionalFormat priority="14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6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5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41"/>
              <x v="42"/>
              <x v="43"/>
              <x v="45"/>
              <x v="47"/>
              <x v="50"/>
              <x v="51"/>
              <x v="52"/>
              <x v="53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</reference>
          </references>
        </pivotArea>
      </pivotAreas>
    </conditionalFormat>
    <conditionalFormat priority="14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  <conditionalFormat priority="14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  <conditionalFormat priority="13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  <conditionalFormat priority="13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3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</reference>
          </references>
        </pivotArea>
      </pivotAreas>
    </conditionalFormat>
    <conditionalFormat priority="13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3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</reference>
          </references>
        </pivotArea>
      </pivotAreas>
    </conditionalFormat>
    <conditionalFormat priority="13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3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</reference>
          </references>
        </pivotArea>
      </pivotAreas>
    </conditionalFormat>
    <conditionalFormat priority="12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0"/>
              <x v="1"/>
              <x v="2"/>
              <x v="4"/>
              <x v="5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39"/>
              <x v="40"/>
              <x v="43"/>
              <x v="44"/>
              <x v="47"/>
              <x v="50"/>
              <x v="52"/>
              <x v="53"/>
              <x v="54"/>
              <x v="55"/>
              <x v="56"/>
              <x v="58"/>
              <x v="59"/>
              <x v="60"/>
              <x v="61"/>
              <x v="62"/>
              <x v="63"/>
              <x v="65"/>
              <x v="68"/>
              <x v="71"/>
              <x v="72"/>
              <x v="74"/>
              <x v="75"/>
              <x v="76"/>
              <x v="77"/>
              <x v="79"/>
              <x v="81"/>
            </reference>
          </references>
        </pivotArea>
      </pivotAreas>
    </conditionalFormat>
    <conditionalFormat priority="12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0"/>
              <x v="1"/>
              <x v="2"/>
              <x v="4"/>
              <x v="5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39"/>
              <x v="40"/>
              <x v="43"/>
              <x v="44"/>
              <x v="47"/>
              <x v="50"/>
              <x v="52"/>
              <x v="53"/>
              <x v="54"/>
              <x v="55"/>
              <x v="56"/>
              <x v="58"/>
              <x v="59"/>
              <x v="60"/>
              <x v="61"/>
              <x v="62"/>
              <x v="63"/>
              <x v="65"/>
              <x v="68"/>
              <x v="71"/>
              <x v="72"/>
              <x v="74"/>
              <x v="75"/>
              <x v="76"/>
              <x v="77"/>
              <x v="79"/>
              <x v="81"/>
            </reference>
          </references>
        </pivotArea>
      </pivotAreas>
    </conditionalFormat>
    <conditionalFormat priority="12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0"/>
              <x v="1"/>
              <x v="2"/>
              <x v="4"/>
              <x v="5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39"/>
              <x v="40"/>
              <x v="43"/>
              <x v="44"/>
              <x v="47"/>
              <x v="50"/>
              <x v="52"/>
              <x v="53"/>
              <x v="54"/>
              <x v="55"/>
              <x v="56"/>
              <x v="58"/>
              <x v="59"/>
              <x v="60"/>
              <x v="61"/>
              <x v="62"/>
              <x v="63"/>
              <x v="65"/>
              <x v="68"/>
              <x v="71"/>
              <x v="72"/>
              <x v="74"/>
              <x v="75"/>
              <x v="76"/>
              <x v="77"/>
              <x v="79"/>
              <x v="81"/>
            </reference>
          </references>
        </pivotArea>
      </pivotAreas>
    </conditionalFormat>
    <conditionalFormat priority="12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6">
              <x v="0"/>
              <x v="1"/>
              <x v="2"/>
              <x v="4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3"/>
              <x v="53"/>
              <x v="54"/>
              <x v="55"/>
              <x v="56"/>
              <x v="57"/>
              <x v="60"/>
              <x v="61"/>
              <x v="63"/>
              <x v="65"/>
              <x v="68"/>
              <x v="71"/>
              <x v="72"/>
              <x v="73"/>
              <x v="74"/>
              <x v="75"/>
              <x v="76"/>
              <x v="77"/>
              <x v="79"/>
              <x v="82"/>
              <x v="83"/>
              <x v="84"/>
              <x v="85"/>
              <x v="86"/>
              <x v="87"/>
            </reference>
          </references>
        </pivotArea>
      </pivotAreas>
    </conditionalFormat>
    <conditionalFormat priority="12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6">
              <x v="0"/>
              <x v="1"/>
              <x v="2"/>
              <x v="4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3"/>
              <x v="53"/>
              <x v="54"/>
              <x v="55"/>
              <x v="56"/>
              <x v="57"/>
              <x v="60"/>
              <x v="61"/>
              <x v="63"/>
              <x v="65"/>
              <x v="68"/>
              <x v="71"/>
              <x v="72"/>
              <x v="73"/>
              <x v="74"/>
              <x v="75"/>
              <x v="76"/>
              <x v="77"/>
              <x v="79"/>
              <x v="82"/>
              <x v="83"/>
              <x v="84"/>
              <x v="85"/>
              <x v="86"/>
              <x v="87"/>
            </reference>
          </references>
        </pivotArea>
      </pivotAreas>
    </conditionalFormat>
    <conditionalFormat priority="12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6">
              <x v="0"/>
              <x v="1"/>
              <x v="2"/>
              <x v="4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3"/>
              <x v="53"/>
              <x v="54"/>
              <x v="55"/>
              <x v="56"/>
              <x v="57"/>
              <x v="60"/>
              <x v="61"/>
              <x v="63"/>
              <x v="65"/>
              <x v="68"/>
              <x v="71"/>
              <x v="72"/>
              <x v="73"/>
              <x v="74"/>
              <x v="75"/>
              <x v="76"/>
              <x v="77"/>
              <x v="79"/>
              <x v="82"/>
              <x v="83"/>
              <x v="84"/>
              <x v="85"/>
              <x v="86"/>
              <x v="87"/>
            </reference>
          </references>
        </pivotArea>
      </pivotAreas>
    </conditionalFormat>
    <conditionalFormat priority="12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3"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3"/>
              <x v="55"/>
              <x v="56"/>
              <x v="57"/>
              <x v="60"/>
              <x v="61"/>
              <x v="62"/>
              <x v="65"/>
              <x v="68"/>
              <x v="71"/>
              <x v="72"/>
              <x v="73"/>
              <x v="74"/>
              <x v="77"/>
              <x v="80"/>
              <x v="82"/>
              <x v="85"/>
              <x v="86"/>
              <x v="87"/>
              <x v="88"/>
              <x v="89"/>
              <x v="90"/>
            </reference>
          </references>
        </pivotArea>
      </pivotAreas>
    </conditionalFormat>
    <conditionalFormat priority="11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3"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3"/>
              <x v="55"/>
              <x v="56"/>
              <x v="57"/>
              <x v="60"/>
              <x v="61"/>
              <x v="62"/>
              <x v="65"/>
              <x v="68"/>
              <x v="71"/>
              <x v="72"/>
              <x v="73"/>
              <x v="74"/>
              <x v="77"/>
              <x v="80"/>
              <x v="82"/>
              <x v="85"/>
              <x v="86"/>
              <x v="87"/>
              <x v="88"/>
              <x v="89"/>
              <x v="90"/>
            </reference>
          </references>
        </pivotArea>
      </pivotAreas>
    </conditionalFormat>
    <conditionalFormat priority="11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3"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3"/>
              <x v="55"/>
              <x v="56"/>
              <x v="57"/>
              <x v="60"/>
              <x v="61"/>
              <x v="62"/>
              <x v="65"/>
              <x v="68"/>
              <x v="71"/>
              <x v="72"/>
              <x v="73"/>
              <x v="74"/>
              <x v="77"/>
              <x v="80"/>
              <x v="82"/>
              <x v="85"/>
              <x v="86"/>
              <x v="87"/>
              <x v="88"/>
              <x v="89"/>
              <x v="90"/>
            </reference>
          </references>
        </pivotArea>
      </pivotAreas>
    </conditionalFormat>
    <conditionalFormat priority="11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5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5"/>
              <x v="56"/>
              <x v="60"/>
              <x v="61"/>
              <x v="63"/>
              <x v="65"/>
              <x v="67"/>
              <x v="68"/>
              <x v="71"/>
              <x v="72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</reference>
          </references>
        </pivotArea>
      </pivotAreas>
    </conditionalFormat>
    <conditionalFormat priority="11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5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5"/>
              <x v="56"/>
              <x v="60"/>
              <x v="61"/>
              <x v="63"/>
              <x v="65"/>
              <x v="67"/>
              <x v="68"/>
              <x v="71"/>
              <x v="72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</reference>
          </references>
        </pivotArea>
      </pivotAreas>
    </conditionalFormat>
    <conditionalFormat priority="11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5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5"/>
              <x v="56"/>
              <x v="60"/>
              <x v="61"/>
              <x v="63"/>
              <x v="65"/>
              <x v="67"/>
              <x v="68"/>
              <x v="71"/>
              <x v="72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</reference>
          </references>
        </pivotArea>
      </pivotAreas>
    </conditionalFormat>
    <conditionalFormat priority="1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4"/>
              <x v="55"/>
              <x v="56"/>
              <x v="57"/>
              <x v="60"/>
              <x v="61"/>
              <x v="63"/>
              <x v="65"/>
              <x v="67"/>
              <x v="68"/>
              <x v="72"/>
              <x v="73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</reference>
          </references>
        </pivotArea>
      </pivotAreas>
    </conditionalFormat>
    <conditionalFormat priority="11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4"/>
              <x v="55"/>
              <x v="56"/>
              <x v="57"/>
              <x v="60"/>
              <x v="61"/>
              <x v="63"/>
              <x v="65"/>
              <x v="67"/>
              <x v="68"/>
              <x v="71"/>
              <x v="72"/>
              <x v="73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</reference>
          </references>
        </pivotArea>
      </pivotAreas>
    </conditionalFormat>
    <conditionalFormat priority="10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5"/>
              <x v="48"/>
              <x v="51"/>
              <x v="54"/>
              <x v="55"/>
              <x v="56"/>
              <x v="57"/>
              <x v="60"/>
              <x v="61"/>
              <x v="63"/>
              <x v="65"/>
              <x v="67"/>
              <x v="68"/>
              <x v="71"/>
              <x v="72"/>
              <x v="73"/>
              <x v="74"/>
              <x v="82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</reference>
          </references>
        </pivotArea>
      </pivotAreas>
    </conditionalFormat>
    <conditionalFormat priority="10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6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0"/>
              <x v="61"/>
              <x v="62"/>
              <x v="63"/>
              <x v="65"/>
              <x v="68"/>
              <x v="72"/>
              <x v="74"/>
              <x v="80"/>
              <x v="82"/>
              <x v="84"/>
              <x v="85"/>
              <x v="86"/>
              <x v="87"/>
              <x v="88"/>
              <x v="89"/>
              <x v="90"/>
              <x v="91"/>
              <x v="92"/>
              <x v="94"/>
              <x v="95"/>
              <x v="96"/>
              <x v="97"/>
              <x v="98"/>
              <x v="99"/>
            </reference>
          </references>
        </pivotArea>
      </pivotAreas>
    </conditionalFormat>
    <conditionalFormat priority="10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6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0"/>
              <x v="61"/>
              <x v="62"/>
              <x v="63"/>
              <x v="65"/>
              <x v="68"/>
              <x v="72"/>
              <x v="74"/>
              <x v="80"/>
              <x v="82"/>
              <x v="84"/>
              <x v="85"/>
              <x v="86"/>
              <x v="87"/>
              <x v="88"/>
              <x v="89"/>
              <x v="90"/>
              <x v="91"/>
              <x v="92"/>
              <x v="94"/>
              <x v="95"/>
              <x v="96"/>
              <x v="97"/>
              <x v="98"/>
              <x v="99"/>
            </reference>
          </references>
        </pivotArea>
      </pivotAreas>
    </conditionalFormat>
    <conditionalFormat priority="10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6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0"/>
              <x v="61"/>
              <x v="62"/>
              <x v="63"/>
              <x v="65"/>
              <x v="68"/>
              <x v="72"/>
              <x v="74"/>
              <x v="80"/>
              <x v="82"/>
              <x v="84"/>
              <x v="85"/>
              <x v="86"/>
              <x v="87"/>
              <x v="88"/>
              <x v="89"/>
              <x v="90"/>
              <x v="91"/>
              <x v="92"/>
              <x v="94"/>
              <x v="95"/>
              <x v="96"/>
              <x v="97"/>
              <x v="98"/>
              <x v="99"/>
            </reference>
          </references>
        </pivotArea>
      </pivotAreas>
    </conditionalFormat>
    <conditionalFormat priority="10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5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1"/>
              <x v="62"/>
              <x v="63"/>
              <x v="65"/>
              <x v="68"/>
              <x v="72"/>
              <x v="73"/>
              <x v="74"/>
              <x v="75"/>
              <x v="80"/>
              <x v="82"/>
              <x v="84"/>
              <x v="85"/>
              <x v="86"/>
              <x v="87"/>
              <x v="88"/>
              <x v="89"/>
              <x v="90"/>
              <x v="92"/>
              <x v="94"/>
              <x v="95"/>
              <x v="96"/>
              <x v="98"/>
              <x v="99"/>
              <x v="100"/>
            </reference>
          </references>
        </pivotArea>
      </pivotAreas>
    </conditionalFormat>
    <conditionalFormat priority="9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5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1"/>
              <x v="62"/>
              <x v="63"/>
              <x v="65"/>
              <x v="68"/>
              <x v="72"/>
              <x v="73"/>
              <x v="74"/>
              <x v="75"/>
              <x v="80"/>
              <x v="82"/>
              <x v="84"/>
              <x v="85"/>
              <x v="86"/>
              <x v="87"/>
              <x v="88"/>
              <x v="89"/>
              <x v="90"/>
              <x v="92"/>
              <x v="94"/>
              <x v="95"/>
              <x v="96"/>
              <x v="98"/>
              <x v="99"/>
              <x v="100"/>
            </reference>
          </references>
        </pivotArea>
      </pivotAreas>
    </conditionalFormat>
    <conditionalFormat priority="9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5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1"/>
              <x v="62"/>
              <x v="63"/>
              <x v="65"/>
              <x v="68"/>
              <x v="72"/>
              <x v="73"/>
              <x v="74"/>
              <x v="75"/>
              <x v="80"/>
              <x v="82"/>
              <x v="84"/>
              <x v="85"/>
              <x v="86"/>
              <x v="87"/>
              <x v="88"/>
              <x v="89"/>
              <x v="90"/>
              <x v="92"/>
              <x v="94"/>
              <x v="95"/>
              <x v="96"/>
              <x v="98"/>
              <x v="99"/>
              <x v="100"/>
            </reference>
          </references>
        </pivotArea>
      </pivotAreas>
    </conditionalFormat>
    <conditionalFormat priority="9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5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4"/>
              <x v="56"/>
              <x v="58"/>
              <x v="61"/>
              <x v="63"/>
              <x v="65"/>
              <x v="67"/>
              <x v="68"/>
              <x v="72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9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5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4"/>
              <x v="56"/>
              <x v="58"/>
              <x v="61"/>
              <x v="63"/>
              <x v="65"/>
              <x v="67"/>
              <x v="68"/>
              <x v="72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9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5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4"/>
              <x v="56"/>
              <x v="58"/>
              <x v="61"/>
              <x v="63"/>
              <x v="65"/>
              <x v="67"/>
              <x v="68"/>
              <x v="72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9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1">
              <x v="1"/>
              <x v="2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3"/>
              <x v="54"/>
              <x v="56"/>
              <x v="57"/>
              <x v="58"/>
              <x v="61"/>
              <x v="62"/>
              <x v="63"/>
              <x v="65"/>
              <x v="67"/>
              <x v="72"/>
              <x v="73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</reference>
          </references>
        </pivotArea>
      </pivotAreas>
    </conditionalFormat>
    <conditionalFormat priority="9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1">
              <x v="1"/>
              <x v="2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3"/>
              <x v="54"/>
              <x v="56"/>
              <x v="57"/>
              <x v="58"/>
              <x v="61"/>
              <x v="62"/>
              <x v="63"/>
              <x v="65"/>
              <x v="67"/>
              <x v="72"/>
              <x v="73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</reference>
          </references>
        </pivotArea>
      </pivotAreas>
    </conditionalFormat>
    <conditionalFormat priority="9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1">
              <x v="1"/>
              <x v="2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3"/>
              <x v="54"/>
              <x v="56"/>
              <x v="57"/>
              <x v="58"/>
              <x v="61"/>
              <x v="62"/>
              <x v="63"/>
              <x v="65"/>
              <x v="67"/>
              <x v="72"/>
              <x v="73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</reference>
          </references>
        </pivotArea>
      </pivotAreas>
    </conditionalFormat>
    <conditionalFormat priority="9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3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3"/>
              <x v="65"/>
              <x v="67"/>
              <x v="72"/>
              <x v="73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6"/>
            </reference>
          </references>
        </pivotArea>
      </pivotAreas>
    </conditionalFormat>
    <conditionalFormat priority="9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3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3"/>
              <x v="65"/>
              <x v="67"/>
              <x v="72"/>
              <x v="73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6"/>
            </reference>
          </references>
        </pivotArea>
      </pivotAreas>
    </conditionalFormat>
    <conditionalFormat priority="8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3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3"/>
              <x v="65"/>
              <x v="67"/>
              <x v="72"/>
              <x v="73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6"/>
            </reference>
          </references>
        </pivotArea>
      </pivotAreas>
    </conditionalFormat>
    <conditionalFormat priority="8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1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4"/>
              <x v="56"/>
              <x v="57"/>
              <x v="58"/>
              <x v="60"/>
              <x v="61"/>
              <x v="62"/>
              <x v="63"/>
              <x v="65"/>
              <x v="67"/>
              <x v="72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7"/>
              <x v="108"/>
            </reference>
          </references>
        </pivotArea>
      </pivotAreas>
    </conditionalFormat>
    <conditionalFormat priority="8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1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4"/>
              <x v="56"/>
              <x v="57"/>
              <x v="58"/>
              <x v="60"/>
              <x v="61"/>
              <x v="62"/>
              <x v="63"/>
              <x v="65"/>
              <x v="67"/>
              <x v="72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7"/>
              <x v="108"/>
            </reference>
          </references>
        </pivotArea>
      </pivotAreas>
    </conditionalFormat>
    <conditionalFormat priority="8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1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4"/>
              <x v="56"/>
              <x v="57"/>
              <x v="58"/>
              <x v="60"/>
              <x v="61"/>
              <x v="62"/>
              <x v="63"/>
              <x v="65"/>
              <x v="67"/>
              <x v="72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7"/>
              <x v="108"/>
            </reference>
          </references>
        </pivotArea>
      </pivotAreas>
    </conditionalFormat>
    <conditionalFormat priority="8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1">
              <x v="1"/>
              <x v="2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2"/>
              <x v="63"/>
              <x v="65"/>
              <x v="70"/>
              <x v="72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3"/>
              <x v="94"/>
              <x v="95"/>
              <x v="99"/>
              <x v="100"/>
              <x v="101"/>
              <x v="103"/>
              <x v="104"/>
              <x v="105"/>
              <x v="107"/>
              <x v="109"/>
            </reference>
          </references>
        </pivotArea>
      </pivotAreas>
    </conditionalFormat>
    <conditionalFormat priority="8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1">
              <x v="1"/>
              <x v="2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2"/>
              <x v="63"/>
              <x v="65"/>
              <x v="70"/>
              <x v="72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3"/>
              <x v="94"/>
              <x v="95"/>
              <x v="99"/>
              <x v="100"/>
              <x v="101"/>
              <x v="103"/>
              <x v="104"/>
              <x v="105"/>
              <x v="107"/>
              <x v="109"/>
            </reference>
          </references>
        </pivotArea>
      </pivotAreas>
    </conditionalFormat>
    <conditionalFormat priority="8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1">
              <x v="1"/>
              <x v="2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2"/>
              <x v="63"/>
              <x v="65"/>
              <x v="70"/>
              <x v="72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3"/>
              <x v="94"/>
              <x v="95"/>
              <x v="99"/>
              <x v="100"/>
              <x v="101"/>
              <x v="103"/>
              <x v="104"/>
              <x v="105"/>
              <x v="107"/>
              <x v="109"/>
            </reference>
          </references>
        </pivotArea>
      </pivotAreas>
    </conditionalFormat>
    <conditionalFormat priority="7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7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8"/>
              <x v="70"/>
              <x v="72"/>
              <x v="73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9"/>
              <x v="100"/>
              <x v="101"/>
              <x v="103"/>
              <x v="104"/>
              <x v="105"/>
              <x v="107"/>
              <x v="108"/>
              <x v="110"/>
              <x v="111"/>
              <x v="112"/>
            </reference>
          </references>
        </pivotArea>
      </pivotAreas>
    </conditionalFormat>
    <conditionalFormat priority="7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7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8"/>
              <x v="70"/>
              <x v="72"/>
              <x v="73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9"/>
              <x v="100"/>
              <x v="101"/>
              <x v="103"/>
              <x v="104"/>
              <x v="105"/>
              <x v="107"/>
              <x v="108"/>
              <x v="110"/>
              <x v="111"/>
              <x v="112"/>
            </reference>
          </references>
        </pivotArea>
      </pivotAreas>
    </conditionalFormat>
    <conditionalFormat priority="7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7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8"/>
              <x v="70"/>
              <x v="72"/>
              <x v="73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9"/>
              <x v="100"/>
              <x v="101"/>
              <x v="103"/>
              <x v="104"/>
              <x v="105"/>
              <x v="107"/>
              <x v="108"/>
              <x v="110"/>
              <x v="111"/>
              <x v="112"/>
            </reference>
          </references>
        </pivotArea>
      </pivotAreas>
    </conditionalFormat>
    <conditionalFormat priority="7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49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7"/>
              <x v="68"/>
              <x v="70"/>
              <x v="72"/>
              <x v="73"/>
              <x v="84"/>
              <x v="88"/>
              <x v="89"/>
              <x v="92"/>
              <x v="94"/>
              <x v="97"/>
              <x v="99"/>
              <x v="100"/>
              <x v="103"/>
              <x v="104"/>
              <x v="105"/>
              <x v="107"/>
              <x v="110"/>
              <x v="111"/>
              <x v="112"/>
              <x v="113"/>
              <x v="114"/>
            </reference>
          </references>
        </pivotArea>
      </pivotAreas>
    </conditionalFormat>
    <conditionalFormat priority="7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49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7"/>
              <x v="68"/>
              <x v="70"/>
              <x v="72"/>
              <x v="73"/>
              <x v="84"/>
              <x v="88"/>
              <x v="89"/>
              <x v="92"/>
              <x v="94"/>
              <x v="97"/>
              <x v="99"/>
              <x v="100"/>
              <x v="103"/>
              <x v="104"/>
              <x v="105"/>
              <x v="107"/>
              <x v="110"/>
              <x v="111"/>
              <x v="112"/>
              <x v="113"/>
              <x v="114"/>
            </reference>
          </references>
        </pivotArea>
      </pivotAreas>
    </conditionalFormat>
    <conditionalFormat priority="7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8">
              <x v="2"/>
              <x v="3"/>
              <x v="7"/>
              <x v="9"/>
              <x v="27"/>
              <x v="28"/>
              <x v="29"/>
              <x v="42"/>
              <x v="43"/>
              <x v="51"/>
              <x v="55"/>
              <x v="56"/>
              <x v="59"/>
              <x v="60"/>
              <x v="65"/>
              <x v="68"/>
              <x v="70"/>
              <x v="75"/>
              <x v="84"/>
              <x v="85"/>
              <x v="90"/>
              <x v="10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</reference>
          </references>
        </pivotArea>
      </pivotAreas>
    </conditionalFormat>
    <conditionalFormat priority="6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8">
              <x v="2"/>
              <x v="3"/>
              <x v="7"/>
              <x v="9"/>
              <x v="27"/>
              <x v="28"/>
              <x v="29"/>
              <x v="42"/>
              <x v="43"/>
              <x v="51"/>
              <x v="55"/>
              <x v="56"/>
              <x v="59"/>
              <x v="60"/>
              <x v="65"/>
              <x v="68"/>
              <x v="70"/>
              <x v="75"/>
              <x v="84"/>
              <x v="85"/>
              <x v="90"/>
              <x v="10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</reference>
          </references>
        </pivotArea>
      </pivotAreas>
    </conditionalFormat>
    <conditionalFormat priority="6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8">
              <x v="2"/>
              <x v="3"/>
              <x v="7"/>
              <x v="9"/>
              <x v="27"/>
              <x v="28"/>
              <x v="29"/>
              <x v="42"/>
              <x v="43"/>
              <x v="51"/>
              <x v="55"/>
              <x v="56"/>
              <x v="59"/>
              <x v="60"/>
              <x v="65"/>
              <x v="68"/>
              <x v="70"/>
              <x v="75"/>
              <x v="84"/>
              <x v="85"/>
              <x v="90"/>
              <x v="10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</reference>
          </references>
        </pivotArea>
      </pivotAreas>
    </conditionalFormat>
    <conditionalFormat priority="6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9"/>
              <x v="53"/>
              <x v="55"/>
              <x v="57"/>
              <x v="60"/>
              <x v="61"/>
              <x v="62"/>
              <x v="63"/>
              <x v="65"/>
              <x v="67"/>
              <x v="70"/>
              <x v="72"/>
              <x v="73"/>
              <x v="75"/>
              <x v="80"/>
              <x v="84"/>
              <x v="88"/>
              <x v="89"/>
              <x v="94"/>
              <x v="97"/>
              <x v="99"/>
              <x v="100"/>
              <x v="103"/>
              <x v="105"/>
              <x v="107"/>
              <x v="111"/>
              <x v="113"/>
              <x v="151"/>
            </reference>
          </references>
        </pivotArea>
      </pivotAreas>
    </conditionalFormat>
    <conditionalFormat priority="6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9"/>
              <x v="53"/>
              <x v="55"/>
              <x v="57"/>
              <x v="60"/>
              <x v="61"/>
              <x v="62"/>
              <x v="63"/>
              <x v="65"/>
              <x v="67"/>
              <x v="70"/>
              <x v="72"/>
              <x v="73"/>
              <x v="75"/>
              <x v="80"/>
              <x v="84"/>
              <x v="88"/>
              <x v="89"/>
              <x v="94"/>
              <x v="97"/>
              <x v="99"/>
              <x v="100"/>
              <x v="103"/>
              <x v="105"/>
              <x v="107"/>
              <x v="111"/>
              <x v="113"/>
              <x v="151"/>
            </reference>
          </references>
        </pivotArea>
      </pivotAreas>
    </conditionalFormat>
    <conditionalFormat priority="6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9"/>
              <x v="53"/>
              <x v="55"/>
              <x v="57"/>
              <x v="60"/>
              <x v="61"/>
              <x v="62"/>
              <x v="63"/>
              <x v="65"/>
              <x v="67"/>
              <x v="70"/>
              <x v="72"/>
              <x v="73"/>
              <x v="75"/>
              <x v="80"/>
              <x v="84"/>
              <x v="88"/>
              <x v="89"/>
              <x v="94"/>
              <x v="97"/>
              <x v="99"/>
              <x v="100"/>
              <x v="103"/>
              <x v="105"/>
              <x v="107"/>
              <x v="111"/>
              <x v="113"/>
              <x v="151"/>
            </reference>
          </references>
        </pivotArea>
      </pivotAreas>
    </conditionalFormat>
    <conditionalFormat priority="6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8">
              <x v="0"/>
              <x v="1"/>
              <x v="2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5"/>
              <x v="49"/>
              <x v="50"/>
              <x v="53"/>
              <x v="55"/>
              <x v="57"/>
              <x v="60"/>
              <x v="61"/>
              <x v="62"/>
              <x v="63"/>
              <x v="65"/>
              <x v="70"/>
              <x v="72"/>
              <x v="73"/>
              <x v="75"/>
              <x v="80"/>
              <x v="88"/>
              <x v="89"/>
              <x v="94"/>
              <x v="97"/>
              <x v="99"/>
              <x v="100"/>
              <x v="103"/>
              <x v="105"/>
              <x v="107"/>
              <x v="109"/>
              <x v="110"/>
              <x v="111"/>
              <x v="113"/>
              <x v="114"/>
              <x v="151"/>
            </reference>
          </references>
        </pivotArea>
      </pivotAreas>
    </conditionalFormat>
    <conditionalFormat priority="6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3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9"/>
              <x v="40"/>
              <x v="43"/>
              <x v="44"/>
              <x v="45"/>
              <x v="48"/>
              <x v="49"/>
              <x v="50"/>
              <x v="53"/>
              <x v="54"/>
              <x v="55"/>
              <x v="57"/>
              <x v="61"/>
              <x v="62"/>
              <x v="63"/>
              <x v="65"/>
              <x v="70"/>
              <x v="72"/>
              <x v="73"/>
              <x v="80"/>
              <x v="84"/>
              <x v="89"/>
              <x v="94"/>
              <x v="97"/>
              <x v="100"/>
              <x v="105"/>
              <x v="107"/>
              <x v="110"/>
              <x v="113"/>
              <x v="114"/>
              <x v="152"/>
            </reference>
          </references>
        </pivotArea>
      </pivotAreas>
    </conditionalFormat>
    <conditionalFormat priority="5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3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9"/>
              <x v="40"/>
              <x v="43"/>
              <x v="44"/>
              <x v="45"/>
              <x v="48"/>
              <x v="49"/>
              <x v="50"/>
              <x v="53"/>
              <x v="54"/>
              <x v="55"/>
              <x v="57"/>
              <x v="61"/>
              <x v="62"/>
              <x v="63"/>
              <x v="65"/>
              <x v="70"/>
              <x v="72"/>
              <x v="73"/>
              <x v="80"/>
              <x v="84"/>
              <x v="89"/>
              <x v="94"/>
              <x v="97"/>
              <x v="100"/>
              <x v="105"/>
              <x v="107"/>
              <x v="110"/>
              <x v="113"/>
              <x v="114"/>
              <x v="152"/>
            </reference>
          </references>
        </pivotArea>
      </pivotAreas>
    </conditionalFormat>
    <conditionalFormat priority="5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3"/>
              <x v="55"/>
              <x v="57"/>
              <x v="61"/>
              <x v="62"/>
              <x v="63"/>
              <x v="65"/>
              <x v="70"/>
              <x v="72"/>
              <x v="75"/>
              <x v="80"/>
              <x v="84"/>
              <x v="89"/>
              <x v="94"/>
              <x v="97"/>
              <x v="100"/>
              <x v="102"/>
              <x v="105"/>
              <x v="107"/>
              <x v="113"/>
              <x v="130"/>
              <x v="152"/>
            </reference>
          </references>
        </pivotArea>
      </pivotAreas>
    </conditionalFormat>
    <conditionalFormat priority="5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5"/>
              <x v="61"/>
              <x v="62"/>
              <x v="63"/>
              <x v="65"/>
              <x v="70"/>
              <x v="72"/>
              <x v="75"/>
              <x v="80"/>
              <x v="84"/>
              <x v="88"/>
              <x v="89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</reference>
          </references>
        </pivotArea>
      </pivotAreas>
    </conditionalFormat>
    <conditionalFormat priority="5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5"/>
              <x v="61"/>
              <x v="62"/>
              <x v="63"/>
              <x v="65"/>
              <x v="70"/>
              <x v="72"/>
              <x v="75"/>
              <x v="80"/>
              <x v="84"/>
              <x v="88"/>
              <x v="89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</reference>
          </references>
        </pivotArea>
      </pivotAreas>
    </conditionalFormat>
    <conditionalFormat priority="5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5"/>
              <x v="61"/>
              <x v="62"/>
              <x v="63"/>
              <x v="65"/>
              <x v="70"/>
              <x v="72"/>
              <x v="75"/>
              <x v="80"/>
              <x v="84"/>
              <x v="88"/>
              <x v="89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</reference>
          </references>
        </pivotArea>
      </pivotAreas>
    </conditionalFormat>
    <conditionalFormat priority="5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8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3"/>
              <x v="55"/>
              <x v="57"/>
              <x v="61"/>
              <x v="65"/>
              <x v="70"/>
              <x v="72"/>
              <x v="73"/>
              <x v="80"/>
              <x v="84"/>
              <x v="88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  <x v="155"/>
            </reference>
          </references>
        </pivotArea>
      </pivotAreas>
    </conditionalFormat>
    <conditionalFormat priority="4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8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3"/>
              <x v="55"/>
              <x v="57"/>
              <x v="61"/>
              <x v="65"/>
              <x v="70"/>
              <x v="72"/>
              <x v="73"/>
              <x v="80"/>
              <x v="84"/>
              <x v="88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  <x v="155"/>
            </reference>
          </references>
        </pivotArea>
      </pivotAreas>
    </conditionalFormat>
    <conditionalFormat priority="4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8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3"/>
              <x v="55"/>
              <x v="57"/>
              <x v="61"/>
              <x v="65"/>
              <x v="70"/>
              <x v="72"/>
              <x v="73"/>
              <x v="80"/>
              <x v="84"/>
              <x v="88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  <x v="155"/>
            </reference>
          </references>
        </pivotArea>
      </pivotAreas>
    </conditionalFormat>
    <conditionalFormat priority="4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0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30"/>
              <x v="32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2"/>
              <x v="53"/>
              <x v="54"/>
              <x v="55"/>
              <x v="57"/>
              <x v="61"/>
              <x v="62"/>
              <x v="65"/>
              <x v="72"/>
              <x v="73"/>
              <x v="75"/>
              <x v="80"/>
              <x v="84"/>
              <x v="88"/>
              <x v="104"/>
              <x v="105"/>
              <x v="107"/>
              <x v="113"/>
              <x v="130"/>
              <x v="152"/>
              <x v="156"/>
              <x v="157"/>
              <x v="158"/>
            </reference>
          </references>
        </pivotArea>
      </pivotAreas>
    </conditionalFormat>
    <conditionalFormat priority="4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2"/>
              <x v="53"/>
              <x v="54"/>
              <x v="55"/>
              <x v="57"/>
              <x v="61"/>
              <x v="62"/>
              <x v="65"/>
              <x v="72"/>
              <x v="73"/>
              <x v="75"/>
              <x v="80"/>
              <x v="84"/>
              <x v="88"/>
              <x v="104"/>
              <x v="105"/>
              <x v="107"/>
              <x v="113"/>
              <x v="130"/>
              <x v="152"/>
              <x v="156"/>
              <x v="157"/>
              <x v="158"/>
            </reference>
          </references>
        </pivotArea>
      </pivotAreas>
    </conditionalFormat>
    <conditionalFormat priority="4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2"/>
              <x v="53"/>
              <x v="54"/>
              <x v="55"/>
              <x v="57"/>
              <x v="61"/>
              <x v="62"/>
              <x v="65"/>
              <x v="72"/>
              <x v="73"/>
              <x v="75"/>
              <x v="80"/>
              <x v="84"/>
              <x v="88"/>
              <x v="104"/>
              <x v="105"/>
              <x v="107"/>
              <x v="113"/>
              <x v="130"/>
              <x v="152"/>
              <x v="156"/>
              <x v="157"/>
              <x v="158"/>
            </reference>
          </references>
        </pivotArea>
      </pivotAreas>
    </conditionalFormat>
    <conditionalFormat priority="4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0">
              <x v="0"/>
              <x v="1"/>
              <x v="2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5"/>
              <x v="36"/>
              <x v="39"/>
              <x v="40"/>
              <x v="42"/>
              <x v="43"/>
              <x v="44"/>
              <x v="48"/>
              <x v="49"/>
              <x v="52"/>
              <x v="53"/>
              <x v="54"/>
              <x v="55"/>
              <x v="57"/>
              <x v="61"/>
              <x v="62"/>
              <x v="63"/>
              <x v="65"/>
              <x v="73"/>
              <x v="75"/>
              <x v="82"/>
              <x v="83"/>
              <x v="84"/>
              <x v="96"/>
              <x v="99"/>
              <x v="102"/>
              <x v="104"/>
              <x v="107"/>
              <x v="115"/>
              <x v="13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4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0">
              <x v="0"/>
              <x v="1"/>
              <x v="2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5"/>
              <x v="36"/>
              <x v="39"/>
              <x v="40"/>
              <x v="42"/>
              <x v="43"/>
              <x v="44"/>
              <x v="48"/>
              <x v="49"/>
              <x v="52"/>
              <x v="53"/>
              <x v="54"/>
              <x v="55"/>
              <x v="57"/>
              <x v="61"/>
              <x v="62"/>
              <x v="63"/>
              <x v="65"/>
              <x v="73"/>
              <x v="75"/>
              <x v="82"/>
              <x v="83"/>
              <x v="84"/>
              <x v="96"/>
              <x v="99"/>
              <x v="102"/>
              <x v="104"/>
              <x v="107"/>
              <x v="115"/>
              <x v="13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3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0">
              <x v="0"/>
              <x v="1"/>
              <x v="2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5"/>
              <x v="36"/>
              <x v="39"/>
              <x v="40"/>
              <x v="42"/>
              <x v="43"/>
              <x v="44"/>
              <x v="48"/>
              <x v="49"/>
              <x v="52"/>
              <x v="53"/>
              <x v="54"/>
              <x v="55"/>
              <x v="57"/>
              <x v="61"/>
              <x v="62"/>
              <x v="63"/>
              <x v="65"/>
              <x v="73"/>
              <x v="75"/>
              <x v="82"/>
              <x v="83"/>
              <x v="84"/>
              <x v="96"/>
              <x v="99"/>
              <x v="102"/>
              <x v="104"/>
              <x v="107"/>
              <x v="115"/>
              <x v="13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3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5">
              <x v="1"/>
              <x v="2"/>
              <x v="8"/>
              <x v="9"/>
              <x v="11"/>
              <x v="12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3"/>
              <x v="35"/>
              <x v="39"/>
              <x v="40"/>
              <x v="43"/>
              <x v="44"/>
              <x v="48"/>
              <x v="50"/>
              <x v="52"/>
              <x v="58"/>
              <x v="61"/>
              <x v="66"/>
              <x v="68"/>
              <x v="70"/>
              <x v="73"/>
              <x v="79"/>
              <x v="80"/>
              <x v="83"/>
              <x v="84"/>
              <x v="89"/>
              <x v="99"/>
              <x v="107"/>
              <x v="108"/>
              <x v="152"/>
              <x v="154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</reference>
          </references>
        </pivotArea>
      </pivotAreas>
    </conditionalFormat>
    <conditionalFormat priority="3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5">
              <x v="1"/>
              <x v="2"/>
              <x v="8"/>
              <x v="9"/>
              <x v="11"/>
              <x v="12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3"/>
              <x v="35"/>
              <x v="39"/>
              <x v="40"/>
              <x v="43"/>
              <x v="44"/>
              <x v="48"/>
              <x v="50"/>
              <x v="52"/>
              <x v="58"/>
              <x v="61"/>
              <x v="66"/>
              <x v="68"/>
              <x v="70"/>
              <x v="73"/>
              <x v="79"/>
              <x v="80"/>
              <x v="83"/>
              <x v="84"/>
              <x v="89"/>
              <x v="99"/>
              <x v="107"/>
              <x v="108"/>
              <x v="152"/>
              <x v="154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</reference>
          </references>
        </pivotArea>
      </pivotAreas>
    </conditionalFormat>
    <conditionalFormat priority="3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5">
              <x v="1"/>
              <x v="2"/>
              <x v="8"/>
              <x v="9"/>
              <x v="11"/>
              <x v="12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3"/>
              <x v="35"/>
              <x v="39"/>
              <x v="40"/>
              <x v="43"/>
              <x v="44"/>
              <x v="48"/>
              <x v="50"/>
              <x v="52"/>
              <x v="58"/>
              <x v="61"/>
              <x v="66"/>
              <x v="68"/>
              <x v="70"/>
              <x v="73"/>
              <x v="79"/>
              <x v="80"/>
              <x v="83"/>
              <x v="84"/>
              <x v="89"/>
              <x v="99"/>
              <x v="107"/>
              <x v="108"/>
              <x v="152"/>
              <x v="154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</reference>
          </references>
        </pivotArea>
      </pivotAreas>
    </conditionalFormat>
    <conditionalFormat priority="2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5">
              <x v="1"/>
              <x v="2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5"/>
              <x v="39"/>
              <x v="40"/>
              <x v="43"/>
              <x v="44"/>
              <x v="48"/>
              <x v="52"/>
              <x v="56"/>
              <x v="58"/>
              <x v="61"/>
              <x v="66"/>
              <x v="68"/>
              <x v="73"/>
              <x v="80"/>
              <x v="82"/>
              <x v="84"/>
              <x v="89"/>
              <x v="96"/>
              <x v="107"/>
              <x v="108"/>
              <x v="152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</reference>
          </references>
        </pivotArea>
      </pivotAreas>
    </conditionalFormat>
    <conditionalFormat priority="2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5">
              <x v="1"/>
              <x v="2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5"/>
              <x v="39"/>
              <x v="40"/>
              <x v="43"/>
              <x v="44"/>
              <x v="48"/>
              <x v="52"/>
              <x v="56"/>
              <x v="58"/>
              <x v="61"/>
              <x v="66"/>
              <x v="68"/>
              <x v="73"/>
              <x v="80"/>
              <x v="82"/>
              <x v="84"/>
              <x v="89"/>
              <x v="96"/>
              <x v="107"/>
              <x v="108"/>
              <x v="152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</reference>
          </references>
        </pivotArea>
      </pivotAreas>
    </conditionalFormat>
    <conditionalFormat priority="2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5">
              <x v="1"/>
              <x v="2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5"/>
              <x v="39"/>
              <x v="40"/>
              <x v="43"/>
              <x v="44"/>
              <x v="48"/>
              <x v="52"/>
              <x v="56"/>
              <x v="58"/>
              <x v="61"/>
              <x v="66"/>
              <x v="68"/>
              <x v="73"/>
              <x v="80"/>
              <x v="82"/>
              <x v="84"/>
              <x v="89"/>
              <x v="96"/>
              <x v="107"/>
              <x v="108"/>
              <x v="152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</reference>
          </references>
        </pivotArea>
      </pivotAreas>
    </conditionalFormat>
    <conditionalFormat priority="2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1">
              <x v="0"/>
              <x v="1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6"/>
              <x v="39"/>
              <x v="40"/>
              <x v="42"/>
              <x v="43"/>
              <x v="44"/>
              <x v="48"/>
              <x v="49"/>
              <x v="52"/>
              <x v="55"/>
              <x v="58"/>
              <x v="60"/>
              <x v="61"/>
              <x v="67"/>
              <x v="70"/>
              <x v="72"/>
              <x v="75"/>
              <x v="80"/>
              <x v="82"/>
              <x v="93"/>
              <x v="99"/>
              <x v="107"/>
              <x v="152"/>
              <x v="158"/>
              <x v="160"/>
              <x v="161"/>
              <x v="162"/>
              <x v="163"/>
              <x v="164"/>
              <x v="165"/>
              <x v="167"/>
              <x v="171"/>
              <x v="172"/>
              <x v="173"/>
              <x v="174"/>
              <x v="175"/>
              <x v="176"/>
              <x v="177"/>
              <x v="178"/>
            </reference>
          </references>
        </pivotArea>
      </pivotAreas>
    </conditionalFormat>
    <conditionalFormat priority="2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1">
              <x v="0"/>
              <x v="1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6"/>
              <x v="39"/>
              <x v="40"/>
              <x v="42"/>
              <x v="43"/>
              <x v="44"/>
              <x v="48"/>
              <x v="49"/>
              <x v="52"/>
              <x v="55"/>
              <x v="58"/>
              <x v="60"/>
              <x v="61"/>
              <x v="67"/>
              <x v="70"/>
              <x v="72"/>
              <x v="75"/>
              <x v="80"/>
              <x v="82"/>
              <x v="93"/>
              <x v="99"/>
              <x v="107"/>
              <x v="152"/>
              <x v="158"/>
              <x v="160"/>
              <x v="161"/>
              <x v="162"/>
              <x v="163"/>
              <x v="164"/>
              <x v="165"/>
              <x v="167"/>
              <x v="171"/>
              <x v="172"/>
              <x v="173"/>
              <x v="174"/>
              <x v="175"/>
              <x v="176"/>
              <x v="177"/>
              <x v="178"/>
            </reference>
          </references>
        </pivotArea>
      </pivotAreas>
    </conditionalFormat>
    <conditionalFormat priority="2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1">
              <x v="0"/>
              <x v="1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6"/>
              <x v="39"/>
              <x v="40"/>
              <x v="42"/>
              <x v="43"/>
              <x v="44"/>
              <x v="48"/>
              <x v="49"/>
              <x v="52"/>
              <x v="55"/>
              <x v="58"/>
              <x v="60"/>
              <x v="61"/>
              <x v="67"/>
              <x v="70"/>
              <x v="72"/>
              <x v="75"/>
              <x v="80"/>
              <x v="82"/>
              <x v="93"/>
              <x v="99"/>
              <x v="107"/>
              <x v="152"/>
              <x v="158"/>
              <x v="160"/>
              <x v="161"/>
              <x v="162"/>
              <x v="163"/>
              <x v="164"/>
              <x v="165"/>
              <x v="167"/>
              <x v="171"/>
              <x v="172"/>
              <x v="173"/>
              <x v="174"/>
              <x v="175"/>
              <x v="176"/>
              <x v="177"/>
              <x v="178"/>
            </reference>
          </references>
        </pivotArea>
      </pivotAreas>
    </conditionalFormat>
    <conditionalFormat priority="2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94"/>
              <x v="99"/>
              <x v="100"/>
              <x v="107"/>
              <x v="109"/>
              <x v="138"/>
              <x v="145"/>
              <x v="159"/>
              <x v="160"/>
              <x v="162"/>
              <x v="163"/>
              <x v="165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</reference>
          </references>
        </pivotArea>
      </pivotAreas>
    </conditionalFormat>
    <conditionalFormat priority="1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94"/>
              <x v="99"/>
              <x v="100"/>
              <x v="107"/>
              <x v="109"/>
              <x v="138"/>
              <x v="145"/>
              <x v="159"/>
              <x v="160"/>
              <x v="162"/>
              <x v="163"/>
              <x v="165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94"/>
              <x v="99"/>
              <x v="100"/>
              <x v="107"/>
              <x v="109"/>
              <x v="138"/>
              <x v="145"/>
              <x v="159"/>
              <x v="160"/>
              <x v="162"/>
              <x v="163"/>
              <x v="165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5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83"/>
              <x v="94"/>
              <x v="95"/>
              <x v="99"/>
              <x v="100"/>
              <x v="109"/>
              <x v="145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  <x v="184"/>
            </reference>
          </references>
        </pivotArea>
      </pivotAreas>
    </conditionalFormat>
    <conditionalFormat priority="1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5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83"/>
              <x v="94"/>
              <x v="95"/>
              <x v="99"/>
              <x v="100"/>
              <x v="109"/>
              <x v="145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  <x v="184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5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83"/>
              <x v="94"/>
              <x v="95"/>
              <x v="99"/>
              <x v="100"/>
              <x v="109"/>
              <x v="145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  <x v="184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9"/>
              <x v="43"/>
              <x v="44"/>
              <x v="45"/>
              <x v="48"/>
              <x v="49"/>
              <x v="52"/>
              <x v="53"/>
              <x v="60"/>
              <x v="61"/>
              <x v="67"/>
              <x v="70"/>
              <x v="75"/>
              <x v="80"/>
              <x v="81"/>
              <x v="82"/>
              <x v="83"/>
              <x v="94"/>
              <x v="99"/>
              <x v="100"/>
              <x v="109"/>
              <x v="145"/>
              <x v="157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9"/>
              <x v="180"/>
              <x v="181"/>
              <x v="182"/>
              <x v="183"/>
              <x v="185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9"/>
              <x v="43"/>
              <x v="44"/>
              <x v="45"/>
              <x v="48"/>
              <x v="49"/>
              <x v="52"/>
              <x v="53"/>
              <x v="60"/>
              <x v="61"/>
              <x v="67"/>
              <x v="70"/>
              <x v="75"/>
              <x v="80"/>
              <x v="81"/>
              <x v="82"/>
              <x v="83"/>
              <x v="94"/>
              <x v="99"/>
              <x v="100"/>
              <x v="109"/>
              <x v="145"/>
              <x v="157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9"/>
              <x v="180"/>
              <x v="181"/>
              <x v="182"/>
              <x v="183"/>
              <x v="185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9"/>
              <x v="43"/>
              <x v="44"/>
              <x v="45"/>
              <x v="48"/>
              <x v="49"/>
              <x v="52"/>
              <x v="53"/>
              <x v="60"/>
              <x v="61"/>
              <x v="67"/>
              <x v="70"/>
              <x v="75"/>
              <x v="80"/>
              <x v="81"/>
              <x v="82"/>
              <x v="83"/>
              <x v="94"/>
              <x v="99"/>
              <x v="100"/>
              <x v="109"/>
              <x v="145"/>
              <x v="157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9"/>
              <x v="180"/>
              <x v="181"/>
              <x v="182"/>
              <x v="183"/>
              <x v="185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3">
              <x v="0"/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2"/>
              <x v="26"/>
              <x v="27"/>
              <x v="28"/>
              <x v="29"/>
              <x v="32"/>
              <x v="33"/>
              <x v="34"/>
              <x v="36"/>
              <x v="43"/>
              <x v="44"/>
              <x v="45"/>
              <x v="48"/>
              <x v="49"/>
              <x v="52"/>
              <x v="53"/>
              <x v="60"/>
              <x v="61"/>
              <x v="72"/>
              <x v="73"/>
              <x v="81"/>
              <x v="83"/>
              <x v="84"/>
              <x v="94"/>
              <x v="99"/>
              <x v="100"/>
              <x v="106"/>
              <x v="145"/>
              <x v="157"/>
              <x v="159"/>
              <x v="160"/>
              <x v="161"/>
              <x v="162"/>
              <x v="163"/>
              <x v="165"/>
              <x v="167"/>
              <x v="169"/>
              <x v="172"/>
              <x v="175"/>
              <x v="179"/>
              <x v="186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3">
              <x v="0"/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2"/>
              <x v="26"/>
              <x v="27"/>
              <x v="28"/>
              <x v="29"/>
              <x v="32"/>
              <x v="33"/>
              <x v="34"/>
              <x v="36"/>
              <x v="43"/>
              <x v="44"/>
              <x v="45"/>
              <x v="48"/>
              <x v="49"/>
              <x v="52"/>
              <x v="53"/>
              <x v="60"/>
              <x v="61"/>
              <x v="72"/>
              <x v="73"/>
              <x v="81"/>
              <x v="83"/>
              <x v="84"/>
              <x v="94"/>
              <x v="99"/>
              <x v="100"/>
              <x v="106"/>
              <x v="145"/>
              <x v="157"/>
              <x v="159"/>
              <x v="160"/>
              <x v="161"/>
              <x v="162"/>
              <x v="163"/>
              <x v="165"/>
              <x v="167"/>
              <x v="169"/>
              <x v="172"/>
              <x v="175"/>
              <x v="179"/>
              <x v="186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3">
              <x v="0"/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2"/>
              <x v="26"/>
              <x v="27"/>
              <x v="28"/>
              <x v="29"/>
              <x v="32"/>
              <x v="33"/>
              <x v="34"/>
              <x v="36"/>
              <x v="43"/>
              <x v="44"/>
              <x v="45"/>
              <x v="48"/>
              <x v="49"/>
              <x v="52"/>
              <x v="53"/>
              <x v="60"/>
              <x v="61"/>
              <x v="72"/>
              <x v="73"/>
              <x v="81"/>
              <x v="83"/>
              <x v="84"/>
              <x v="94"/>
              <x v="99"/>
              <x v="100"/>
              <x v="106"/>
              <x v="145"/>
              <x v="157"/>
              <x v="159"/>
              <x v="160"/>
              <x v="161"/>
              <x v="162"/>
              <x v="163"/>
              <x v="165"/>
              <x v="167"/>
              <x v="169"/>
              <x v="172"/>
              <x v="175"/>
              <x v="179"/>
              <x v="186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4">
              <x v="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4"/>
              <x v="26"/>
              <x v="27"/>
              <x v="28"/>
              <x v="29"/>
              <x v="32"/>
              <x v="34"/>
              <x v="36"/>
              <x v="43"/>
              <x v="44"/>
              <x v="52"/>
              <x v="60"/>
              <x v="61"/>
              <x v="65"/>
              <x v="68"/>
              <x v="72"/>
              <x v="81"/>
              <x v="83"/>
              <x v="84"/>
              <x v="94"/>
              <x v="99"/>
              <x v="100"/>
              <x v="106"/>
              <x v="109"/>
              <x v="113"/>
              <x v="145"/>
              <x v="157"/>
              <x v="159"/>
              <x v="160"/>
              <x v="161"/>
              <x v="162"/>
              <x v="163"/>
              <x v="165"/>
              <x v="166"/>
              <x v="167"/>
              <x v="169"/>
              <x v="170"/>
              <x v="172"/>
              <x v="175"/>
              <x v="179"/>
              <x v="186"/>
              <x v="187"/>
              <x v="188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4">
              <x v="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4"/>
              <x v="26"/>
              <x v="27"/>
              <x v="28"/>
              <x v="29"/>
              <x v="32"/>
              <x v="34"/>
              <x v="36"/>
              <x v="43"/>
              <x v="44"/>
              <x v="52"/>
              <x v="60"/>
              <x v="61"/>
              <x v="65"/>
              <x v="68"/>
              <x v="72"/>
              <x v="81"/>
              <x v="83"/>
              <x v="84"/>
              <x v="94"/>
              <x v="99"/>
              <x v="100"/>
              <x v="106"/>
              <x v="109"/>
              <x v="113"/>
              <x v="145"/>
              <x v="157"/>
              <x v="159"/>
              <x v="160"/>
              <x v="161"/>
              <x v="162"/>
              <x v="163"/>
              <x v="165"/>
              <x v="166"/>
              <x v="167"/>
              <x v="169"/>
              <x v="170"/>
              <x v="172"/>
              <x v="175"/>
              <x v="179"/>
              <x v="186"/>
              <x v="187"/>
              <x v="188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dinâmica2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Sydle - Seed">
  <location ref="A2:D5" firstHeaderRow="0" firstDataRow="1" firstDataCol="1"/>
  <pivotFields count="8">
    <pivotField axis="axisRow" dataField="1" showAll="0" sortType="descending">
      <items count="15">
        <item m="1" x="4"/>
        <item m="1" x="12"/>
        <item m="1" x="13"/>
        <item x="0"/>
        <item m="1" x="11"/>
        <item m="1" x="3"/>
        <item x="1"/>
        <item m="1" x="9"/>
        <item m="1" x="6"/>
        <item m="1" x="2"/>
        <item m="1" x="8"/>
        <item m="1" x="5"/>
        <item m="1" x="10"/>
        <item m="1" x="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numFmtId="14" showAll="0"/>
    <pivotField numFmtId="14" showAll="0"/>
    <pivotField showAll="0"/>
    <pivotField dataField="1" numFmtId="14" showAll="0"/>
    <pivotField dataField="1" numFmtId="14" showAll="0"/>
  </pivotFields>
  <rowFields count="1">
    <field x="0"/>
  </rowFields>
  <rowItems count="3">
    <i>
      <x v="6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e Atividade" fld="0" subtotal="count" baseField="0" baseItem="0"/>
    <dataField name="Máx de Aging" fld="6" subtotal="max" baseField="0" baseItem="9" numFmtId="1"/>
    <dataField name="Máx de Aging Mod" fld="7" subtotal="max" baseField="0" baseItem="9" numFmtId="1"/>
  </dataFields>
  <formats count="14"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fieldPosition="0">
        <references count="1">
          <reference field="0" count="0"/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grandRow="1" outline="0" collapsedLevelsAreSubtotals="1" fieldPosition="0"/>
    </format>
    <format dxfId="6">
      <pivotArea dataOnly="0" labelOnly="1" grandRow="1" outline="0" fieldPosition="0"/>
    </format>
    <format dxfId="5">
      <pivotArea collapsedLevelsAreSubtotals="1" fieldPosition="0">
        <references count="1">
          <reference field="0" count="1">
            <x v="3"/>
          </reference>
        </references>
      </pivotArea>
    </format>
    <format dxfId="4">
      <pivotArea dataOnly="0" labelOnly="1" fieldPosition="0">
        <references count="1">
          <reference field="0" count="1">
            <x v="3"/>
          </reference>
        </references>
      </pivotArea>
    </format>
    <format dxfId="3">
      <pivotArea collapsedLevelsAreSubtotals="1" fieldPosition="0">
        <references count="1">
          <reference field="0" count="1">
            <x v="6"/>
          </reference>
        </references>
      </pivotArea>
    </format>
    <format dxfId="2">
      <pivotArea dataOnly="0" labelOnly="1" fieldPosition="0">
        <references count="1">
          <reference field="0" count="1">
            <x v="6"/>
          </reference>
        </references>
      </pivotArea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18">
    <conditionalFormat priority="28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28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28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27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">
              <x v="0"/>
              <x v="2"/>
              <x v="3"/>
              <x v="4"/>
              <x v="5"/>
              <x v="7"/>
              <x v="8"/>
            </reference>
          </references>
        </pivotArea>
      </pivotAreas>
    </conditionalFormat>
    <conditionalFormat priority="27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">
              <x v="0"/>
              <x v="2"/>
              <x v="3"/>
              <x v="4"/>
              <x v="5"/>
              <x v="7"/>
              <x v="8"/>
            </reference>
          </references>
        </pivotArea>
      </pivotAreas>
    </conditionalFormat>
    <conditionalFormat priority="27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">
              <x v="0"/>
              <x v="2"/>
              <x v="3"/>
              <x v="4"/>
              <x v="5"/>
              <x v="7"/>
              <x v="8"/>
            </reference>
          </references>
        </pivotArea>
      </pivotAreas>
    </conditionalFormat>
    <conditionalFormat priority="25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">
              <x v="1"/>
              <x v="2"/>
              <x v="3"/>
              <x v="4"/>
              <x v="5"/>
              <x v="8"/>
              <x v="10"/>
            </reference>
          </references>
        </pivotArea>
      </pivotAreas>
    </conditionalFormat>
    <conditionalFormat priority="25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">
              <x v="1"/>
              <x v="2"/>
              <x v="3"/>
              <x v="4"/>
              <x v="5"/>
              <x v="8"/>
              <x v="10"/>
            </reference>
          </references>
        </pivotArea>
      </pivotAreas>
    </conditionalFormat>
    <conditionalFormat priority="25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">
              <x v="1"/>
              <x v="2"/>
              <x v="3"/>
              <x v="4"/>
              <x v="5"/>
              <x v="8"/>
              <x v="10"/>
            </reference>
          </references>
        </pivotArea>
      </pivotAreas>
    </conditionalFormat>
    <conditionalFormat priority="25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9">
              <x v="1"/>
              <x v="2"/>
              <x v="3"/>
              <x v="4"/>
              <x v="5"/>
              <x v="6"/>
              <x v="8"/>
              <x v="10"/>
              <x v="11"/>
            </reference>
          </references>
        </pivotArea>
      </pivotAreas>
    </conditionalFormat>
    <conditionalFormat priority="25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9">
              <x v="1"/>
              <x v="2"/>
              <x v="3"/>
              <x v="4"/>
              <x v="5"/>
              <x v="6"/>
              <x v="8"/>
              <x v="10"/>
              <x v="11"/>
            </reference>
          </references>
        </pivotArea>
      </pivotAreas>
    </conditionalFormat>
    <conditionalFormat priority="25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9">
              <x v="1"/>
              <x v="2"/>
              <x v="3"/>
              <x v="4"/>
              <x v="5"/>
              <x v="6"/>
              <x v="8"/>
              <x v="10"/>
              <x v="11"/>
            </reference>
          </references>
        </pivotArea>
      </pivotAreas>
    </conditionalFormat>
    <conditionalFormat priority="22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">
              <x v="1"/>
              <x v="2"/>
              <x v="3"/>
              <x v="4"/>
              <x v="7"/>
              <x v="8"/>
              <x v="12"/>
            </reference>
          </references>
        </pivotArea>
      </pivotAreas>
    </conditionalFormat>
    <conditionalFormat priority="22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">
              <x v="1"/>
              <x v="2"/>
              <x v="3"/>
              <x v="4"/>
              <x v="7"/>
              <x v="8"/>
              <x v="12"/>
            </reference>
          </references>
        </pivotArea>
      </pivotAreas>
    </conditionalFormat>
    <conditionalFormat priority="22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">
              <x v="1"/>
              <x v="2"/>
              <x v="3"/>
              <x v="4"/>
              <x v="7"/>
              <x v="8"/>
              <x v="12"/>
            </reference>
          </references>
        </pivotArea>
      </pivotAreas>
    </conditionalFormat>
    <conditionalFormat priority="13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4">
              <x v="0"/>
              <x v="3"/>
              <x v="6"/>
              <x v="11"/>
            </reference>
          </references>
        </pivotArea>
      </pivotAreas>
    </conditionalFormat>
    <conditionalFormat priority="13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4">
              <x v="0"/>
              <x v="3"/>
              <x v="6"/>
              <x v="11"/>
            </reference>
          </references>
        </pivotArea>
      </pivotAreas>
    </conditionalFormat>
    <conditionalFormat priority="13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">
              <x v="0"/>
              <x v="3"/>
              <x v="6"/>
              <x v="1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H53" totalsRowShown="0" headerRowDxfId="62" dataDxfId="61" headerRowBorderDxfId="99" tableBorderDxfId="98" totalsRowBorderDxfId="97">
  <autoFilter ref="A1:H53" xr:uid="{00000000-0009-0000-0100-000002000000}"/>
  <tableColumns count="8">
    <tableColumn id="1" xr3:uid="{00000000-0010-0000-0100-000001000000}" name="Atividade" dataDxfId="70"/>
    <tableColumn id="2" xr3:uid="{00000000-0010-0000-0100-000002000000}" name="seed" dataDxfId="69"/>
    <tableColumn id="3" xr3:uid="{00000000-0010-0000-0100-000003000000}" name="polo" dataDxfId="68"/>
    <tableColumn id="4" xr3:uid="{00000000-0010-0000-0100-000004000000}" name="Data de criação" dataDxfId="67"/>
    <tableColumn id="6" xr3:uid="{00000000-0010-0000-0100-000006000000}" name="Data de última atualização" dataDxfId="66"/>
    <tableColumn id="7" xr3:uid="{00000000-0010-0000-0100-000007000000}" name="Quantidade de Seeds" dataDxfId="65"/>
    <tableColumn id="8" xr3:uid="{00000000-0010-0000-0100-000008000000}" name="Aging" dataDxfId="64">
      <calculatedColumnFormula>NOW()-D2</calculatedColumnFormula>
    </tableColumn>
    <tableColumn id="9" xr3:uid="{00000000-0010-0000-0100-000009000000}" name="Aging Mod" dataDxfId="63">
      <calculatedColumnFormula>NOW()-E2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L186" totalsRowShown="0" headerRowDxfId="48" dataDxfId="47" headerRowBorderDxfId="96" tableBorderDxfId="95" totalsRowBorderDxfId="94">
  <autoFilter ref="A1:L186" xr:uid="{00000000-0009-0000-0100-000003000000}"/>
  <tableColumns count="12">
    <tableColumn id="1" xr3:uid="{00000000-0010-0000-0200-000001000000}" name="ID" dataDxfId="60"/>
    <tableColumn id="2" xr3:uid="{00000000-0010-0000-0200-000002000000}" name="Título" dataDxfId="59"/>
    <tableColumn id="3" xr3:uid="{00000000-0010-0000-0200-000003000000}" name="Status" dataDxfId="58"/>
    <tableColumn id="4" xr3:uid="{00000000-0010-0000-0200-000004000000}" name="Data de abertura" dataDxfId="57"/>
    <tableColumn id="6" xr3:uid="{00000000-0010-0000-0200-000006000000}" name="Requerente - Grupo requerente" dataDxfId="56"/>
    <tableColumn id="8" xr3:uid="{00000000-0010-0000-0200-000008000000}" name="Atribuído para - Grupo técnico" dataDxfId="55"/>
    <tableColumn id="9" xr3:uid="{00000000-0010-0000-0200-000009000000}" name="Última atualização" dataDxfId="54"/>
    <tableColumn id="10" xr3:uid="{00000000-0010-0000-0200-00000A000000}" name="Tipo" dataDxfId="53"/>
    <tableColumn id="11" xr3:uid="{00000000-0010-0000-0200-00000B000000}" name="Aprovação - Aprovação" dataDxfId="52"/>
    <tableColumn id="12" xr3:uid="{00000000-0010-0000-0200-00000C000000}" name="Prioridade" dataDxfId="51"/>
    <tableColumn id="13" xr3:uid="{00000000-0010-0000-0200-00000D000000}" name="Aging" dataDxfId="50">
      <calculatedColumnFormula>NOW()-D2</calculatedColumnFormula>
    </tableColumn>
    <tableColumn id="14" xr3:uid="{00000000-0010-0000-0200-00000E000000}" name="Aging Mod" dataDxfId="49">
      <calculatedColumnFormula>NOW()-G2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L180" totalsRowShown="0" headerRowDxfId="34" dataDxfId="33" headerRowBorderDxfId="93" tableBorderDxfId="92" totalsRowBorderDxfId="91">
  <autoFilter ref="A1:L180" xr:uid="{00000000-0009-0000-0100-000004000000}"/>
  <tableColumns count="12">
    <tableColumn id="1" xr3:uid="{00000000-0010-0000-0300-000001000000}" name="ID" dataDxfId="46"/>
    <tableColumn id="2" xr3:uid="{00000000-0010-0000-0300-000002000000}" name="Título" dataDxfId="45"/>
    <tableColumn id="3" xr3:uid="{00000000-0010-0000-0300-000003000000}" name="Status" dataDxfId="44"/>
    <tableColumn id="4" xr3:uid="{00000000-0010-0000-0300-000004000000}" name="Data de abertura" dataDxfId="43"/>
    <tableColumn id="6" xr3:uid="{00000000-0010-0000-0300-000006000000}" name="Requerente - Grupo requerente" dataDxfId="42"/>
    <tableColumn id="8" xr3:uid="{00000000-0010-0000-0300-000008000000}" name="Atribuído para - Grupo técnico" dataDxfId="41"/>
    <tableColumn id="9" xr3:uid="{00000000-0010-0000-0300-000009000000}" name="Última atualização" dataDxfId="40"/>
    <tableColumn id="10" xr3:uid="{00000000-0010-0000-0300-00000A000000}" name="Tipo" dataDxfId="39"/>
    <tableColumn id="11" xr3:uid="{00000000-0010-0000-0300-00000B000000}" name="Aprovação - Aprovação" dataDxfId="38"/>
    <tableColumn id="12" xr3:uid="{00000000-0010-0000-0300-00000C000000}" name="Prioridade" dataDxfId="37"/>
    <tableColumn id="13" xr3:uid="{00000000-0010-0000-0300-00000D000000}" name="Aging" dataDxfId="36">
      <calculatedColumnFormula>NOW()-Tabela4[[#This Row],[Data de abertura]]</calculatedColumnFormula>
    </tableColumn>
    <tableColumn id="14" xr3:uid="{00000000-0010-0000-0300-00000E000000}" name="Aging Mod" dataDxfId="35">
      <calculatedColumnFormula>NOW()-G2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57"/>
  <sheetViews>
    <sheetView showGridLines="0" zoomScaleNormal="100" workbookViewId="0"/>
  </sheetViews>
  <sheetFormatPr defaultRowHeight="15" x14ac:dyDescent="0.25"/>
  <cols>
    <col min="1" max="1" width="85" style="5" customWidth="1"/>
    <col min="2" max="2" width="10.5703125" style="5" bestFit="1" customWidth="1"/>
    <col min="3" max="3" width="54.28515625" style="5" bestFit="1" customWidth="1"/>
    <col min="4" max="4" width="23" style="5" bestFit="1" customWidth="1"/>
    <col min="5" max="5" width="35.7109375" style="5" bestFit="1" customWidth="1"/>
    <col min="6" max="6" width="30.140625" style="5" bestFit="1" customWidth="1"/>
    <col min="7" max="7" width="11.5703125" style="5" bestFit="1" customWidth="1"/>
    <col min="8" max="8" width="16.85546875" style="5" bestFit="1" customWidth="1"/>
    <col min="9" max="16384" width="9.140625" style="5"/>
  </cols>
  <sheetData>
    <row r="1" spans="1:8" x14ac:dyDescent="0.25">
      <c r="A1" s="6" t="s">
        <v>2</v>
      </c>
      <c r="B1" s="7" t="s">
        <v>3</v>
      </c>
      <c r="C1" s="7" t="s">
        <v>4</v>
      </c>
      <c r="D1" s="7" t="s">
        <v>5</v>
      </c>
      <c r="E1" s="7" t="s">
        <v>6</v>
      </c>
      <c r="F1" s="7" t="s">
        <v>7</v>
      </c>
      <c r="G1" s="7" t="s">
        <v>1</v>
      </c>
      <c r="H1" s="8" t="s">
        <v>8</v>
      </c>
    </row>
    <row r="2" spans="1:8" x14ac:dyDescent="0.25">
      <c r="A2" s="5" t="s">
        <v>30</v>
      </c>
      <c r="B2" s="5">
        <v>3442053</v>
      </c>
      <c r="C2" s="5" t="s">
        <v>31</v>
      </c>
      <c r="D2" s="9">
        <v>44784</v>
      </c>
      <c r="E2" s="9">
        <v>44832</v>
      </c>
      <c r="F2" s="5">
        <v>1</v>
      </c>
      <c r="G2" s="10">
        <f ca="1">NOW()-D2</f>
        <v>103.86638784722163</v>
      </c>
      <c r="H2" s="11">
        <f t="shared" ref="H2:H33" ca="1" si="0">NOW()-E2</f>
        <v>55.866387847221631</v>
      </c>
    </row>
    <row r="3" spans="1:8" x14ac:dyDescent="0.25">
      <c r="A3" s="5" t="s">
        <v>30</v>
      </c>
      <c r="B3" s="5">
        <v>3511432</v>
      </c>
      <c r="C3" s="5" t="s">
        <v>32</v>
      </c>
      <c r="D3" s="9">
        <v>44799</v>
      </c>
      <c r="E3" s="9">
        <v>44817</v>
      </c>
      <c r="F3" s="5">
        <v>1</v>
      </c>
      <c r="G3" s="10">
        <f ca="1">NOW()-D3</f>
        <v>88.866387847221631</v>
      </c>
      <c r="H3" s="11">
        <f t="shared" ca="1" si="0"/>
        <v>70.866387847221631</v>
      </c>
    </row>
    <row r="4" spans="1:8" x14ac:dyDescent="0.25">
      <c r="A4" s="5" t="s">
        <v>30</v>
      </c>
      <c r="B4" s="5">
        <v>3544401</v>
      </c>
      <c r="C4" s="5" t="s">
        <v>33</v>
      </c>
      <c r="D4" s="9">
        <v>44809</v>
      </c>
      <c r="E4" s="9">
        <v>44882</v>
      </c>
      <c r="F4" s="5">
        <v>1</v>
      </c>
      <c r="G4" s="10">
        <f ca="1">NOW()-D4</f>
        <v>78.866387847221631</v>
      </c>
      <c r="H4" s="11">
        <f t="shared" ca="1" si="0"/>
        <v>5.8663878472216311</v>
      </c>
    </row>
    <row r="5" spans="1:8" x14ac:dyDescent="0.25">
      <c r="A5" s="5" t="s">
        <v>30</v>
      </c>
      <c r="B5" s="5">
        <v>3556543</v>
      </c>
      <c r="C5" s="5" t="s">
        <v>35</v>
      </c>
      <c r="D5" s="9">
        <v>44812</v>
      </c>
      <c r="E5" s="9">
        <v>44882</v>
      </c>
      <c r="F5" s="5">
        <v>1</v>
      </c>
      <c r="G5" s="10">
        <f ca="1">NOW()-D5</f>
        <v>75.866387847221631</v>
      </c>
      <c r="H5" s="11">
        <f t="shared" ca="1" si="0"/>
        <v>5.8663878472216311</v>
      </c>
    </row>
    <row r="6" spans="1:8" x14ac:dyDescent="0.25">
      <c r="A6" s="5" t="s">
        <v>30</v>
      </c>
      <c r="B6" s="5">
        <v>3562747</v>
      </c>
      <c r="C6" s="5" t="s">
        <v>36</v>
      </c>
      <c r="D6" s="9">
        <v>44813</v>
      </c>
      <c r="E6" s="9">
        <v>44882</v>
      </c>
      <c r="F6" s="5">
        <v>1</v>
      </c>
      <c r="G6" s="10">
        <f ca="1">NOW()-D6</f>
        <v>74.866387847221631</v>
      </c>
      <c r="H6" s="11">
        <f t="shared" ca="1" si="0"/>
        <v>5.8663878472216311</v>
      </c>
    </row>
    <row r="7" spans="1:8" x14ac:dyDescent="0.25">
      <c r="A7" s="5" t="s">
        <v>30</v>
      </c>
      <c r="B7" s="5">
        <v>3568612</v>
      </c>
      <c r="C7" s="5" t="s">
        <v>37</v>
      </c>
      <c r="D7" s="9">
        <v>44816</v>
      </c>
      <c r="E7" s="9">
        <v>44837</v>
      </c>
      <c r="F7" s="5">
        <v>1</v>
      </c>
      <c r="G7" s="10">
        <f ca="1">NOW()-D7</f>
        <v>71.866387847221631</v>
      </c>
      <c r="H7" s="11">
        <f t="shared" ca="1" si="0"/>
        <v>50.866387847221631</v>
      </c>
    </row>
    <row r="8" spans="1:8" x14ac:dyDescent="0.25">
      <c r="A8" s="5" t="s">
        <v>30</v>
      </c>
      <c r="B8" s="5">
        <v>3569897</v>
      </c>
      <c r="C8" s="5" t="s">
        <v>38</v>
      </c>
      <c r="D8" s="9">
        <v>44816</v>
      </c>
      <c r="E8" s="9">
        <v>44816</v>
      </c>
      <c r="F8" s="5">
        <v>1</v>
      </c>
      <c r="G8" s="10">
        <f ca="1">NOW()-D8</f>
        <v>71.866387847221631</v>
      </c>
      <c r="H8" s="11">
        <f t="shared" ca="1" si="0"/>
        <v>71.866387847221631</v>
      </c>
    </row>
    <row r="9" spans="1:8" x14ac:dyDescent="0.25">
      <c r="A9" s="5" t="s">
        <v>30</v>
      </c>
      <c r="B9" s="5">
        <v>3570266</v>
      </c>
      <c r="C9" s="5" t="s">
        <v>27</v>
      </c>
      <c r="D9" s="9">
        <v>44816</v>
      </c>
      <c r="E9" s="9">
        <v>44816</v>
      </c>
      <c r="F9" s="5">
        <v>1</v>
      </c>
      <c r="G9" s="10">
        <f ca="1">NOW()-D9</f>
        <v>71.866387847221631</v>
      </c>
      <c r="H9" s="11">
        <f t="shared" ca="1" si="0"/>
        <v>71.866387847221631</v>
      </c>
    </row>
    <row r="10" spans="1:8" x14ac:dyDescent="0.25">
      <c r="A10" s="5" t="s">
        <v>30</v>
      </c>
      <c r="B10" s="5">
        <v>3574424</v>
      </c>
      <c r="C10" s="5" t="s">
        <v>29</v>
      </c>
      <c r="D10" s="9">
        <v>44817</v>
      </c>
      <c r="E10" s="9">
        <v>44817</v>
      </c>
      <c r="F10" s="5">
        <v>1</v>
      </c>
      <c r="G10" s="10">
        <f ca="1">NOW()-D10</f>
        <v>70.866387847221631</v>
      </c>
      <c r="H10" s="11">
        <f t="shared" ca="1" si="0"/>
        <v>70.866387847221631</v>
      </c>
    </row>
    <row r="11" spans="1:8" x14ac:dyDescent="0.25">
      <c r="A11" s="5" t="s">
        <v>30</v>
      </c>
      <c r="B11" s="5">
        <v>3579263</v>
      </c>
      <c r="C11" s="5" t="s">
        <v>39</v>
      </c>
      <c r="D11" s="9">
        <v>44818</v>
      </c>
      <c r="E11" s="9">
        <v>44818</v>
      </c>
      <c r="F11" s="5">
        <v>1</v>
      </c>
      <c r="G11" s="10">
        <f ca="1">NOW()-D11</f>
        <v>69.866387847221631</v>
      </c>
      <c r="H11" s="11">
        <f t="shared" ca="1" si="0"/>
        <v>69.866387847221631</v>
      </c>
    </row>
    <row r="12" spans="1:8" x14ac:dyDescent="0.25">
      <c r="A12" s="5" t="s">
        <v>30</v>
      </c>
      <c r="B12" s="5">
        <v>3583555</v>
      </c>
      <c r="C12" s="5" t="s">
        <v>28</v>
      </c>
      <c r="D12" s="9">
        <v>44819</v>
      </c>
      <c r="E12" s="9">
        <v>44819</v>
      </c>
      <c r="F12" s="5">
        <v>1</v>
      </c>
      <c r="G12" s="10">
        <f ca="1">NOW()-D12</f>
        <v>68.866387847221631</v>
      </c>
      <c r="H12" s="11">
        <f t="shared" ca="1" si="0"/>
        <v>68.866387847221631</v>
      </c>
    </row>
    <row r="13" spans="1:8" x14ac:dyDescent="0.25">
      <c r="A13" s="5" t="s">
        <v>30</v>
      </c>
      <c r="B13" s="5">
        <v>3590261</v>
      </c>
      <c r="C13" s="5" t="s">
        <v>40</v>
      </c>
      <c r="D13" s="9">
        <v>44821</v>
      </c>
      <c r="E13" s="9">
        <v>44821</v>
      </c>
      <c r="F13" s="5">
        <v>1</v>
      </c>
      <c r="G13" s="10">
        <f ca="1">NOW()-D13</f>
        <v>66.866387847221631</v>
      </c>
      <c r="H13" s="11">
        <f t="shared" ca="1" si="0"/>
        <v>66.866387847221631</v>
      </c>
    </row>
    <row r="14" spans="1:8" x14ac:dyDescent="0.25">
      <c r="A14" s="5" t="s">
        <v>30</v>
      </c>
      <c r="B14" s="5">
        <v>3594476</v>
      </c>
      <c r="C14" s="5" t="s">
        <v>41</v>
      </c>
      <c r="D14" s="9">
        <v>44823</v>
      </c>
      <c r="E14" s="9">
        <v>44823</v>
      </c>
      <c r="F14" s="5">
        <v>1</v>
      </c>
      <c r="G14" s="10">
        <f ca="1">NOW()-D14</f>
        <v>64.866387847221631</v>
      </c>
      <c r="H14" s="11">
        <f t="shared" ca="1" si="0"/>
        <v>64.866387847221631</v>
      </c>
    </row>
    <row r="15" spans="1:8" x14ac:dyDescent="0.25">
      <c r="A15" s="5" t="s">
        <v>30</v>
      </c>
      <c r="B15" s="5">
        <v>3598839</v>
      </c>
      <c r="C15" s="5" t="s">
        <v>42</v>
      </c>
      <c r="D15" s="9">
        <v>44824</v>
      </c>
      <c r="E15" s="9">
        <v>44824</v>
      </c>
      <c r="F15" s="5">
        <v>1</v>
      </c>
      <c r="G15" s="10">
        <f ca="1">NOW()-D15</f>
        <v>63.866387847221631</v>
      </c>
      <c r="H15" s="11">
        <f t="shared" ca="1" si="0"/>
        <v>63.866387847221631</v>
      </c>
    </row>
    <row r="16" spans="1:8" x14ac:dyDescent="0.25">
      <c r="A16" s="5" t="s">
        <v>30</v>
      </c>
      <c r="B16" s="5">
        <v>3606308</v>
      </c>
      <c r="C16" s="5" t="s">
        <v>43</v>
      </c>
      <c r="D16" s="9">
        <v>44826</v>
      </c>
      <c r="E16" s="9">
        <v>44826</v>
      </c>
      <c r="F16" s="5">
        <v>1</v>
      </c>
      <c r="G16" s="10">
        <f ca="1">NOW()-D16</f>
        <v>61.866387847221631</v>
      </c>
      <c r="H16" s="11">
        <f t="shared" ca="1" si="0"/>
        <v>61.866387847221631</v>
      </c>
    </row>
    <row r="17" spans="1:8" x14ac:dyDescent="0.25">
      <c r="A17" s="5" t="s">
        <v>30</v>
      </c>
      <c r="B17" s="5">
        <v>3625088</v>
      </c>
      <c r="C17" s="5" t="s">
        <v>44</v>
      </c>
      <c r="D17" s="9">
        <v>44832</v>
      </c>
      <c r="E17" s="9">
        <v>44832</v>
      </c>
      <c r="F17" s="5">
        <v>1</v>
      </c>
      <c r="G17" s="10">
        <f ca="1">NOW()-D17</f>
        <v>55.866387847221631</v>
      </c>
      <c r="H17" s="11">
        <f t="shared" ca="1" si="0"/>
        <v>55.866387847221631</v>
      </c>
    </row>
    <row r="18" spans="1:8" x14ac:dyDescent="0.25">
      <c r="A18" s="5" t="s">
        <v>30</v>
      </c>
      <c r="B18" s="5">
        <v>3627687</v>
      </c>
      <c r="C18" s="5" t="s">
        <v>45</v>
      </c>
      <c r="D18" s="9">
        <v>44833</v>
      </c>
      <c r="E18" s="9">
        <v>44833</v>
      </c>
      <c r="F18" s="5">
        <v>1</v>
      </c>
      <c r="G18" s="10">
        <f ca="1">NOW()-D18</f>
        <v>54.866387847221631</v>
      </c>
      <c r="H18" s="11">
        <f t="shared" ca="1" si="0"/>
        <v>54.866387847221631</v>
      </c>
    </row>
    <row r="19" spans="1:8" x14ac:dyDescent="0.25">
      <c r="A19" s="5" t="s">
        <v>30</v>
      </c>
      <c r="B19" s="5">
        <v>3628216</v>
      </c>
      <c r="C19" s="5" t="s">
        <v>46</v>
      </c>
      <c r="D19" s="9">
        <v>44833</v>
      </c>
      <c r="E19" s="9">
        <v>44833</v>
      </c>
      <c r="F19" s="5">
        <v>1</v>
      </c>
      <c r="G19" s="10">
        <f ca="1">NOW()-D19</f>
        <v>54.866387847221631</v>
      </c>
      <c r="H19" s="11">
        <f t="shared" ca="1" si="0"/>
        <v>54.866387847221631</v>
      </c>
    </row>
    <row r="20" spans="1:8" x14ac:dyDescent="0.25">
      <c r="A20" s="5" t="s">
        <v>30</v>
      </c>
      <c r="B20" s="5">
        <v>3630625</v>
      </c>
      <c r="C20" s="5" t="s">
        <v>47</v>
      </c>
      <c r="D20" s="9">
        <v>44833</v>
      </c>
      <c r="E20" s="9">
        <v>44833</v>
      </c>
      <c r="F20" s="5">
        <v>1</v>
      </c>
      <c r="G20" s="10">
        <f ca="1">NOW()-D20</f>
        <v>54.866387847221631</v>
      </c>
      <c r="H20" s="11">
        <f t="shared" ca="1" si="0"/>
        <v>54.866387847221631</v>
      </c>
    </row>
    <row r="21" spans="1:8" x14ac:dyDescent="0.25">
      <c r="A21" s="5" t="s">
        <v>30</v>
      </c>
      <c r="B21" s="5">
        <v>3631653</v>
      </c>
      <c r="C21" s="5" t="s">
        <v>48</v>
      </c>
      <c r="D21" s="9">
        <v>44834</v>
      </c>
      <c r="E21" s="9">
        <v>44834</v>
      </c>
      <c r="F21" s="5">
        <v>1</v>
      </c>
      <c r="G21" s="10">
        <f ca="1">NOW()-D21</f>
        <v>53.866387847221631</v>
      </c>
      <c r="H21" s="11">
        <f t="shared" ca="1" si="0"/>
        <v>53.866387847221631</v>
      </c>
    </row>
    <row r="22" spans="1:8" x14ac:dyDescent="0.25">
      <c r="A22" s="5" t="s">
        <v>30</v>
      </c>
      <c r="B22" s="5">
        <v>3632827</v>
      </c>
      <c r="C22" s="5" t="s">
        <v>49</v>
      </c>
      <c r="D22" s="9">
        <v>44834</v>
      </c>
      <c r="E22" s="9">
        <v>44834</v>
      </c>
      <c r="F22" s="5">
        <v>1</v>
      </c>
      <c r="G22" s="10">
        <f ca="1">NOW()-D22</f>
        <v>53.866387847221631</v>
      </c>
      <c r="H22" s="11">
        <f t="shared" ca="1" si="0"/>
        <v>53.866387847221631</v>
      </c>
    </row>
    <row r="23" spans="1:8" x14ac:dyDescent="0.25">
      <c r="A23" s="5" t="s">
        <v>30</v>
      </c>
      <c r="B23" s="5">
        <v>3633336</v>
      </c>
      <c r="C23" s="5" t="s">
        <v>50</v>
      </c>
      <c r="D23" s="9">
        <v>44834</v>
      </c>
      <c r="E23" s="9">
        <v>44834</v>
      </c>
      <c r="F23" s="5">
        <v>1</v>
      </c>
      <c r="G23" s="10">
        <f ca="1">NOW()-D23</f>
        <v>53.866387847221631</v>
      </c>
      <c r="H23" s="11">
        <f t="shared" ca="1" si="0"/>
        <v>53.866387847221631</v>
      </c>
    </row>
    <row r="24" spans="1:8" x14ac:dyDescent="0.25">
      <c r="A24" s="5" t="s">
        <v>30</v>
      </c>
      <c r="B24" s="5">
        <v>3653677</v>
      </c>
      <c r="C24" s="5" t="s">
        <v>51</v>
      </c>
      <c r="D24" s="9">
        <v>44841</v>
      </c>
      <c r="E24" s="9">
        <v>44841</v>
      </c>
      <c r="F24" s="5">
        <v>1</v>
      </c>
      <c r="G24" s="10">
        <f ca="1">NOW()-D24</f>
        <v>46.866387847221631</v>
      </c>
      <c r="H24" s="11">
        <f t="shared" ca="1" si="0"/>
        <v>46.866387847221631</v>
      </c>
    </row>
    <row r="25" spans="1:8" x14ac:dyDescent="0.25">
      <c r="A25" s="5" t="s">
        <v>30</v>
      </c>
      <c r="B25" s="5">
        <v>3656625</v>
      </c>
      <c r="C25" s="5" t="s">
        <v>52</v>
      </c>
      <c r="D25" s="9">
        <v>44844</v>
      </c>
      <c r="E25" s="9">
        <v>44844</v>
      </c>
      <c r="F25" s="5">
        <v>1</v>
      </c>
      <c r="G25" s="10">
        <f ca="1">NOW()-D25</f>
        <v>43.866387847221631</v>
      </c>
      <c r="H25" s="11">
        <f t="shared" ca="1" si="0"/>
        <v>43.866387847221631</v>
      </c>
    </row>
    <row r="26" spans="1:8" x14ac:dyDescent="0.25">
      <c r="A26" s="5" t="s">
        <v>30</v>
      </c>
      <c r="B26" s="5">
        <v>3657573</v>
      </c>
      <c r="C26" s="5" t="s">
        <v>53</v>
      </c>
      <c r="D26" s="9">
        <v>44844</v>
      </c>
      <c r="E26" s="9">
        <v>44844</v>
      </c>
      <c r="F26" s="5">
        <v>1</v>
      </c>
      <c r="G26" s="10">
        <f ca="1">NOW()-D26</f>
        <v>43.866387847221631</v>
      </c>
      <c r="H26" s="11">
        <f t="shared" ca="1" si="0"/>
        <v>43.866387847221631</v>
      </c>
    </row>
    <row r="27" spans="1:8" x14ac:dyDescent="0.25">
      <c r="A27" s="5" t="s">
        <v>30</v>
      </c>
      <c r="B27" s="5">
        <v>3660412</v>
      </c>
      <c r="C27" s="5" t="s">
        <v>54</v>
      </c>
      <c r="D27" s="9">
        <v>44845</v>
      </c>
      <c r="E27" s="9">
        <v>44845</v>
      </c>
      <c r="F27" s="5">
        <v>1</v>
      </c>
      <c r="G27" s="10">
        <f ca="1">NOW()-D27</f>
        <v>42.866387847221631</v>
      </c>
      <c r="H27" s="11">
        <f t="shared" ca="1" si="0"/>
        <v>42.866387847221631</v>
      </c>
    </row>
    <row r="28" spans="1:8" x14ac:dyDescent="0.25">
      <c r="A28" s="5" t="s">
        <v>30</v>
      </c>
      <c r="B28" s="5">
        <v>3661135</v>
      </c>
      <c r="C28" s="5" t="s">
        <v>55</v>
      </c>
      <c r="D28" s="9">
        <v>44845</v>
      </c>
      <c r="E28" s="9">
        <v>44845</v>
      </c>
      <c r="F28" s="5">
        <v>1</v>
      </c>
      <c r="G28" s="10">
        <f ca="1">NOW()-D28</f>
        <v>42.866387847221631</v>
      </c>
      <c r="H28" s="11">
        <f t="shared" ca="1" si="0"/>
        <v>42.866387847221631</v>
      </c>
    </row>
    <row r="29" spans="1:8" x14ac:dyDescent="0.25">
      <c r="A29" s="5" t="s">
        <v>30</v>
      </c>
      <c r="B29" s="5">
        <v>3662378</v>
      </c>
      <c r="C29" s="5" t="s">
        <v>56</v>
      </c>
      <c r="D29" s="9">
        <v>44845</v>
      </c>
      <c r="E29" s="9">
        <v>44845</v>
      </c>
      <c r="F29" s="5">
        <v>1</v>
      </c>
      <c r="G29" s="10">
        <f ca="1">NOW()-D29</f>
        <v>42.866387847221631</v>
      </c>
      <c r="H29" s="11">
        <f t="shared" ca="1" si="0"/>
        <v>42.866387847221631</v>
      </c>
    </row>
    <row r="30" spans="1:8" x14ac:dyDescent="0.25">
      <c r="A30" s="5" t="s">
        <v>30</v>
      </c>
      <c r="B30" s="5">
        <v>3677935</v>
      </c>
      <c r="C30" s="5" t="s">
        <v>57</v>
      </c>
      <c r="D30" s="9">
        <v>44852</v>
      </c>
      <c r="E30" s="9">
        <v>44852</v>
      </c>
      <c r="F30" s="5">
        <v>1</v>
      </c>
      <c r="G30" s="10">
        <f ca="1">NOW()-D30</f>
        <v>35.866387847221631</v>
      </c>
      <c r="H30" s="11">
        <f t="shared" ca="1" si="0"/>
        <v>35.866387847221631</v>
      </c>
    </row>
    <row r="31" spans="1:8" x14ac:dyDescent="0.25">
      <c r="A31" s="5" t="s">
        <v>30</v>
      </c>
      <c r="B31" s="5">
        <v>3687722</v>
      </c>
      <c r="C31" s="5" t="s">
        <v>26</v>
      </c>
      <c r="D31" s="9">
        <v>44854</v>
      </c>
      <c r="E31" s="9">
        <v>44854</v>
      </c>
      <c r="F31" s="5">
        <v>1</v>
      </c>
      <c r="G31" s="10">
        <f ca="1">NOW()-D31</f>
        <v>33.866387847221631</v>
      </c>
      <c r="H31" s="11">
        <f t="shared" ca="1" si="0"/>
        <v>33.866387847221631</v>
      </c>
    </row>
    <row r="32" spans="1:8" x14ac:dyDescent="0.25">
      <c r="A32" s="5" t="s">
        <v>30</v>
      </c>
      <c r="B32" s="5">
        <v>3707742</v>
      </c>
      <c r="C32" s="5" t="s">
        <v>58</v>
      </c>
      <c r="D32" s="9">
        <v>44860</v>
      </c>
      <c r="E32" s="9">
        <v>44881</v>
      </c>
      <c r="F32" s="5">
        <v>1</v>
      </c>
      <c r="G32" s="10">
        <f ca="1">NOW()-D32</f>
        <v>27.866387847221631</v>
      </c>
      <c r="H32" s="11">
        <f t="shared" ca="1" si="0"/>
        <v>6.8663878472216311</v>
      </c>
    </row>
    <row r="33" spans="1:8" x14ac:dyDescent="0.25">
      <c r="A33" s="5" t="s">
        <v>30</v>
      </c>
      <c r="B33" s="5">
        <v>3708924</v>
      </c>
      <c r="C33" s="5" t="s">
        <v>59</v>
      </c>
      <c r="D33" s="9">
        <v>44860</v>
      </c>
      <c r="E33" s="9">
        <v>44860</v>
      </c>
      <c r="F33" s="5">
        <v>1</v>
      </c>
      <c r="G33" s="10">
        <f ca="1">NOW()-D33</f>
        <v>27.866387847221631</v>
      </c>
      <c r="H33" s="11">
        <f t="shared" ca="1" si="0"/>
        <v>27.866387847221631</v>
      </c>
    </row>
    <row r="34" spans="1:8" x14ac:dyDescent="0.25">
      <c r="A34" s="5" t="s">
        <v>30</v>
      </c>
      <c r="B34" s="5">
        <v>3711371</v>
      </c>
      <c r="C34" s="5" t="s">
        <v>60</v>
      </c>
      <c r="D34" s="9">
        <v>44860</v>
      </c>
      <c r="E34" s="9">
        <v>44860</v>
      </c>
      <c r="F34" s="5">
        <v>1</v>
      </c>
      <c r="G34" s="10">
        <f ca="1">NOW()-D34</f>
        <v>27.866387847221631</v>
      </c>
      <c r="H34" s="11">
        <f t="shared" ref="H34:H53" ca="1" si="1">NOW()-E34</f>
        <v>27.866387847221631</v>
      </c>
    </row>
    <row r="35" spans="1:8" x14ac:dyDescent="0.25">
      <c r="A35" s="5" t="s">
        <v>30</v>
      </c>
      <c r="B35" s="5">
        <v>3718021</v>
      </c>
      <c r="C35" s="5" t="s">
        <v>61</v>
      </c>
      <c r="D35" s="9">
        <v>44862</v>
      </c>
      <c r="E35" s="9">
        <v>44862</v>
      </c>
      <c r="F35" s="5">
        <v>1</v>
      </c>
      <c r="G35" s="10">
        <f ca="1">NOW()-D35</f>
        <v>25.866387847221631</v>
      </c>
      <c r="H35" s="11">
        <f t="shared" ca="1" si="1"/>
        <v>25.866387847221631</v>
      </c>
    </row>
    <row r="36" spans="1:8" x14ac:dyDescent="0.25">
      <c r="A36" s="5" t="s">
        <v>30</v>
      </c>
      <c r="B36" s="5">
        <v>3734071</v>
      </c>
      <c r="C36" s="5" t="s">
        <v>62</v>
      </c>
      <c r="D36" s="9">
        <v>44868</v>
      </c>
      <c r="E36" s="9">
        <v>44868</v>
      </c>
      <c r="F36" s="5">
        <v>1</v>
      </c>
      <c r="G36" s="10">
        <f ca="1">NOW()-D36</f>
        <v>19.866387847221631</v>
      </c>
      <c r="H36" s="11">
        <f t="shared" ca="1" si="1"/>
        <v>19.866387847221631</v>
      </c>
    </row>
    <row r="37" spans="1:8" x14ac:dyDescent="0.25">
      <c r="A37" s="5" t="s">
        <v>30</v>
      </c>
      <c r="B37" s="5">
        <v>3737201</v>
      </c>
      <c r="C37" s="5" t="s">
        <v>63</v>
      </c>
      <c r="D37" s="9">
        <v>44868</v>
      </c>
      <c r="E37" s="9">
        <v>44868</v>
      </c>
      <c r="F37" s="5">
        <v>1</v>
      </c>
      <c r="G37" s="10">
        <f ca="1">NOW()-D37</f>
        <v>19.866387847221631</v>
      </c>
      <c r="H37" s="11">
        <f t="shared" ca="1" si="1"/>
        <v>19.866387847221631</v>
      </c>
    </row>
    <row r="38" spans="1:8" x14ac:dyDescent="0.25">
      <c r="A38" s="5" t="s">
        <v>30</v>
      </c>
      <c r="B38" s="5">
        <v>3746056</v>
      </c>
      <c r="C38" s="5" t="s">
        <v>64</v>
      </c>
      <c r="D38" s="9">
        <v>44872</v>
      </c>
      <c r="E38" s="9">
        <v>44872</v>
      </c>
      <c r="F38" s="5">
        <v>1</v>
      </c>
      <c r="G38" s="10">
        <f ca="1">NOW()-D38</f>
        <v>15.866387847221631</v>
      </c>
      <c r="H38" s="11">
        <f t="shared" ca="1" si="1"/>
        <v>15.866387847221631</v>
      </c>
    </row>
    <row r="39" spans="1:8" x14ac:dyDescent="0.25">
      <c r="A39" s="5" t="s">
        <v>30</v>
      </c>
      <c r="B39" s="5">
        <v>3753801</v>
      </c>
      <c r="C39" s="5" t="s">
        <v>65</v>
      </c>
      <c r="D39" s="9">
        <v>44874</v>
      </c>
      <c r="E39" s="9">
        <v>44874</v>
      </c>
      <c r="F39" s="5">
        <v>1</v>
      </c>
      <c r="G39" s="10">
        <f ca="1">NOW()-D39</f>
        <v>13.866387847221631</v>
      </c>
      <c r="H39" s="11">
        <f t="shared" ca="1" si="1"/>
        <v>13.866387847221631</v>
      </c>
    </row>
    <row r="40" spans="1:8" x14ac:dyDescent="0.25">
      <c r="A40" s="5" t="s">
        <v>30</v>
      </c>
      <c r="B40" s="5">
        <v>3756317</v>
      </c>
      <c r="C40" s="5" t="s">
        <v>66</v>
      </c>
      <c r="D40" s="9">
        <v>44874</v>
      </c>
      <c r="E40" s="9">
        <v>44874</v>
      </c>
      <c r="F40" s="5">
        <v>1</v>
      </c>
      <c r="G40" s="10">
        <f ca="1">NOW()-D40</f>
        <v>13.866387847221631</v>
      </c>
      <c r="H40" s="11">
        <f t="shared" ca="1" si="1"/>
        <v>13.866387847221631</v>
      </c>
    </row>
    <row r="41" spans="1:8" x14ac:dyDescent="0.25">
      <c r="A41" s="5" t="s">
        <v>30</v>
      </c>
      <c r="B41" s="5">
        <v>3764151</v>
      </c>
      <c r="C41" s="5" t="s">
        <v>67</v>
      </c>
      <c r="D41" s="9">
        <v>44876</v>
      </c>
      <c r="E41" s="9">
        <v>44876</v>
      </c>
      <c r="F41" s="5">
        <v>1</v>
      </c>
      <c r="G41" s="10">
        <f ca="1">NOW()-D41</f>
        <v>11.866387847221631</v>
      </c>
      <c r="H41" s="11">
        <f t="shared" ca="1" si="1"/>
        <v>11.866387847221631</v>
      </c>
    </row>
    <row r="42" spans="1:8" x14ac:dyDescent="0.25">
      <c r="A42" s="5" t="s">
        <v>30</v>
      </c>
      <c r="B42" s="5">
        <v>3775641</v>
      </c>
      <c r="C42" s="5" t="s">
        <v>68</v>
      </c>
      <c r="D42" s="9">
        <v>44881</v>
      </c>
      <c r="E42" s="9">
        <v>44881</v>
      </c>
      <c r="F42" s="5">
        <v>1</v>
      </c>
      <c r="G42" s="10">
        <f ca="1">NOW()-D42</f>
        <v>6.8663878472216311</v>
      </c>
      <c r="H42" s="11">
        <f t="shared" ca="1" si="1"/>
        <v>6.8663878472216311</v>
      </c>
    </row>
    <row r="43" spans="1:8" x14ac:dyDescent="0.25">
      <c r="A43" s="5" t="s">
        <v>30</v>
      </c>
      <c r="B43" s="5">
        <v>3777924</v>
      </c>
      <c r="C43" s="5" t="s">
        <v>69</v>
      </c>
      <c r="D43" s="9">
        <v>44882</v>
      </c>
      <c r="E43" s="9">
        <v>44882</v>
      </c>
      <c r="F43" s="5">
        <v>1</v>
      </c>
      <c r="G43" s="10">
        <f ca="1">NOW()-D43</f>
        <v>5.8663878472216311</v>
      </c>
      <c r="H43" s="11">
        <f t="shared" ca="1" si="1"/>
        <v>5.8663878472216311</v>
      </c>
    </row>
    <row r="44" spans="1:8" x14ac:dyDescent="0.25">
      <c r="A44" s="5" t="s">
        <v>30</v>
      </c>
      <c r="B44" s="5">
        <v>3791990</v>
      </c>
      <c r="C44" s="5" t="s">
        <v>70</v>
      </c>
      <c r="D44" s="9">
        <v>44887</v>
      </c>
      <c r="E44" s="9">
        <v>44887</v>
      </c>
      <c r="F44" s="5">
        <v>1</v>
      </c>
      <c r="G44" s="10">
        <f ca="1">NOW()-D44</f>
        <v>0.86638784722163109</v>
      </c>
      <c r="H44" s="11">
        <f t="shared" ca="1" si="1"/>
        <v>0.86638784722163109</v>
      </c>
    </row>
    <row r="45" spans="1:8" x14ac:dyDescent="0.25">
      <c r="A45" s="5" t="s">
        <v>71</v>
      </c>
      <c r="B45" s="5">
        <v>1419677</v>
      </c>
      <c r="C45" s="5" t="s">
        <v>72</v>
      </c>
      <c r="D45" s="9">
        <v>44153</v>
      </c>
      <c r="E45" s="9">
        <v>44855</v>
      </c>
      <c r="F45" s="5">
        <v>1</v>
      </c>
      <c r="G45" s="10">
        <f ca="1">NOW()-D45</f>
        <v>734.86638784722163</v>
      </c>
      <c r="H45" s="11">
        <f t="shared" ca="1" si="1"/>
        <v>32.866387847221631</v>
      </c>
    </row>
    <row r="46" spans="1:8" x14ac:dyDescent="0.25">
      <c r="A46" s="5" t="s">
        <v>71</v>
      </c>
      <c r="B46" s="5">
        <v>3656434</v>
      </c>
      <c r="C46" s="5" t="s">
        <v>73</v>
      </c>
      <c r="D46" s="9">
        <v>44844</v>
      </c>
      <c r="E46" s="9">
        <v>44844</v>
      </c>
      <c r="F46" s="5">
        <v>1</v>
      </c>
      <c r="G46" s="10">
        <f ca="1">NOW()-D46</f>
        <v>43.866387847221631</v>
      </c>
      <c r="H46" s="11">
        <f t="shared" ca="1" si="1"/>
        <v>43.866387847221631</v>
      </c>
    </row>
    <row r="47" spans="1:8" x14ac:dyDescent="0.25">
      <c r="A47" s="5" t="s">
        <v>71</v>
      </c>
      <c r="B47" s="5">
        <v>3679630</v>
      </c>
      <c r="C47" s="5" t="s">
        <v>74</v>
      </c>
      <c r="D47" s="9">
        <v>44852</v>
      </c>
      <c r="E47" s="9">
        <v>44852</v>
      </c>
      <c r="F47" s="5">
        <v>1</v>
      </c>
      <c r="G47" s="10">
        <f ca="1">NOW()-D47</f>
        <v>35.866387847221631</v>
      </c>
      <c r="H47" s="11">
        <f t="shared" ca="1" si="1"/>
        <v>35.866387847221631</v>
      </c>
    </row>
    <row r="48" spans="1:8" x14ac:dyDescent="0.25">
      <c r="A48" s="5" t="s">
        <v>71</v>
      </c>
      <c r="B48" s="5">
        <v>3688772</v>
      </c>
      <c r="C48" s="5" t="s">
        <v>38</v>
      </c>
      <c r="D48" s="9">
        <v>44854</v>
      </c>
      <c r="E48" s="9">
        <v>44854</v>
      </c>
      <c r="F48" s="5">
        <v>1</v>
      </c>
      <c r="G48" s="10">
        <f ca="1">NOW()-D48</f>
        <v>33.866387847221631</v>
      </c>
      <c r="H48" s="11">
        <f t="shared" ca="1" si="1"/>
        <v>33.866387847221631</v>
      </c>
    </row>
    <row r="49" spans="1:8" x14ac:dyDescent="0.25">
      <c r="A49" s="5" t="s">
        <v>71</v>
      </c>
      <c r="B49" s="5">
        <v>3707755</v>
      </c>
      <c r="C49" s="5" t="s">
        <v>58</v>
      </c>
      <c r="D49" s="9">
        <v>44860</v>
      </c>
      <c r="E49" s="9">
        <v>44860</v>
      </c>
      <c r="F49" s="5">
        <v>1</v>
      </c>
      <c r="G49" s="10">
        <f ca="1">NOW()-D49</f>
        <v>27.866387847221631</v>
      </c>
      <c r="H49" s="11">
        <f t="shared" ca="1" si="1"/>
        <v>27.866387847221631</v>
      </c>
    </row>
    <row r="50" spans="1:8" x14ac:dyDescent="0.25">
      <c r="A50" s="5" t="s">
        <v>71</v>
      </c>
      <c r="B50" s="5">
        <v>3709436</v>
      </c>
      <c r="C50" s="5" t="s">
        <v>75</v>
      </c>
      <c r="D50" s="9">
        <v>44860</v>
      </c>
      <c r="E50" s="9">
        <v>44860</v>
      </c>
      <c r="F50" s="5">
        <v>1</v>
      </c>
      <c r="G50" s="10">
        <f ca="1">NOW()-D50</f>
        <v>27.866387847221631</v>
      </c>
      <c r="H50" s="11">
        <f t="shared" ca="1" si="1"/>
        <v>27.866387847221631</v>
      </c>
    </row>
    <row r="51" spans="1:8" x14ac:dyDescent="0.25">
      <c r="A51" s="5" t="s">
        <v>71</v>
      </c>
      <c r="B51" s="5">
        <v>3709595</v>
      </c>
      <c r="C51" s="5" t="s">
        <v>75</v>
      </c>
      <c r="D51" s="9">
        <v>44860</v>
      </c>
      <c r="E51" s="9">
        <v>44860</v>
      </c>
      <c r="F51" s="5">
        <v>1</v>
      </c>
      <c r="G51" s="10">
        <f ca="1">NOW()-D51</f>
        <v>27.866387847221631</v>
      </c>
      <c r="H51" s="11">
        <f t="shared" ca="1" si="1"/>
        <v>27.866387847221631</v>
      </c>
    </row>
    <row r="52" spans="1:8" x14ac:dyDescent="0.25">
      <c r="A52" s="5" t="s">
        <v>71</v>
      </c>
      <c r="B52" s="5">
        <v>3769523</v>
      </c>
      <c r="C52" s="5" t="s">
        <v>76</v>
      </c>
      <c r="D52" s="9">
        <v>44879</v>
      </c>
      <c r="E52" s="9">
        <v>44879</v>
      </c>
      <c r="F52" s="5">
        <v>1</v>
      </c>
      <c r="G52" s="10">
        <f ca="1">NOW()-D52</f>
        <v>8.8663878472216311</v>
      </c>
      <c r="H52" s="11">
        <f t="shared" ca="1" si="1"/>
        <v>8.8663878472216311</v>
      </c>
    </row>
    <row r="53" spans="1:8" x14ac:dyDescent="0.25">
      <c r="A53" s="5" t="s">
        <v>71</v>
      </c>
      <c r="B53" s="5">
        <v>3769671</v>
      </c>
      <c r="C53" s="5" t="s">
        <v>76</v>
      </c>
      <c r="D53" s="9">
        <v>44879</v>
      </c>
      <c r="E53" s="9">
        <v>44879</v>
      </c>
      <c r="F53" s="5">
        <v>1</v>
      </c>
      <c r="G53" s="10">
        <f ca="1">NOW()-D53</f>
        <v>8.8663878472216311</v>
      </c>
      <c r="H53" s="11">
        <f t="shared" ca="1" si="1"/>
        <v>8.8663878472216311</v>
      </c>
    </row>
    <row r="55" spans="1:8" x14ac:dyDescent="0.25">
      <c r="A55" s="1" t="s">
        <v>555</v>
      </c>
    </row>
    <row r="56" spans="1:8" x14ac:dyDescent="0.25">
      <c r="A56" s="1" t="s">
        <v>34</v>
      </c>
    </row>
    <row r="57" spans="1:8" x14ac:dyDescent="0.25">
      <c r="A57" s="2">
        <v>44693</v>
      </c>
    </row>
  </sheetData>
  <sheetProtection algorithmName="SHA-512" hashValue="5jCAzu7kpcY2ytkzjXjWGhemrZELLPUS6wteG++1loBKLny4ZYSlDb7Cc3xypEOReSwp0VF+P2loaO0wbej3KQ==" saltValue="uoc2/lUpG/8w1pMlb1AiFQ==" spinCount="100000" sheet="1" objects="1" scenarios="1" insertColumns="0" insertRows="0" deleteColumns="0" deleteRows="0" selectLockedCells="1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190"/>
  <sheetViews>
    <sheetView showGridLines="0" zoomScaleNormal="100" workbookViewId="0">
      <selection activeCell="A5" sqref="A5"/>
    </sheetView>
  </sheetViews>
  <sheetFormatPr defaultRowHeight="15" x14ac:dyDescent="0.25"/>
  <cols>
    <col min="1" max="1" width="15.85546875" style="5" bestFit="1" customWidth="1"/>
    <col min="2" max="2" width="64.7109375" style="5" bestFit="1" customWidth="1"/>
    <col min="3" max="3" width="22.42578125" style="5" bestFit="1" customWidth="1"/>
    <col min="4" max="4" width="18.140625" style="5" bestFit="1" customWidth="1"/>
    <col min="5" max="5" width="32.28515625" style="5" bestFit="1" customWidth="1"/>
    <col min="6" max="6" width="40.28515625" style="5" bestFit="1" customWidth="1"/>
    <col min="7" max="7" width="19.85546875" style="5" bestFit="1" customWidth="1"/>
    <col min="8" max="8" width="10.5703125" style="5" bestFit="1" customWidth="1"/>
    <col min="9" max="9" width="27.28515625" style="5" bestFit="1" customWidth="1"/>
    <col min="10" max="10" width="12.5703125" style="5" bestFit="1" customWidth="1"/>
    <col min="11" max="12" width="14.85546875" style="5" bestFit="1" customWidth="1"/>
    <col min="13" max="16384" width="9.140625" style="5"/>
  </cols>
  <sheetData>
    <row r="1" spans="1:12" x14ac:dyDescent="0.25">
      <c r="A1" s="12" t="s">
        <v>9</v>
      </c>
      <c r="B1" s="13" t="s">
        <v>10</v>
      </c>
      <c r="C1" s="13" t="s">
        <v>0</v>
      </c>
      <c r="D1" s="13" t="s">
        <v>11</v>
      </c>
      <c r="E1" s="13" t="s">
        <v>12</v>
      </c>
      <c r="F1" s="13" t="s">
        <v>13</v>
      </c>
      <c r="G1" s="13" t="s">
        <v>14</v>
      </c>
      <c r="H1" s="13" t="s">
        <v>15</v>
      </c>
      <c r="I1" s="13" t="s">
        <v>16</v>
      </c>
      <c r="J1" s="13" t="s">
        <v>17</v>
      </c>
      <c r="K1" s="13" t="s">
        <v>1</v>
      </c>
      <c r="L1" s="14" t="s">
        <v>8</v>
      </c>
    </row>
    <row r="2" spans="1:12" x14ac:dyDescent="0.25">
      <c r="A2" s="5" t="s">
        <v>9</v>
      </c>
      <c r="B2" s="5" t="s">
        <v>10</v>
      </c>
      <c r="C2" s="5" t="s">
        <v>0</v>
      </c>
      <c r="D2" s="5" t="s">
        <v>11</v>
      </c>
      <c r="E2" s="5" t="s">
        <v>12</v>
      </c>
      <c r="F2" s="5" t="s">
        <v>13</v>
      </c>
      <c r="G2" s="5" t="s">
        <v>14</v>
      </c>
      <c r="H2" s="5" t="s">
        <v>15</v>
      </c>
      <c r="I2" s="5" t="s">
        <v>16</v>
      </c>
      <c r="J2" s="5" t="s">
        <v>17</v>
      </c>
      <c r="K2" s="15" t="e">
        <f ca="1">NOW()-D2</f>
        <v>#VALUE!</v>
      </c>
      <c r="L2" s="16" t="e">
        <f t="shared" ref="L2:L33" ca="1" si="0">NOW()-G2</f>
        <v>#VALUE!</v>
      </c>
    </row>
    <row r="3" spans="1:12" x14ac:dyDescent="0.25">
      <c r="A3" s="5" t="s">
        <v>77</v>
      </c>
      <c r="B3" s="5" t="s">
        <v>78</v>
      </c>
      <c r="C3" s="5" t="s">
        <v>79</v>
      </c>
      <c r="D3" s="17">
        <v>44887.813194444447</v>
      </c>
      <c r="E3" s="5" t="s">
        <v>80</v>
      </c>
      <c r="F3" s="5" t="s">
        <v>81</v>
      </c>
      <c r="G3" s="17">
        <v>44887.813194444447</v>
      </c>
      <c r="H3" s="5" t="s">
        <v>82</v>
      </c>
      <c r="I3" s="5" t="s">
        <v>83</v>
      </c>
      <c r="J3" s="5" t="s">
        <v>84</v>
      </c>
      <c r="K3" s="15">
        <f ca="1">NOW()-D3</f>
        <v>5.3193402774923015E-2</v>
      </c>
      <c r="L3" s="16">
        <f t="shared" ca="1" si="0"/>
        <v>5.3193402774923015E-2</v>
      </c>
    </row>
    <row r="4" spans="1:12" x14ac:dyDescent="0.25">
      <c r="A4" s="5" t="s">
        <v>85</v>
      </c>
      <c r="B4" s="5" t="s">
        <v>86</v>
      </c>
      <c r="C4" s="5" t="s">
        <v>87</v>
      </c>
      <c r="D4" s="17">
        <v>44887.789583333331</v>
      </c>
      <c r="E4" s="5" t="s">
        <v>80</v>
      </c>
      <c r="F4" s="5" t="s">
        <v>81</v>
      </c>
      <c r="G4" s="17">
        <v>44887.789583333331</v>
      </c>
      <c r="H4" s="5" t="s">
        <v>88</v>
      </c>
      <c r="I4" s="5" t="s">
        <v>89</v>
      </c>
      <c r="J4" s="5" t="s">
        <v>84</v>
      </c>
      <c r="K4" s="15">
        <f ca="1">NOW()-D4</f>
        <v>7.6804513890238013E-2</v>
      </c>
      <c r="L4" s="16">
        <f t="shared" ca="1" si="0"/>
        <v>7.6804513890238013E-2</v>
      </c>
    </row>
    <row r="5" spans="1:12" x14ac:dyDescent="0.25">
      <c r="A5" s="5" t="s">
        <v>90</v>
      </c>
      <c r="B5" s="5" t="s">
        <v>91</v>
      </c>
      <c r="C5" s="5" t="s">
        <v>92</v>
      </c>
      <c r="D5" s="17">
        <v>44886.761805555558</v>
      </c>
      <c r="E5" s="5" t="s">
        <v>80</v>
      </c>
      <c r="F5" s="5" t="s">
        <v>81</v>
      </c>
      <c r="G5" s="17">
        <v>44887.731249999997</v>
      </c>
      <c r="H5" s="5" t="s">
        <v>82</v>
      </c>
      <c r="I5" s="5" t="s">
        <v>93</v>
      </c>
      <c r="J5" s="5" t="s">
        <v>84</v>
      </c>
      <c r="K5" s="15">
        <f ca="1">NOW()-D5</f>
        <v>1.1045822916639736</v>
      </c>
      <c r="L5" s="16">
        <f t="shared" ca="1" si="0"/>
        <v>0.13513784722454147</v>
      </c>
    </row>
    <row r="6" spans="1:12" x14ac:dyDescent="0.25">
      <c r="A6" s="5" t="s">
        <v>94</v>
      </c>
      <c r="B6" s="5" t="s">
        <v>95</v>
      </c>
      <c r="C6" s="5" t="s">
        <v>79</v>
      </c>
      <c r="D6" s="17">
        <v>44887.724999999999</v>
      </c>
      <c r="E6" s="5" t="s">
        <v>80</v>
      </c>
      <c r="F6" s="5" t="s">
        <v>81</v>
      </c>
      <c r="G6" s="17">
        <v>44887.724999999999</v>
      </c>
      <c r="H6" s="5" t="s">
        <v>82</v>
      </c>
      <c r="I6" s="5" t="s">
        <v>83</v>
      </c>
      <c r="J6" s="5" t="s">
        <v>84</v>
      </c>
      <c r="K6" s="15">
        <f ca="1">NOW()-D6</f>
        <v>0.14138784722308628</v>
      </c>
      <c r="L6" s="16">
        <f t="shared" ca="1" si="0"/>
        <v>0.14138784722308628</v>
      </c>
    </row>
    <row r="7" spans="1:12" x14ac:dyDescent="0.25">
      <c r="A7" s="5" t="s">
        <v>96</v>
      </c>
      <c r="B7" s="5" t="s">
        <v>97</v>
      </c>
      <c r="C7" s="5" t="s">
        <v>92</v>
      </c>
      <c r="D7" s="17">
        <v>44875.428472222222</v>
      </c>
      <c r="E7" s="5" t="s">
        <v>80</v>
      </c>
      <c r="F7" s="5" t="s">
        <v>81</v>
      </c>
      <c r="G7" s="17">
        <v>44887.698611111111</v>
      </c>
      <c r="H7" s="5" t="s">
        <v>82</v>
      </c>
      <c r="I7" s="5" t="s">
        <v>93</v>
      </c>
      <c r="J7" s="5" t="s">
        <v>84</v>
      </c>
      <c r="K7" s="15">
        <f ca="1">NOW()-D7</f>
        <v>12.437915624999732</v>
      </c>
      <c r="L7" s="16">
        <f t="shared" ca="1" si="0"/>
        <v>0.16777673611068167</v>
      </c>
    </row>
    <row r="8" spans="1:12" x14ac:dyDescent="0.25">
      <c r="A8" s="5" t="s">
        <v>98</v>
      </c>
      <c r="B8" s="5" t="s">
        <v>99</v>
      </c>
      <c r="C8" s="5" t="s">
        <v>87</v>
      </c>
      <c r="D8" s="17">
        <v>44887.686111111114</v>
      </c>
      <c r="E8" s="5" t="s">
        <v>80</v>
      </c>
      <c r="F8" s="5" t="s">
        <v>81</v>
      </c>
      <c r="G8" s="17">
        <v>44887.686111111114</v>
      </c>
      <c r="H8" s="5" t="s">
        <v>82</v>
      </c>
      <c r="I8" s="5" t="s">
        <v>89</v>
      </c>
      <c r="J8" s="5" t="s">
        <v>84</v>
      </c>
      <c r="K8" s="15">
        <f ca="1">NOW()-D8</f>
        <v>0.18027673610777128</v>
      </c>
      <c r="L8" s="16">
        <f t="shared" ca="1" si="0"/>
        <v>0.18027673610777128</v>
      </c>
    </row>
    <row r="9" spans="1:12" x14ac:dyDescent="0.25">
      <c r="A9" s="5" t="s">
        <v>100</v>
      </c>
      <c r="B9" s="5" t="s">
        <v>101</v>
      </c>
      <c r="C9" s="5" t="s">
        <v>87</v>
      </c>
      <c r="D9" s="17">
        <v>44887.678472222222</v>
      </c>
      <c r="E9" s="5" t="s">
        <v>80</v>
      </c>
      <c r="F9" s="5" t="s">
        <v>81</v>
      </c>
      <c r="G9" s="17">
        <v>44887.678472222222</v>
      </c>
      <c r="H9" s="5" t="s">
        <v>82</v>
      </c>
      <c r="I9" s="5" t="s">
        <v>89</v>
      </c>
      <c r="J9" s="5" t="s">
        <v>84</v>
      </c>
      <c r="K9" s="15">
        <f ca="1">NOW()-D9</f>
        <v>0.18791562499973224</v>
      </c>
      <c r="L9" s="16">
        <f t="shared" ca="1" si="0"/>
        <v>0.18791562499973224</v>
      </c>
    </row>
    <row r="10" spans="1:12" x14ac:dyDescent="0.25">
      <c r="A10" s="5" t="s">
        <v>102</v>
      </c>
      <c r="B10" s="5" t="s">
        <v>103</v>
      </c>
      <c r="C10" s="5" t="s">
        <v>79</v>
      </c>
      <c r="D10" s="17">
        <v>44887.621527777781</v>
      </c>
      <c r="E10" s="5" t="s">
        <v>80</v>
      </c>
      <c r="F10" s="5" t="s">
        <v>81</v>
      </c>
      <c r="G10" s="17">
        <v>44887.677083333336</v>
      </c>
      <c r="H10" s="5" t="s">
        <v>82</v>
      </c>
      <c r="I10" s="5" t="s">
        <v>93</v>
      </c>
      <c r="J10" s="5" t="s">
        <v>84</v>
      </c>
      <c r="K10" s="15">
        <f ca="1">NOW()-D10</f>
        <v>0.24486006944061955</v>
      </c>
      <c r="L10" s="16">
        <f t="shared" ca="1" si="0"/>
        <v>0.18930451388587244</v>
      </c>
    </row>
    <row r="11" spans="1:12" x14ac:dyDescent="0.25">
      <c r="A11" s="5" t="s">
        <v>104</v>
      </c>
      <c r="B11" s="5" t="s">
        <v>103</v>
      </c>
      <c r="C11" s="5" t="s">
        <v>79</v>
      </c>
      <c r="D11" s="17">
        <v>44887.625</v>
      </c>
      <c r="E11" s="5" t="s">
        <v>80</v>
      </c>
      <c r="F11" s="5" t="s">
        <v>81</v>
      </c>
      <c r="G11" s="17">
        <v>44887.676388888889</v>
      </c>
      <c r="H11" s="5" t="s">
        <v>82</v>
      </c>
      <c r="I11" s="5" t="s">
        <v>93</v>
      </c>
      <c r="J11" s="5" t="s">
        <v>84</v>
      </c>
      <c r="K11" s="15">
        <f ca="1">NOW()-D11</f>
        <v>0.24138784722163109</v>
      </c>
      <c r="L11" s="16">
        <f t="shared" ca="1" si="0"/>
        <v>0.18999895833258051</v>
      </c>
    </row>
    <row r="12" spans="1:12" x14ac:dyDescent="0.25">
      <c r="A12" s="5" t="s">
        <v>105</v>
      </c>
      <c r="B12" s="5" t="s">
        <v>91</v>
      </c>
      <c r="C12" s="5" t="s">
        <v>92</v>
      </c>
      <c r="D12" s="17">
        <v>44887.445138888892</v>
      </c>
      <c r="E12" s="5" t="s">
        <v>80</v>
      </c>
      <c r="F12" s="5" t="s">
        <v>81</v>
      </c>
      <c r="G12" s="17">
        <v>44887.673611111109</v>
      </c>
      <c r="H12" s="5" t="s">
        <v>82</v>
      </c>
      <c r="I12" s="5" t="s">
        <v>93</v>
      </c>
      <c r="J12" s="5" t="s">
        <v>84</v>
      </c>
      <c r="K12" s="15">
        <f ca="1">NOW()-D12</f>
        <v>0.42124895832967013</v>
      </c>
      <c r="L12" s="16">
        <f t="shared" ca="1" si="0"/>
        <v>0.19277673611213686</v>
      </c>
    </row>
    <row r="13" spans="1:12" x14ac:dyDescent="0.25">
      <c r="A13" s="5" t="s">
        <v>106</v>
      </c>
      <c r="B13" s="5" t="s">
        <v>107</v>
      </c>
      <c r="C13" s="5" t="s">
        <v>79</v>
      </c>
      <c r="D13" s="17">
        <v>44887.518750000003</v>
      </c>
      <c r="E13" s="5" t="s">
        <v>80</v>
      </c>
      <c r="F13" s="5" t="s">
        <v>81</v>
      </c>
      <c r="G13" s="17">
        <v>44887.655555555553</v>
      </c>
      <c r="H13" s="5" t="s">
        <v>82</v>
      </c>
      <c r="I13" s="5" t="s">
        <v>93</v>
      </c>
      <c r="J13" s="5" t="s">
        <v>84</v>
      </c>
      <c r="K13" s="15">
        <f ca="1">NOW()-D13</f>
        <v>0.34763784721872071</v>
      </c>
      <c r="L13" s="16">
        <f t="shared" ca="1" si="0"/>
        <v>0.21083229166833917</v>
      </c>
    </row>
    <row r="14" spans="1:12" x14ac:dyDescent="0.25">
      <c r="A14" s="5" t="s">
        <v>108</v>
      </c>
      <c r="B14" s="5" t="s">
        <v>97</v>
      </c>
      <c r="C14" s="5" t="s">
        <v>79</v>
      </c>
      <c r="D14" s="17">
        <v>44887.631944444445</v>
      </c>
      <c r="E14" s="5" t="s">
        <v>80</v>
      </c>
      <c r="F14" s="5" t="s">
        <v>81</v>
      </c>
      <c r="G14" s="17">
        <v>44887.640277777777</v>
      </c>
      <c r="H14" s="5" t="s">
        <v>82</v>
      </c>
      <c r="I14" s="5" t="s">
        <v>93</v>
      </c>
      <c r="J14" s="5" t="s">
        <v>84</v>
      </c>
      <c r="K14" s="15">
        <f ca="1">NOW()-D14</f>
        <v>0.23444340277637821</v>
      </c>
      <c r="L14" s="16">
        <f t="shared" ca="1" si="0"/>
        <v>0.22611006944498513</v>
      </c>
    </row>
    <row r="15" spans="1:12" x14ac:dyDescent="0.25">
      <c r="A15" s="5" t="s">
        <v>109</v>
      </c>
      <c r="B15" s="5" t="s">
        <v>110</v>
      </c>
      <c r="C15" s="5" t="s">
        <v>79</v>
      </c>
      <c r="D15" s="17">
        <v>44887.630555555559</v>
      </c>
      <c r="E15" s="5" t="s">
        <v>80</v>
      </c>
      <c r="F15" s="5" t="s">
        <v>81</v>
      </c>
      <c r="G15" s="17">
        <v>44887.632638888892</v>
      </c>
      <c r="H15" s="5" t="s">
        <v>82</v>
      </c>
      <c r="I15" s="5" t="s">
        <v>93</v>
      </c>
      <c r="J15" s="5" t="s">
        <v>84</v>
      </c>
      <c r="K15" s="15">
        <f ca="1">NOW()-D15</f>
        <v>0.2358322916625184</v>
      </c>
      <c r="L15" s="16">
        <f t="shared" ca="1" si="0"/>
        <v>0.23374895832967013</v>
      </c>
    </row>
    <row r="16" spans="1:12" x14ac:dyDescent="0.25">
      <c r="A16" s="5" t="s">
        <v>111</v>
      </c>
      <c r="B16" s="5" t="s">
        <v>112</v>
      </c>
      <c r="C16" s="5" t="s">
        <v>92</v>
      </c>
      <c r="D16" s="17">
        <v>44883.376388888886</v>
      </c>
      <c r="E16" s="5" t="s">
        <v>80</v>
      </c>
      <c r="F16" s="5" t="s">
        <v>81</v>
      </c>
      <c r="G16" s="17">
        <v>44887.62222222222</v>
      </c>
      <c r="H16" s="5" t="s">
        <v>82</v>
      </c>
      <c r="I16" s="5" t="s">
        <v>89</v>
      </c>
      <c r="J16" s="5" t="s">
        <v>84</v>
      </c>
      <c r="K16" s="15">
        <f ca="1">NOW()-D16</f>
        <v>4.4899989583354909</v>
      </c>
      <c r="L16" s="16">
        <f t="shared" ca="1" si="0"/>
        <v>0.24416562500118744</v>
      </c>
    </row>
    <row r="17" spans="1:12" x14ac:dyDescent="0.25">
      <c r="A17" s="5" t="s">
        <v>113</v>
      </c>
      <c r="B17" s="5" t="s">
        <v>107</v>
      </c>
      <c r="C17" s="5" t="s">
        <v>92</v>
      </c>
      <c r="D17" s="17">
        <v>44886.378472222219</v>
      </c>
      <c r="E17" s="5" t="s">
        <v>80</v>
      </c>
      <c r="F17" s="5" t="s">
        <v>81</v>
      </c>
      <c r="G17" s="17">
        <v>44887.609722222223</v>
      </c>
      <c r="H17" s="5" t="s">
        <v>82</v>
      </c>
      <c r="I17" s="5" t="s">
        <v>93</v>
      </c>
      <c r="J17" s="5" t="s">
        <v>84</v>
      </c>
      <c r="K17" s="15">
        <f ca="1">NOW()-D17</f>
        <v>1.4879156250026426</v>
      </c>
      <c r="L17" s="16">
        <f t="shared" ca="1" si="0"/>
        <v>0.25666562499827705</v>
      </c>
    </row>
    <row r="18" spans="1:12" x14ac:dyDescent="0.25">
      <c r="A18" s="5" t="s">
        <v>114</v>
      </c>
      <c r="B18" s="5" t="s">
        <v>107</v>
      </c>
      <c r="C18" s="5" t="s">
        <v>92</v>
      </c>
      <c r="D18" s="17">
        <v>44886.383333333331</v>
      </c>
      <c r="E18" s="5" t="s">
        <v>80</v>
      </c>
      <c r="F18" s="5" t="s">
        <v>81</v>
      </c>
      <c r="G18" s="17">
        <v>44887.605555555558</v>
      </c>
      <c r="H18" s="5" t="s">
        <v>82</v>
      </c>
      <c r="I18" s="5" t="s">
        <v>93</v>
      </c>
      <c r="J18" s="5" t="s">
        <v>84</v>
      </c>
      <c r="K18" s="15">
        <f ca="1">NOW()-D18</f>
        <v>1.483054513890238</v>
      </c>
      <c r="L18" s="16">
        <f t="shared" ca="1" si="0"/>
        <v>0.26083229166397359</v>
      </c>
    </row>
    <row r="19" spans="1:12" x14ac:dyDescent="0.25">
      <c r="A19" s="5" t="s">
        <v>115</v>
      </c>
      <c r="B19" s="5" t="s">
        <v>116</v>
      </c>
      <c r="C19" s="5" t="s">
        <v>92</v>
      </c>
      <c r="D19" s="17">
        <v>44883.732638888891</v>
      </c>
      <c r="E19" s="5" t="s">
        <v>80</v>
      </c>
      <c r="F19" s="5" t="s">
        <v>81</v>
      </c>
      <c r="G19" s="17">
        <v>44887.604861111111</v>
      </c>
      <c r="H19" s="5" t="s">
        <v>82</v>
      </c>
      <c r="I19" s="5" t="s">
        <v>83</v>
      </c>
      <c r="J19" s="5" t="s">
        <v>84</v>
      </c>
      <c r="K19" s="15">
        <f ca="1">NOW()-D19</f>
        <v>4.1337489583311253</v>
      </c>
      <c r="L19" s="16">
        <f t="shared" ca="1" si="0"/>
        <v>0.26152673611068167</v>
      </c>
    </row>
    <row r="20" spans="1:12" x14ac:dyDescent="0.25">
      <c r="A20" s="5" t="s">
        <v>117</v>
      </c>
      <c r="B20" s="5" t="s">
        <v>118</v>
      </c>
      <c r="C20" s="5" t="s">
        <v>87</v>
      </c>
      <c r="D20" s="17">
        <v>44887.595138888886</v>
      </c>
      <c r="E20" s="5" t="s">
        <v>80</v>
      </c>
      <c r="F20" s="5" t="s">
        <v>81</v>
      </c>
      <c r="G20" s="17">
        <v>44887.595138888886</v>
      </c>
      <c r="H20" s="5" t="s">
        <v>88</v>
      </c>
      <c r="I20" s="5" t="s">
        <v>89</v>
      </c>
      <c r="J20" s="5" t="s">
        <v>84</v>
      </c>
      <c r="K20" s="15">
        <f ca="1">NOW()-D20</f>
        <v>0.2712489583354909</v>
      </c>
      <c r="L20" s="16">
        <f t="shared" ca="1" si="0"/>
        <v>0.2712489583354909</v>
      </c>
    </row>
    <row r="21" spans="1:12" x14ac:dyDescent="0.25">
      <c r="A21" s="5" t="s">
        <v>119</v>
      </c>
      <c r="B21" s="5" t="s">
        <v>118</v>
      </c>
      <c r="C21" s="5" t="s">
        <v>87</v>
      </c>
      <c r="D21" s="17">
        <v>44887.591666666667</v>
      </c>
      <c r="E21" s="5" t="s">
        <v>80</v>
      </c>
      <c r="F21" s="5" t="s">
        <v>81</v>
      </c>
      <c r="G21" s="17">
        <v>44887.591666666667</v>
      </c>
      <c r="H21" s="5" t="s">
        <v>88</v>
      </c>
      <c r="I21" s="5" t="s">
        <v>89</v>
      </c>
      <c r="J21" s="5" t="s">
        <v>84</v>
      </c>
      <c r="K21" s="15">
        <f ca="1">NOW()-D21</f>
        <v>0.27472118055447936</v>
      </c>
      <c r="L21" s="16">
        <f t="shared" ca="1" si="0"/>
        <v>0.27472118055447936</v>
      </c>
    </row>
    <row r="22" spans="1:12" x14ac:dyDescent="0.25">
      <c r="A22" s="5" t="s">
        <v>120</v>
      </c>
      <c r="B22" s="5" t="s">
        <v>121</v>
      </c>
      <c r="C22" s="5" t="s">
        <v>87</v>
      </c>
      <c r="D22" s="17">
        <v>44887.585416666669</v>
      </c>
      <c r="E22" s="5" t="s">
        <v>80</v>
      </c>
      <c r="F22" s="5" t="s">
        <v>81</v>
      </c>
      <c r="G22" s="17">
        <v>44887.586111111108</v>
      </c>
      <c r="H22" s="5" t="s">
        <v>88</v>
      </c>
      <c r="I22" s="5" t="s">
        <v>89</v>
      </c>
      <c r="J22" s="5" t="s">
        <v>84</v>
      </c>
      <c r="K22" s="15">
        <f ca="1">NOW()-D22</f>
        <v>0.28097118055302417</v>
      </c>
      <c r="L22" s="16">
        <f t="shared" ca="1" si="0"/>
        <v>0.28027673611359205</v>
      </c>
    </row>
    <row r="23" spans="1:12" x14ac:dyDescent="0.25">
      <c r="A23" s="5" t="s">
        <v>122</v>
      </c>
      <c r="B23" s="5" t="s">
        <v>91</v>
      </c>
      <c r="C23" s="5" t="s">
        <v>79</v>
      </c>
      <c r="D23" s="17">
        <v>44887.584027777775</v>
      </c>
      <c r="E23" s="5" t="s">
        <v>80</v>
      </c>
      <c r="F23" s="5" t="s">
        <v>81</v>
      </c>
      <c r="G23" s="17">
        <v>44887.584027777775</v>
      </c>
      <c r="H23" s="5" t="s">
        <v>82</v>
      </c>
      <c r="I23" s="5" t="s">
        <v>89</v>
      </c>
      <c r="J23" s="5" t="s">
        <v>84</v>
      </c>
      <c r="K23" s="15">
        <f ca="1">NOW()-D23</f>
        <v>0.28236006944644032</v>
      </c>
      <c r="L23" s="16">
        <f t="shared" ca="1" si="0"/>
        <v>0.28236006944644032</v>
      </c>
    </row>
    <row r="24" spans="1:12" x14ac:dyDescent="0.25">
      <c r="A24" s="5" t="s">
        <v>123</v>
      </c>
      <c r="B24" s="5" t="s">
        <v>107</v>
      </c>
      <c r="C24" s="5" t="s">
        <v>92</v>
      </c>
      <c r="D24" s="17">
        <v>44883.6</v>
      </c>
      <c r="E24" s="5" t="s">
        <v>80</v>
      </c>
      <c r="F24" s="5" t="s">
        <v>81</v>
      </c>
      <c r="G24" s="17">
        <v>44887.57916666667</v>
      </c>
      <c r="H24" s="5" t="s">
        <v>82</v>
      </c>
      <c r="I24" s="5" t="s">
        <v>93</v>
      </c>
      <c r="J24" s="5" t="s">
        <v>84</v>
      </c>
      <c r="K24" s="15">
        <f ca="1">NOW()-D24</f>
        <v>4.2663878472230863</v>
      </c>
      <c r="L24" s="16">
        <f t="shared" ca="1" si="0"/>
        <v>0.28722118055156898</v>
      </c>
    </row>
    <row r="25" spans="1:12" x14ac:dyDescent="0.25">
      <c r="A25" s="5" t="s">
        <v>124</v>
      </c>
      <c r="B25" s="5" t="s">
        <v>103</v>
      </c>
      <c r="C25" s="5" t="s">
        <v>92</v>
      </c>
      <c r="D25" s="17">
        <v>44882.42291666667</v>
      </c>
      <c r="E25" s="5" t="s">
        <v>80</v>
      </c>
      <c r="F25" s="5" t="s">
        <v>81</v>
      </c>
      <c r="G25" s="17">
        <v>44887.568055555559</v>
      </c>
      <c r="H25" s="5" t="s">
        <v>82</v>
      </c>
      <c r="I25" s="5" t="s">
        <v>93</v>
      </c>
      <c r="J25" s="5" t="s">
        <v>84</v>
      </c>
      <c r="K25" s="15">
        <f ca="1">NOW()-D25</f>
        <v>5.443471180551569</v>
      </c>
      <c r="L25" s="16">
        <f t="shared" ca="1" si="0"/>
        <v>0.2983322916625184</v>
      </c>
    </row>
    <row r="26" spans="1:12" x14ac:dyDescent="0.25">
      <c r="A26" s="5" t="s">
        <v>125</v>
      </c>
      <c r="B26" s="5" t="s">
        <v>103</v>
      </c>
      <c r="C26" s="5" t="s">
        <v>92</v>
      </c>
      <c r="D26" s="17">
        <v>44882.424305555556</v>
      </c>
      <c r="E26" s="5" t="s">
        <v>80</v>
      </c>
      <c r="F26" s="5" t="s">
        <v>81</v>
      </c>
      <c r="G26" s="17">
        <v>44887.567361111112</v>
      </c>
      <c r="H26" s="5" t="s">
        <v>82</v>
      </c>
      <c r="I26" s="5" t="s">
        <v>83</v>
      </c>
      <c r="J26" s="5" t="s">
        <v>84</v>
      </c>
      <c r="K26" s="15">
        <f ca="1">NOW()-D26</f>
        <v>5.4420822916654288</v>
      </c>
      <c r="L26" s="16">
        <f t="shared" ca="1" si="0"/>
        <v>0.29902673610922648</v>
      </c>
    </row>
    <row r="27" spans="1:12" x14ac:dyDescent="0.25">
      <c r="A27" s="5" t="s">
        <v>126</v>
      </c>
      <c r="B27" s="5" t="s">
        <v>127</v>
      </c>
      <c r="C27" s="5" t="s">
        <v>79</v>
      </c>
      <c r="D27" s="17">
        <v>44887.554166666669</v>
      </c>
      <c r="E27" s="5" t="s">
        <v>80</v>
      </c>
      <c r="F27" s="5" t="s">
        <v>81</v>
      </c>
      <c r="G27" s="17">
        <v>44887.554166666669</v>
      </c>
      <c r="H27" s="5" t="s">
        <v>82</v>
      </c>
      <c r="I27" s="5" t="s">
        <v>89</v>
      </c>
      <c r="J27" s="5" t="s">
        <v>84</v>
      </c>
      <c r="K27" s="15">
        <f ca="1">NOW()-D27</f>
        <v>0.31222118055302417</v>
      </c>
      <c r="L27" s="16">
        <f t="shared" ca="1" si="0"/>
        <v>0.31222118055302417</v>
      </c>
    </row>
    <row r="28" spans="1:12" x14ac:dyDescent="0.25">
      <c r="A28" s="5" t="s">
        <v>128</v>
      </c>
      <c r="B28" s="5" t="s">
        <v>101</v>
      </c>
      <c r="C28" s="5" t="s">
        <v>87</v>
      </c>
      <c r="D28" s="17">
        <v>44887.513194444444</v>
      </c>
      <c r="E28" s="5" t="s">
        <v>80</v>
      </c>
      <c r="F28" s="5" t="s">
        <v>81</v>
      </c>
      <c r="G28" s="17">
        <v>44887.513194444444</v>
      </c>
      <c r="H28" s="5" t="s">
        <v>82</v>
      </c>
      <c r="I28" s="5" t="s">
        <v>89</v>
      </c>
      <c r="J28" s="5" t="s">
        <v>84</v>
      </c>
      <c r="K28" s="15">
        <f ca="1">NOW()-D28</f>
        <v>0.3531934027778334</v>
      </c>
      <c r="L28" s="16">
        <f t="shared" ca="1" si="0"/>
        <v>0.3531934027778334</v>
      </c>
    </row>
    <row r="29" spans="1:12" x14ac:dyDescent="0.25">
      <c r="A29" s="5" t="s">
        <v>129</v>
      </c>
      <c r="B29" s="5" t="s">
        <v>91</v>
      </c>
      <c r="C29" s="5" t="s">
        <v>92</v>
      </c>
      <c r="D29" s="17">
        <v>44887.456944444442</v>
      </c>
      <c r="E29" s="5" t="s">
        <v>80</v>
      </c>
      <c r="F29" s="5" t="s">
        <v>81</v>
      </c>
      <c r="G29" s="17">
        <v>44887.510416666664</v>
      </c>
      <c r="H29" s="5" t="s">
        <v>82</v>
      </c>
      <c r="I29" s="5" t="s">
        <v>93</v>
      </c>
      <c r="J29" s="5" t="s">
        <v>84</v>
      </c>
      <c r="K29" s="15">
        <f ca="1">NOW()-D29</f>
        <v>0.40944340277928859</v>
      </c>
      <c r="L29" s="16">
        <f t="shared" ca="1" si="0"/>
        <v>0.35597118055738974</v>
      </c>
    </row>
    <row r="30" spans="1:12" x14ac:dyDescent="0.25">
      <c r="A30" s="5" t="s">
        <v>130</v>
      </c>
      <c r="B30" s="5" t="s">
        <v>103</v>
      </c>
      <c r="C30" s="5" t="s">
        <v>92</v>
      </c>
      <c r="D30" s="17">
        <v>44882.420138888891</v>
      </c>
      <c r="E30" s="5" t="s">
        <v>80</v>
      </c>
      <c r="F30" s="5" t="s">
        <v>81</v>
      </c>
      <c r="G30" s="17">
        <v>44887.501388888886</v>
      </c>
      <c r="H30" s="5" t="s">
        <v>82</v>
      </c>
      <c r="I30" s="5" t="s">
        <v>83</v>
      </c>
      <c r="J30" s="5" t="s">
        <v>84</v>
      </c>
      <c r="K30" s="15">
        <f ca="1">NOW()-D30</f>
        <v>5.4462489583311253</v>
      </c>
      <c r="L30" s="16">
        <f t="shared" ca="1" si="0"/>
        <v>0.3649989583354909</v>
      </c>
    </row>
    <row r="31" spans="1:12" x14ac:dyDescent="0.25">
      <c r="A31" s="5" t="s">
        <v>131</v>
      </c>
      <c r="B31" s="5" t="s">
        <v>132</v>
      </c>
      <c r="C31" s="5" t="s">
        <v>92</v>
      </c>
      <c r="D31" s="17">
        <v>44887.5</v>
      </c>
      <c r="E31" s="5" t="s">
        <v>80</v>
      </c>
      <c r="F31" s="5" t="s">
        <v>81</v>
      </c>
      <c r="G31" s="17">
        <v>44887.5</v>
      </c>
      <c r="H31" s="5" t="s">
        <v>82</v>
      </c>
      <c r="I31" s="5" t="s">
        <v>89</v>
      </c>
      <c r="J31" s="5" t="s">
        <v>84</v>
      </c>
      <c r="K31" s="15">
        <f ca="1">NOW()-D31</f>
        <v>0.36638784722163109</v>
      </c>
      <c r="L31" s="16">
        <f t="shared" ca="1" si="0"/>
        <v>0.36638784722163109</v>
      </c>
    </row>
    <row r="32" spans="1:12" x14ac:dyDescent="0.25">
      <c r="A32" s="5" t="s">
        <v>133</v>
      </c>
      <c r="B32" s="5" t="s">
        <v>134</v>
      </c>
      <c r="C32" s="5" t="s">
        <v>92</v>
      </c>
      <c r="D32" s="17">
        <v>44883.741666666669</v>
      </c>
      <c r="E32" s="5" t="s">
        <v>80</v>
      </c>
      <c r="F32" s="5" t="s">
        <v>81</v>
      </c>
      <c r="G32" s="17">
        <v>44887.490972222222</v>
      </c>
      <c r="H32" s="5" t="s">
        <v>82</v>
      </c>
      <c r="I32" s="5" t="s">
        <v>93</v>
      </c>
      <c r="J32" s="5" t="s">
        <v>84</v>
      </c>
      <c r="K32" s="15">
        <f ca="1">NOW()-D32</f>
        <v>4.1247211805530242</v>
      </c>
      <c r="L32" s="16">
        <f t="shared" ca="1" si="0"/>
        <v>0.37541562499973224</v>
      </c>
    </row>
    <row r="33" spans="1:12" ht="45" x14ac:dyDescent="0.25">
      <c r="A33" s="5" t="s">
        <v>135</v>
      </c>
      <c r="B33" s="5" t="s">
        <v>91</v>
      </c>
      <c r="C33" s="5" t="s">
        <v>92</v>
      </c>
      <c r="D33" s="17">
        <v>44887.40902777778</v>
      </c>
      <c r="E33" s="18" t="s">
        <v>136</v>
      </c>
      <c r="F33" s="5" t="s">
        <v>81</v>
      </c>
      <c r="G33" s="17">
        <v>44887.480555555558</v>
      </c>
      <c r="H33" s="5" t="s">
        <v>82</v>
      </c>
      <c r="I33" s="5" t="s">
        <v>89</v>
      </c>
      <c r="J33" s="5" t="s">
        <v>84</v>
      </c>
      <c r="K33" s="15">
        <f ca="1">NOW()-D33</f>
        <v>0.45736006944207475</v>
      </c>
      <c r="L33" s="16">
        <f t="shared" ca="1" si="0"/>
        <v>0.38583229166397359</v>
      </c>
    </row>
    <row r="34" spans="1:12" x14ac:dyDescent="0.25">
      <c r="A34" s="5" t="s">
        <v>137</v>
      </c>
      <c r="B34" s="5" t="s">
        <v>138</v>
      </c>
      <c r="C34" s="5" t="s">
        <v>87</v>
      </c>
      <c r="D34" s="17">
        <v>44887.47152777778</v>
      </c>
      <c r="E34" s="5" t="s">
        <v>80</v>
      </c>
      <c r="F34" s="5" t="s">
        <v>81</v>
      </c>
      <c r="G34" s="17">
        <v>44887.47152777778</v>
      </c>
      <c r="H34" s="5" t="s">
        <v>82</v>
      </c>
      <c r="I34" s="5" t="s">
        <v>89</v>
      </c>
      <c r="J34" s="5" t="s">
        <v>84</v>
      </c>
      <c r="K34" s="15">
        <f ca="1">NOW()-D34</f>
        <v>0.39486006944207475</v>
      </c>
      <c r="L34" s="16">
        <f t="shared" ref="L34:L65" ca="1" si="1">NOW()-G34</f>
        <v>0.39486006944207475</v>
      </c>
    </row>
    <row r="35" spans="1:12" ht="45" x14ac:dyDescent="0.25">
      <c r="A35" s="5" t="s">
        <v>139</v>
      </c>
      <c r="B35" s="5" t="s">
        <v>91</v>
      </c>
      <c r="C35" s="5" t="s">
        <v>92</v>
      </c>
      <c r="D35" s="17">
        <v>44887.411111111112</v>
      </c>
      <c r="E35" s="18" t="s">
        <v>136</v>
      </c>
      <c r="F35" s="5" t="s">
        <v>81</v>
      </c>
      <c r="G35" s="17">
        <v>44887.46875</v>
      </c>
      <c r="H35" s="5" t="s">
        <v>82</v>
      </c>
      <c r="I35" s="5" t="s">
        <v>89</v>
      </c>
      <c r="J35" s="5" t="s">
        <v>84</v>
      </c>
      <c r="K35" s="15">
        <f ca="1">NOW()-D35</f>
        <v>0.45527673610922648</v>
      </c>
      <c r="L35" s="16">
        <f t="shared" ca="1" si="1"/>
        <v>0.39763784722163109</v>
      </c>
    </row>
    <row r="36" spans="1:12" ht="45" x14ac:dyDescent="0.25">
      <c r="A36" s="5" t="s">
        <v>140</v>
      </c>
      <c r="B36" s="5" t="s">
        <v>91</v>
      </c>
      <c r="C36" s="5" t="s">
        <v>92</v>
      </c>
      <c r="D36" s="17">
        <v>44887.42083333333</v>
      </c>
      <c r="E36" s="18" t="s">
        <v>136</v>
      </c>
      <c r="F36" s="5" t="s">
        <v>81</v>
      </c>
      <c r="G36" s="17">
        <v>44887.46875</v>
      </c>
      <c r="H36" s="5" t="s">
        <v>82</v>
      </c>
      <c r="I36" s="5" t="s">
        <v>89</v>
      </c>
      <c r="J36" s="5" t="s">
        <v>84</v>
      </c>
      <c r="K36" s="15">
        <f ca="1">NOW()-D36</f>
        <v>0.4455545138916932</v>
      </c>
      <c r="L36" s="16">
        <f t="shared" ca="1" si="1"/>
        <v>0.39763784722163109</v>
      </c>
    </row>
    <row r="37" spans="1:12" x14ac:dyDescent="0.25">
      <c r="A37" s="5" t="s">
        <v>141</v>
      </c>
      <c r="B37" s="5" t="s">
        <v>142</v>
      </c>
      <c r="C37" s="5" t="s">
        <v>92</v>
      </c>
      <c r="D37" s="17">
        <v>44886.716666666667</v>
      </c>
      <c r="E37" s="5" t="s">
        <v>80</v>
      </c>
      <c r="F37" s="5" t="s">
        <v>81</v>
      </c>
      <c r="G37" s="17">
        <v>44887.461111111108</v>
      </c>
      <c r="H37" s="5" t="s">
        <v>82</v>
      </c>
      <c r="I37" s="5" t="s">
        <v>93</v>
      </c>
      <c r="J37" s="5" t="s">
        <v>84</v>
      </c>
      <c r="K37" s="15">
        <f ca="1">NOW()-D37</f>
        <v>1.1497211805544794</v>
      </c>
      <c r="L37" s="16">
        <f t="shared" ca="1" si="1"/>
        <v>0.40527673611359205</v>
      </c>
    </row>
    <row r="38" spans="1:12" x14ac:dyDescent="0.25">
      <c r="A38" s="5" t="s">
        <v>143</v>
      </c>
      <c r="B38" s="5" t="s">
        <v>144</v>
      </c>
      <c r="C38" s="5" t="s">
        <v>87</v>
      </c>
      <c r="D38" s="17">
        <v>44887.461111111108</v>
      </c>
      <c r="E38" s="5" t="s">
        <v>80</v>
      </c>
      <c r="F38" s="5" t="s">
        <v>81</v>
      </c>
      <c r="G38" s="17">
        <v>44887.461111111108</v>
      </c>
      <c r="H38" s="5" t="s">
        <v>82</v>
      </c>
      <c r="I38" s="5" t="s">
        <v>89</v>
      </c>
      <c r="J38" s="5" t="s">
        <v>84</v>
      </c>
      <c r="K38" s="15">
        <f ca="1">NOW()-D38</f>
        <v>0.40527673611359205</v>
      </c>
      <c r="L38" s="16">
        <f t="shared" ca="1" si="1"/>
        <v>0.40527673611359205</v>
      </c>
    </row>
    <row r="39" spans="1:12" x14ac:dyDescent="0.25">
      <c r="A39" s="5" t="s">
        <v>145</v>
      </c>
      <c r="B39" s="5" t="s">
        <v>146</v>
      </c>
      <c r="C39" s="5" t="s">
        <v>92</v>
      </c>
      <c r="D39" s="17">
        <v>44876.705555555556</v>
      </c>
      <c r="E39" s="5" t="s">
        <v>80</v>
      </c>
      <c r="F39" s="5" t="s">
        <v>81</v>
      </c>
      <c r="G39" s="17">
        <v>44887.453472222223</v>
      </c>
      <c r="H39" s="5" t="s">
        <v>82</v>
      </c>
      <c r="I39" s="5" t="s">
        <v>89</v>
      </c>
      <c r="J39" s="5" t="s">
        <v>84</v>
      </c>
      <c r="K39" s="15">
        <f ca="1">NOW()-D39</f>
        <v>11.160832291665429</v>
      </c>
      <c r="L39" s="16">
        <f t="shared" ca="1" si="1"/>
        <v>0.41291562499827705</v>
      </c>
    </row>
    <row r="40" spans="1:12" x14ac:dyDescent="0.25">
      <c r="A40" s="5" t="s">
        <v>147</v>
      </c>
      <c r="B40" s="5" t="s">
        <v>103</v>
      </c>
      <c r="C40" s="5" t="s">
        <v>92</v>
      </c>
      <c r="D40" s="17">
        <v>44886.491666666669</v>
      </c>
      <c r="E40" s="5" t="s">
        <v>80</v>
      </c>
      <c r="F40" s="5" t="s">
        <v>81</v>
      </c>
      <c r="G40" s="17">
        <v>44887.45208333333</v>
      </c>
      <c r="H40" s="5" t="s">
        <v>82</v>
      </c>
      <c r="I40" s="5" t="s">
        <v>93</v>
      </c>
      <c r="J40" s="5" t="s">
        <v>84</v>
      </c>
      <c r="K40" s="15">
        <f ca="1">NOW()-D40</f>
        <v>1.3747211805530242</v>
      </c>
      <c r="L40" s="16">
        <f t="shared" ca="1" si="1"/>
        <v>0.4143045138916932</v>
      </c>
    </row>
    <row r="41" spans="1:12" x14ac:dyDescent="0.25">
      <c r="A41" s="5" t="s">
        <v>148</v>
      </c>
      <c r="B41" s="5" t="s">
        <v>142</v>
      </c>
      <c r="C41" s="5" t="s">
        <v>79</v>
      </c>
      <c r="D41" s="17">
        <v>44887.447222222225</v>
      </c>
      <c r="E41" s="5" t="s">
        <v>80</v>
      </c>
      <c r="F41" s="5" t="s">
        <v>81</v>
      </c>
      <c r="G41" s="17">
        <v>44887.447222222225</v>
      </c>
      <c r="H41" s="5" t="s">
        <v>82</v>
      </c>
      <c r="I41" s="5" t="s">
        <v>83</v>
      </c>
      <c r="J41" s="5" t="s">
        <v>84</v>
      </c>
      <c r="K41" s="15">
        <f ca="1">NOW()-D41</f>
        <v>0.41916562499682186</v>
      </c>
      <c r="L41" s="16">
        <f t="shared" ca="1" si="1"/>
        <v>0.41916562499682186</v>
      </c>
    </row>
    <row r="42" spans="1:12" x14ac:dyDescent="0.25">
      <c r="A42" s="5" t="s">
        <v>149</v>
      </c>
      <c r="B42" s="5" t="s">
        <v>86</v>
      </c>
      <c r="C42" s="5" t="s">
        <v>87</v>
      </c>
      <c r="D42" s="17">
        <v>44887.44027777778</v>
      </c>
      <c r="E42" s="5" t="s">
        <v>80</v>
      </c>
      <c r="F42" s="5" t="s">
        <v>81</v>
      </c>
      <c r="G42" s="17">
        <v>44887.44027777778</v>
      </c>
      <c r="H42" s="5" t="s">
        <v>88</v>
      </c>
      <c r="I42" s="5" t="s">
        <v>89</v>
      </c>
      <c r="J42" s="5" t="s">
        <v>84</v>
      </c>
      <c r="K42" s="15">
        <f ca="1">NOW()-D42</f>
        <v>0.42611006944207475</v>
      </c>
      <c r="L42" s="16">
        <f t="shared" ca="1" si="1"/>
        <v>0.42611006944207475</v>
      </c>
    </row>
    <row r="43" spans="1:12" x14ac:dyDescent="0.25">
      <c r="A43" s="5" t="s">
        <v>150</v>
      </c>
      <c r="B43" s="5" t="s">
        <v>151</v>
      </c>
      <c r="C43" s="5" t="s">
        <v>79</v>
      </c>
      <c r="D43" s="17">
        <v>44887.419444444444</v>
      </c>
      <c r="E43" s="5" t="s">
        <v>80</v>
      </c>
      <c r="F43" s="5" t="s">
        <v>81</v>
      </c>
      <c r="G43" s="17">
        <v>44887.419444444444</v>
      </c>
      <c r="H43" s="5" t="s">
        <v>82</v>
      </c>
      <c r="I43" s="5" t="s">
        <v>93</v>
      </c>
      <c r="J43" s="5" t="s">
        <v>84</v>
      </c>
      <c r="K43" s="15">
        <f ca="1">NOW()-D43</f>
        <v>0.4469434027778334</v>
      </c>
      <c r="L43" s="16">
        <f t="shared" ca="1" si="1"/>
        <v>0.4469434027778334</v>
      </c>
    </row>
    <row r="44" spans="1:12" x14ac:dyDescent="0.25">
      <c r="A44" s="5" t="s">
        <v>152</v>
      </c>
      <c r="B44" s="5" t="s">
        <v>103</v>
      </c>
      <c r="C44" s="5" t="s">
        <v>92</v>
      </c>
      <c r="D44" s="17">
        <v>44882.421527777777</v>
      </c>
      <c r="E44" s="5" t="s">
        <v>80</v>
      </c>
      <c r="F44" s="5" t="s">
        <v>81</v>
      </c>
      <c r="G44" s="17">
        <v>44887.409722222219</v>
      </c>
      <c r="H44" s="5" t="s">
        <v>82</v>
      </c>
      <c r="I44" s="5" t="s">
        <v>83</v>
      </c>
      <c r="J44" s="5" t="s">
        <v>84</v>
      </c>
      <c r="K44" s="15">
        <f ca="1">NOW()-D44</f>
        <v>5.4448600694449851</v>
      </c>
      <c r="L44" s="16">
        <f t="shared" ca="1" si="1"/>
        <v>0.45666562500264263</v>
      </c>
    </row>
    <row r="45" spans="1:12" x14ac:dyDescent="0.25">
      <c r="A45" s="5" t="s">
        <v>153</v>
      </c>
      <c r="B45" s="5" t="s">
        <v>142</v>
      </c>
      <c r="C45" s="5" t="s">
        <v>92</v>
      </c>
      <c r="D45" s="17">
        <v>44872.59375</v>
      </c>
      <c r="E45" s="5" t="s">
        <v>80</v>
      </c>
      <c r="F45" s="5" t="s">
        <v>81</v>
      </c>
      <c r="G45" s="17">
        <v>44887.374305555553</v>
      </c>
      <c r="H45" s="5" t="s">
        <v>82</v>
      </c>
      <c r="I45" s="5" t="s">
        <v>93</v>
      </c>
      <c r="J45" s="5" t="s">
        <v>84</v>
      </c>
      <c r="K45" s="15">
        <f ca="1">NOW()-D45</f>
        <v>15.272637847221631</v>
      </c>
      <c r="L45" s="16">
        <f t="shared" ca="1" si="1"/>
        <v>0.49208229166833917</v>
      </c>
    </row>
    <row r="46" spans="1:12" x14ac:dyDescent="0.25">
      <c r="A46" s="5" t="s">
        <v>154</v>
      </c>
      <c r="B46" s="5" t="s">
        <v>103</v>
      </c>
      <c r="C46" s="5" t="s">
        <v>92</v>
      </c>
      <c r="D46" s="17">
        <v>44879.740277777775</v>
      </c>
      <c r="E46" s="5" t="s">
        <v>80</v>
      </c>
      <c r="F46" s="5" t="s">
        <v>81</v>
      </c>
      <c r="G46" s="17">
        <v>44887.370138888888</v>
      </c>
      <c r="H46" s="5" t="s">
        <v>82</v>
      </c>
      <c r="I46" s="5" t="s">
        <v>93</v>
      </c>
      <c r="J46" s="5" t="s">
        <v>84</v>
      </c>
      <c r="K46" s="15">
        <f ca="1">NOW()-D46</f>
        <v>8.1261100694464403</v>
      </c>
      <c r="L46" s="16">
        <f t="shared" ca="1" si="1"/>
        <v>0.49624895833403571</v>
      </c>
    </row>
    <row r="47" spans="1:12" x14ac:dyDescent="0.25">
      <c r="A47" s="5" t="s">
        <v>155</v>
      </c>
      <c r="B47" s="5" t="s">
        <v>156</v>
      </c>
      <c r="C47" s="5" t="s">
        <v>87</v>
      </c>
      <c r="D47" s="17">
        <v>44887.367361111108</v>
      </c>
      <c r="E47" s="5" t="s">
        <v>80</v>
      </c>
      <c r="F47" s="5" t="s">
        <v>81</v>
      </c>
      <c r="G47" s="17">
        <v>44887.367361111108</v>
      </c>
      <c r="H47" s="5" t="s">
        <v>88</v>
      </c>
      <c r="I47" s="5" t="s">
        <v>89</v>
      </c>
      <c r="J47" s="5" t="s">
        <v>84</v>
      </c>
      <c r="K47" s="15">
        <f ca="1">NOW()-D47</f>
        <v>0.49902673611359205</v>
      </c>
      <c r="L47" s="16">
        <f t="shared" ca="1" si="1"/>
        <v>0.49902673611359205</v>
      </c>
    </row>
    <row r="48" spans="1:12" x14ac:dyDescent="0.25">
      <c r="A48" s="5" t="s">
        <v>157</v>
      </c>
      <c r="B48" s="5" t="s">
        <v>144</v>
      </c>
      <c r="C48" s="5" t="s">
        <v>87</v>
      </c>
      <c r="D48" s="17">
        <v>44887.352777777778</v>
      </c>
      <c r="E48" s="5" t="s">
        <v>80</v>
      </c>
      <c r="F48" s="5" t="s">
        <v>81</v>
      </c>
      <c r="G48" s="17">
        <v>44887.352777777778</v>
      </c>
      <c r="H48" s="5" t="s">
        <v>82</v>
      </c>
      <c r="I48" s="5" t="s">
        <v>89</v>
      </c>
      <c r="J48" s="5" t="s">
        <v>84</v>
      </c>
      <c r="K48" s="15">
        <f ca="1">NOW()-D48</f>
        <v>0.51361006944352994</v>
      </c>
      <c r="L48" s="16">
        <f t="shared" ca="1" si="1"/>
        <v>0.51361006944352994</v>
      </c>
    </row>
    <row r="49" spans="1:12" x14ac:dyDescent="0.25">
      <c r="A49" s="5" t="s">
        <v>158</v>
      </c>
      <c r="B49" s="5" t="s">
        <v>107</v>
      </c>
      <c r="C49" s="5" t="s">
        <v>92</v>
      </c>
      <c r="D49" s="17">
        <v>44883.491666666669</v>
      </c>
      <c r="E49" s="5" t="s">
        <v>80</v>
      </c>
      <c r="F49" s="5" t="s">
        <v>81</v>
      </c>
      <c r="G49" s="17">
        <v>44887.336111111108</v>
      </c>
      <c r="H49" s="5" t="s">
        <v>82</v>
      </c>
      <c r="I49" s="5" t="s">
        <v>93</v>
      </c>
      <c r="J49" s="5" t="s">
        <v>84</v>
      </c>
      <c r="K49" s="15">
        <f ca="1">NOW()-D49</f>
        <v>4.3747211805530242</v>
      </c>
      <c r="L49" s="16">
        <f t="shared" ca="1" si="1"/>
        <v>0.53027673611359205</v>
      </c>
    </row>
    <row r="50" spans="1:12" x14ac:dyDescent="0.25">
      <c r="A50" s="5" t="s">
        <v>159</v>
      </c>
      <c r="B50" s="5" t="s">
        <v>107</v>
      </c>
      <c r="C50" s="5" t="s">
        <v>92</v>
      </c>
      <c r="D50" s="17">
        <v>44883.494444444441</v>
      </c>
      <c r="E50" s="5" t="s">
        <v>80</v>
      </c>
      <c r="F50" s="5" t="s">
        <v>81</v>
      </c>
      <c r="G50" s="17">
        <v>44887.336111111108</v>
      </c>
      <c r="H50" s="5" t="s">
        <v>82</v>
      </c>
      <c r="I50" s="5" t="s">
        <v>93</v>
      </c>
      <c r="J50" s="5" t="s">
        <v>84</v>
      </c>
      <c r="K50" s="15">
        <f ca="1">NOW()-D50</f>
        <v>4.3719434027807438</v>
      </c>
      <c r="L50" s="16">
        <f t="shared" ca="1" si="1"/>
        <v>0.53027673611359205</v>
      </c>
    </row>
    <row r="51" spans="1:12" x14ac:dyDescent="0.25">
      <c r="A51" s="5" t="s">
        <v>160</v>
      </c>
      <c r="B51" s="5" t="s">
        <v>107</v>
      </c>
      <c r="C51" s="5" t="s">
        <v>92</v>
      </c>
      <c r="D51" s="17">
        <v>44883.496527777781</v>
      </c>
      <c r="E51" s="5" t="s">
        <v>80</v>
      </c>
      <c r="F51" s="5" t="s">
        <v>81</v>
      </c>
      <c r="G51" s="17">
        <v>44887.336111111108</v>
      </c>
      <c r="H51" s="5" t="s">
        <v>82</v>
      </c>
      <c r="I51" s="5" t="s">
        <v>93</v>
      </c>
      <c r="J51" s="5" t="s">
        <v>84</v>
      </c>
      <c r="K51" s="15">
        <f ca="1">NOW()-D51</f>
        <v>4.3698600694406196</v>
      </c>
      <c r="L51" s="16">
        <f t="shared" ca="1" si="1"/>
        <v>0.53027673611359205</v>
      </c>
    </row>
    <row r="52" spans="1:12" x14ac:dyDescent="0.25">
      <c r="A52" s="5" t="s">
        <v>161</v>
      </c>
      <c r="B52" s="5" t="s">
        <v>107</v>
      </c>
      <c r="C52" s="5" t="s">
        <v>92</v>
      </c>
      <c r="D52" s="17">
        <v>44883.490277777775</v>
      </c>
      <c r="E52" s="5" t="s">
        <v>80</v>
      </c>
      <c r="F52" s="5" t="s">
        <v>81</v>
      </c>
      <c r="G52" s="17">
        <v>44887.335416666669</v>
      </c>
      <c r="H52" s="5" t="s">
        <v>82</v>
      </c>
      <c r="I52" s="5" t="s">
        <v>93</v>
      </c>
      <c r="J52" s="5" t="s">
        <v>84</v>
      </c>
      <c r="K52" s="15">
        <f ca="1">NOW()-D52</f>
        <v>4.3761100694464403</v>
      </c>
      <c r="L52" s="16">
        <f t="shared" ca="1" si="1"/>
        <v>0.53097118055302417</v>
      </c>
    </row>
    <row r="53" spans="1:12" x14ac:dyDescent="0.25">
      <c r="A53" s="5" t="s">
        <v>162</v>
      </c>
      <c r="B53" s="5" t="s">
        <v>107</v>
      </c>
      <c r="C53" s="5" t="s">
        <v>92</v>
      </c>
      <c r="D53" s="17">
        <v>44883.488888888889</v>
      </c>
      <c r="E53" s="5" t="s">
        <v>80</v>
      </c>
      <c r="F53" s="5" t="s">
        <v>81</v>
      </c>
      <c r="G53" s="17">
        <v>44887.335416666669</v>
      </c>
      <c r="H53" s="5" t="s">
        <v>82</v>
      </c>
      <c r="I53" s="5" t="s">
        <v>93</v>
      </c>
      <c r="J53" s="5" t="s">
        <v>84</v>
      </c>
      <c r="K53" s="15">
        <f ca="1">NOW()-D53</f>
        <v>4.3774989583325805</v>
      </c>
      <c r="L53" s="16">
        <f t="shared" ca="1" si="1"/>
        <v>0.53097118055302417</v>
      </c>
    </row>
    <row r="54" spans="1:12" x14ac:dyDescent="0.25">
      <c r="A54" s="5" t="s">
        <v>163</v>
      </c>
      <c r="B54" s="5" t="s">
        <v>110</v>
      </c>
      <c r="C54" s="5" t="s">
        <v>79</v>
      </c>
      <c r="D54" s="17">
        <v>44883.609722222223</v>
      </c>
      <c r="E54" s="5" t="s">
        <v>80</v>
      </c>
      <c r="F54" s="5" t="s">
        <v>81</v>
      </c>
      <c r="G54" s="17">
        <v>44887.331944444442</v>
      </c>
      <c r="H54" s="5" t="s">
        <v>82</v>
      </c>
      <c r="I54" s="5" t="s">
        <v>89</v>
      </c>
      <c r="J54" s="5" t="s">
        <v>84</v>
      </c>
      <c r="K54" s="15">
        <f ca="1">NOW()-D54</f>
        <v>4.2566656249982771</v>
      </c>
      <c r="L54" s="16">
        <f t="shared" ca="1" si="1"/>
        <v>0.53444340277928859</v>
      </c>
    </row>
    <row r="55" spans="1:12" x14ac:dyDescent="0.25">
      <c r="A55" s="5" t="s">
        <v>164</v>
      </c>
      <c r="B55" s="5" t="s">
        <v>165</v>
      </c>
      <c r="C55" s="5" t="s">
        <v>92</v>
      </c>
      <c r="D55" s="17">
        <v>44886.716666666667</v>
      </c>
      <c r="E55" s="5" t="s">
        <v>80</v>
      </c>
      <c r="F55" s="5" t="s">
        <v>166</v>
      </c>
      <c r="G55" s="17">
        <v>44886.720833333333</v>
      </c>
      <c r="H55" s="5" t="s">
        <v>88</v>
      </c>
      <c r="I55" s="5" t="s">
        <v>89</v>
      </c>
      <c r="J55" s="5" t="s">
        <v>84</v>
      </c>
      <c r="K55" s="15">
        <f ca="1">NOW()-D55</f>
        <v>1.1497211805544794</v>
      </c>
      <c r="L55" s="16">
        <f t="shared" ca="1" si="1"/>
        <v>1.1455545138887828</v>
      </c>
    </row>
    <row r="56" spans="1:12" x14ac:dyDescent="0.25">
      <c r="A56" s="5" t="s">
        <v>167</v>
      </c>
      <c r="B56" s="5" t="s">
        <v>168</v>
      </c>
      <c r="C56" s="5" t="s">
        <v>92</v>
      </c>
      <c r="D56" s="17">
        <v>44886.618750000001</v>
      </c>
      <c r="E56" s="5" t="s">
        <v>80</v>
      </c>
      <c r="F56" s="5" t="s">
        <v>81</v>
      </c>
      <c r="G56" s="17">
        <v>44886.70416666667</v>
      </c>
      <c r="H56" s="5" t="s">
        <v>82</v>
      </c>
      <c r="I56" s="5" t="s">
        <v>89</v>
      </c>
      <c r="J56" s="5" t="s">
        <v>84</v>
      </c>
      <c r="K56" s="15">
        <f ca="1">NOW()-D56</f>
        <v>1.2476378472201759</v>
      </c>
      <c r="L56" s="16">
        <f t="shared" ca="1" si="1"/>
        <v>1.162221180551569</v>
      </c>
    </row>
    <row r="57" spans="1:12" x14ac:dyDescent="0.25">
      <c r="A57" s="5" t="s">
        <v>169</v>
      </c>
      <c r="B57" s="5" t="s">
        <v>170</v>
      </c>
      <c r="C57" s="5" t="s">
        <v>92</v>
      </c>
      <c r="D57" s="17">
        <v>44882.676388888889</v>
      </c>
      <c r="E57" s="5" t="s">
        <v>80</v>
      </c>
      <c r="F57" s="5" t="s">
        <v>81</v>
      </c>
      <c r="G57" s="17">
        <v>44886.703472222223</v>
      </c>
      <c r="H57" s="5" t="s">
        <v>82</v>
      </c>
      <c r="I57" s="5" t="s">
        <v>89</v>
      </c>
      <c r="J57" s="5" t="s">
        <v>84</v>
      </c>
      <c r="K57" s="15">
        <f ca="1">NOW()-D57</f>
        <v>5.1899989583325805</v>
      </c>
      <c r="L57" s="16">
        <f t="shared" ca="1" si="1"/>
        <v>1.1629156249982771</v>
      </c>
    </row>
    <row r="58" spans="1:12" ht="30" x14ac:dyDescent="0.25">
      <c r="A58" s="5" t="s">
        <v>171</v>
      </c>
      <c r="B58" s="5" t="s">
        <v>172</v>
      </c>
      <c r="C58" s="5" t="s">
        <v>87</v>
      </c>
      <c r="D58" s="17">
        <v>44886.663888888892</v>
      </c>
      <c r="E58" s="18" t="s">
        <v>173</v>
      </c>
      <c r="F58" s="5" t="s">
        <v>81</v>
      </c>
      <c r="G58" s="17">
        <v>44886.663888888892</v>
      </c>
      <c r="H58" s="5" t="s">
        <v>82</v>
      </c>
      <c r="I58" s="5" t="s">
        <v>89</v>
      </c>
      <c r="J58" s="5" t="s">
        <v>84</v>
      </c>
      <c r="K58" s="15">
        <f ca="1">NOW()-D58</f>
        <v>1.2024989583296701</v>
      </c>
      <c r="L58" s="16">
        <f t="shared" ca="1" si="1"/>
        <v>1.2024989583296701</v>
      </c>
    </row>
    <row r="59" spans="1:12" x14ac:dyDescent="0.25">
      <c r="A59" s="5" t="s">
        <v>174</v>
      </c>
      <c r="B59" s="5" t="s">
        <v>175</v>
      </c>
      <c r="C59" s="5" t="s">
        <v>87</v>
      </c>
      <c r="D59" s="17">
        <v>44886.620833333334</v>
      </c>
      <c r="E59" s="5" t="s">
        <v>80</v>
      </c>
      <c r="F59" s="5" t="s">
        <v>81</v>
      </c>
      <c r="G59" s="17">
        <v>44886.620833333334</v>
      </c>
      <c r="H59" s="5" t="s">
        <v>88</v>
      </c>
      <c r="I59" s="5" t="s">
        <v>89</v>
      </c>
      <c r="J59" s="5" t="s">
        <v>84</v>
      </c>
      <c r="K59" s="15">
        <f ca="1">NOW()-D59</f>
        <v>1.2455545138873276</v>
      </c>
      <c r="L59" s="16">
        <f t="shared" ca="1" si="1"/>
        <v>1.2455545138873276</v>
      </c>
    </row>
    <row r="60" spans="1:12" x14ac:dyDescent="0.25">
      <c r="A60" s="5" t="s">
        <v>176</v>
      </c>
      <c r="B60" s="5" t="s">
        <v>146</v>
      </c>
      <c r="C60" s="5" t="s">
        <v>79</v>
      </c>
      <c r="D60" s="17">
        <v>44886.380555555559</v>
      </c>
      <c r="E60" s="5" t="s">
        <v>80</v>
      </c>
      <c r="F60" s="5" t="s">
        <v>81</v>
      </c>
      <c r="G60" s="17">
        <v>44886.579861111109</v>
      </c>
      <c r="H60" s="5" t="s">
        <v>82</v>
      </c>
      <c r="I60" s="5" t="s">
        <v>93</v>
      </c>
      <c r="J60" s="5" t="s">
        <v>84</v>
      </c>
      <c r="K60" s="15">
        <f ca="1">NOW()-D60</f>
        <v>1.4858322916625184</v>
      </c>
      <c r="L60" s="16">
        <f t="shared" ca="1" si="1"/>
        <v>1.2865267361121369</v>
      </c>
    </row>
    <row r="61" spans="1:12" x14ac:dyDescent="0.25">
      <c r="A61" s="5" t="s">
        <v>177</v>
      </c>
      <c r="B61" s="5" t="s">
        <v>146</v>
      </c>
      <c r="C61" s="5" t="s">
        <v>92</v>
      </c>
      <c r="D61" s="17">
        <v>44886.384027777778</v>
      </c>
      <c r="E61" s="5" t="s">
        <v>80</v>
      </c>
      <c r="F61" s="5" t="s">
        <v>81</v>
      </c>
      <c r="G61" s="17">
        <v>44886.57916666667</v>
      </c>
      <c r="H61" s="5" t="s">
        <v>82</v>
      </c>
      <c r="I61" s="5" t="s">
        <v>93</v>
      </c>
      <c r="J61" s="5" t="s">
        <v>84</v>
      </c>
      <c r="K61" s="15">
        <f ca="1">NOW()-D61</f>
        <v>1.4823600694435299</v>
      </c>
      <c r="L61" s="16">
        <f t="shared" ca="1" si="1"/>
        <v>1.287221180551569</v>
      </c>
    </row>
    <row r="62" spans="1:12" ht="30" x14ac:dyDescent="0.25">
      <c r="A62" s="5" t="s">
        <v>178</v>
      </c>
      <c r="B62" s="5" t="s">
        <v>134</v>
      </c>
      <c r="C62" s="5" t="s">
        <v>79</v>
      </c>
      <c r="D62" s="17">
        <v>44886.577777777777</v>
      </c>
      <c r="E62" s="18" t="s">
        <v>179</v>
      </c>
      <c r="F62" s="5" t="s">
        <v>81</v>
      </c>
      <c r="G62" s="17">
        <v>44886.577777777777</v>
      </c>
      <c r="H62" s="5" t="s">
        <v>82</v>
      </c>
      <c r="I62" s="5" t="s">
        <v>89</v>
      </c>
      <c r="J62" s="5" t="s">
        <v>84</v>
      </c>
      <c r="K62" s="15">
        <f ca="1">NOW()-D62</f>
        <v>1.2886100694449851</v>
      </c>
      <c r="L62" s="16">
        <f t="shared" ca="1" si="1"/>
        <v>1.2886100694449851</v>
      </c>
    </row>
    <row r="63" spans="1:12" x14ac:dyDescent="0.25">
      <c r="A63" s="5" t="s">
        <v>180</v>
      </c>
      <c r="B63" s="5" t="s">
        <v>181</v>
      </c>
      <c r="C63" s="5" t="s">
        <v>92</v>
      </c>
      <c r="D63" s="17">
        <v>44886.459027777775</v>
      </c>
      <c r="E63" s="5" t="s">
        <v>80</v>
      </c>
      <c r="F63" s="5" t="s">
        <v>81</v>
      </c>
      <c r="G63" s="17">
        <v>44886.525000000001</v>
      </c>
      <c r="H63" s="5" t="s">
        <v>82</v>
      </c>
      <c r="I63" s="5" t="s">
        <v>89</v>
      </c>
      <c r="J63" s="5" t="s">
        <v>84</v>
      </c>
      <c r="K63" s="15">
        <f ca="1">NOW()-D63</f>
        <v>1.4073600694464403</v>
      </c>
      <c r="L63" s="16">
        <f t="shared" ca="1" si="1"/>
        <v>1.3413878472201759</v>
      </c>
    </row>
    <row r="64" spans="1:12" x14ac:dyDescent="0.25">
      <c r="A64" s="5" t="s">
        <v>182</v>
      </c>
      <c r="B64" s="5" t="s">
        <v>110</v>
      </c>
      <c r="C64" s="5" t="s">
        <v>92</v>
      </c>
      <c r="D64" s="17">
        <v>44876.648611111108</v>
      </c>
      <c r="E64" s="5" t="s">
        <v>80</v>
      </c>
      <c r="F64" s="5" t="s">
        <v>81</v>
      </c>
      <c r="G64" s="17">
        <v>44886.523611111108</v>
      </c>
      <c r="H64" s="5" t="s">
        <v>82</v>
      </c>
      <c r="I64" s="5" t="s">
        <v>93</v>
      </c>
      <c r="J64" s="5" t="s">
        <v>183</v>
      </c>
      <c r="K64" s="15">
        <f ca="1">NOW()-D64</f>
        <v>11.217776736113592</v>
      </c>
      <c r="L64" s="16">
        <f t="shared" ca="1" si="1"/>
        <v>1.3427767361135921</v>
      </c>
    </row>
    <row r="65" spans="1:12" ht="60" x14ac:dyDescent="0.25">
      <c r="A65" s="5" t="s">
        <v>184</v>
      </c>
      <c r="B65" s="5" t="s">
        <v>185</v>
      </c>
      <c r="C65" s="5" t="s">
        <v>92</v>
      </c>
      <c r="D65" s="17">
        <v>44886.370138888888</v>
      </c>
      <c r="E65" s="18" t="s">
        <v>186</v>
      </c>
      <c r="F65" s="5" t="s">
        <v>166</v>
      </c>
      <c r="G65" s="17">
        <v>44886.519444444442</v>
      </c>
      <c r="H65" s="5" t="s">
        <v>82</v>
      </c>
      <c r="I65" s="5" t="s">
        <v>83</v>
      </c>
      <c r="J65" s="5" t="s">
        <v>84</v>
      </c>
      <c r="K65" s="15">
        <f ca="1">NOW()-D65</f>
        <v>1.4962489583340357</v>
      </c>
      <c r="L65" s="16">
        <f t="shared" ca="1" si="1"/>
        <v>1.3469434027792886</v>
      </c>
    </row>
    <row r="66" spans="1:12" x14ac:dyDescent="0.25">
      <c r="A66" s="5" t="s">
        <v>187</v>
      </c>
      <c r="B66" s="5" t="s">
        <v>188</v>
      </c>
      <c r="C66" s="5" t="s">
        <v>87</v>
      </c>
      <c r="D66" s="17">
        <v>44886.461805555555</v>
      </c>
      <c r="E66" s="5" t="s">
        <v>80</v>
      </c>
      <c r="F66" s="5" t="s">
        <v>81</v>
      </c>
      <c r="G66" s="17">
        <v>44886.461805555555</v>
      </c>
      <c r="H66" s="5" t="s">
        <v>88</v>
      </c>
      <c r="I66" s="5" t="s">
        <v>89</v>
      </c>
      <c r="J66" s="5" t="s">
        <v>84</v>
      </c>
      <c r="K66" s="15">
        <f ca="1">NOW()-D66</f>
        <v>1.404582291666884</v>
      </c>
      <c r="L66" s="16">
        <f t="shared" ref="L66:L97" ca="1" si="2">NOW()-G66</f>
        <v>1.404582291666884</v>
      </c>
    </row>
    <row r="67" spans="1:12" x14ac:dyDescent="0.25">
      <c r="A67" s="5" t="s">
        <v>189</v>
      </c>
      <c r="B67" s="5" t="s">
        <v>190</v>
      </c>
      <c r="C67" s="5" t="s">
        <v>79</v>
      </c>
      <c r="D67" s="17">
        <v>44886.414583333331</v>
      </c>
      <c r="E67" s="5" t="s">
        <v>80</v>
      </c>
      <c r="F67" s="5" t="s">
        <v>81</v>
      </c>
      <c r="G67" s="17">
        <v>44886.45416666667</v>
      </c>
      <c r="H67" s="5" t="s">
        <v>82</v>
      </c>
      <c r="I67" s="5" t="s">
        <v>93</v>
      </c>
      <c r="J67" s="5" t="s">
        <v>84</v>
      </c>
      <c r="K67" s="15">
        <f ca="1">NOW()-D67</f>
        <v>1.451804513890238</v>
      </c>
      <c r="L67" s="16">
        <f t="shared" ca="1" si="2"/>
        <v>1.412221180551569</v>
      </c>
    </row>
    <row r="68" spans="1:12" x14ac:dyDescent="0.25">
      <c r="A68" s="5" t="s">
        <v>191</v>
      </c>
      <c r="B68" s="5" t="s">
        <v>78</v>
      </c>
      <c r="C68" s="5" t="s">
        <v>92</v>
      </c>
      <c r="D68" s="17">
        <v>44886.37777777778</v>
      </c>
      <c r="E68" s="5" t="s">
        <v>80</v>
      </c>
      <c r="F68" s="5" t="s">
        <v>81</v>
      </c>
      <c r="G68" s="17">
        <v>44886.442361111112</v>
      </c>
      <c r="H68" s="5" t="s">
        <v>82</v>
      </c>
      <c r="I68" s="5" t="s">
        <v>93</v>
      </c>
      <c r="J68" s="5" t="s">
        <v>84</v>
      </c>
      <c r="K68" s="15">
        <f ca="1">NOW()-D68</f>
        <v>1.4886100694420747</v>
      </c>
      <c r="L68" s="16">
        <f t="shared" ca="1" si="2"/>
        <v>1.4240267361092265</v>
      </c>
    </row>
    <row r="69" spans="1:12" x14ac:dyDescent="0.25">
      <c r="A69" s="5" t="s">
        <v>192</v>
      </c>
      <c r="B69" s="5" t="s">
        <v>193</v>
      </c>
      <c r="C69" s="5" t="s">
        <v>92</v>
      </c>
      <c r="D69" s="17">
        <v>44881.699305555558</v>
      </c>
      <c r="E69" s="5" t="s">
        <v>80</v>
      </c>
      <c r="F69" s="5" t="s">
        <v>81</v>
      </c>
      <c r="G69" s="17">
        <v>44886.435416666667</v>
      </c>
      <c r="H69" s="5" t="s">
        <v>82</v>
      </c>
      <c r="I69" s="5" t="s">
        <v>89</v>
      </c>
      <c r="J69" s="5" t="s">
        <v>84</v>
      </c>
      <c r="K69" s="15">
        <f ca="1">NOW()-D69</f>
        <v>6.1670822916639736</v>
      </c>
      <c r="L69" s="16">
        <f t="shared" ca="1" si="2"/>
        <v>1.4309711805544794</v>
      </c>
    </row>
    <row r="70" spans="1:12" x14ac:dyDescent="0.25">
      <c r="A70" s="5" t="s">
        <v>194</v>
      </c>
      <c r="B70" s="5" t="s">
        <v>78</v>
      </c>
      <c r="C70" s="5" t="s">
        <v>79</v>
      </c>
      <c r="D70" s="17">
        <v>44882.370138888888</v>
      </c>
      <c r="E70" s="5" t="s">
        <v>80</v>
      </c>
      <c r="F70" s="5" t="s">
        <v>81</v>
      </c>
      <c r="G70" s="17">
        <v>44886.424305555556</v>
      </c>
      <c r="H70" s="5" t="s">
        <v>82</v>
      </c>
      <c r="I70" s="5" t="s">
        <v>93</v>
      </c>
      <c r="J70" s="5" t="s">
        <v>84</v>
      </c>
      <c r="K70" s="15">
        <f ca="1">NOW()-D70</f>
        <v>5.4962489583340357</v>
      </c>
      <c r="L70" s="16">
        <f t="shared" ca="1" si="2"/>
        <v>1.4420822916654288</v>
      </c>
    </row>
    <row r="71" spans="1:12" ht="60" x14ac:dyDescent="0.25">
      <c r="A71" s="5" t="s">
        <v>195</v>
      </c>
      <c r="B71" s="5" t="s">
        <v>196</v>
      </c>
      <c r="C71" s="5" t="s">
        <v>92</v>
      </c>
      <c r="D71" s="17">
        <v>44872.644444444442</v>
      </c>
      <c r="E71" s="18" t="s">
        <v>197</v>
      </c>
      <c r="F71" s="5" t="s">
        <v>81</v>
      </c>
      <c r="G71" s="17">
        <v>44886.414583333331</v>
      </c>
      <c r="H71" s="5" t="s">
        <v>82</v>
      </c>
      <c r="I71" s="5" t="s">
        <v>89</v>
      </c>
      <c r="J71" s="5" t="s">
        <v>84</v>
      </c>
      <c r="K71" s="15">
        <f ca="1">NOW()-D71</f>
        <v>15.221943402779289</v>
      </c>
      <c r="L71" s="16">
        <f t="shared" ca="1" si="2"/>
        <v>1.451804513890238</v>
      </c>
    </row>
    <row r="72" spans="1:12" x14ac:dyDescent="0.25">
      <c r="A72" s="5" t="s">
        <v>198</v>
      </c>
      <c r="B72" s="5" t="s">
        <v>86</v>
      </c>
      <c r="C72" s="5" t="s">
        <v>87</v>
      </c>
      <c r="D72" s="17">
        <v>44886.404166666667</v>
      </c>
      <c r="E72" s="5" t="s">
        <v>80</v>
      </c>
      <c r="F72" s="5" t="s">
        <v>81</v>
      </c>
      <c r="G72" s="17">
        <v>44886.404166666667</v>
      </c>
      <c r="H72" s="5" t="s">
        <v>88</v>
      </c>
      <c r="I72" s="5" t="s">
        <v>89</v>
      </c>
      <c r="J72" s="5" t="s">
        <v>84</v>
      </c>
      <c r="K72" s="15">
        <f ca="1">NOW()-D72</f>
        <v>1.4622211805544794</v>
      </c>
      <c r="L72" s="16">
        <f t="shared" ca="1" si="2"/>
        <v>1.4622211805544794</v>
      </c>
    </row>
    <row r="73" spans="1:12" ht="30" x14ac:dyDescent="0.25">
      <c r="A73" s="5" t="s">
        <v>199</v>
      </c>
      <c r="B73" s="5" t="s">
        <v>151</v>
      </c>
      <c r="C73" s="5" t="s">
        <v>79</v>
      </c>
      <c r="D73" s="17">
        <v>44886.392361111109</v>
      </c>
      <c r="E73" s="18" t="s">
        <v>200</v>
      </c>
      <c r="F73" s="5" t="s">
        <v>81</v>
      </c>
      <c r="G73" s="17">
        <v>44886.393055555556</v>
      </c>
      <c r="H73" s="5" t="s">
        <v>82</v>
      </c>
      <c r="I73" s="5" t="s">
        <v>93</v>
      </c>
      <c r="J73" s="5" t="s">
        <v>84</v>
      </c>
      <c r="K73" s="15">
        <f ca="1">NOW()-D73</f>
        <v>1.4740267361121369</v>
      </c>
      <c r="L73" s="16">
        <f t="shared" ca="1" si="2"/>
        <v>1.4733322916654288</v>
      </c>
    </row>
    <row r="74" spans="1:12" x14ac:dyDescent="0.25">
      <c r="A74" s="5" t="s">
        <v>201</v>
      </c>
      <c r="B74" s="5" t="s">
        <v>202</v>
      </c>
      <c r="C74" s="5" t="s">
        <v>79</v>
      </c>
      <c r="D74" s="17">
        <v>44886.380555555559</v>
      </c>
      <c r="E74" s="5" t="s">
        <v>80</v>
      </c>
      <c r="F74" s="5" t="s">
        <v>81</v>
      </c>
      <c r="G74" s="17">
        <v>44886.388888888891</v>
      </c>
      <c r="H74" s="5" t="s">
        <v>82</v>
      </c>
      <c r="I74" s="5" t="s">
        <v>93</v>
      </c>
      <c r="J74" s="5" t="s">
        <v>84</v>
      </c>
      <c r="K74" s="15">
        <f ca="1">NOW()-D74</f>
        <v>1.4858322916625184</v>
      </c>
      <c r="L74" s="16">
        <f t="shared" ca="1" si="2"/>
        <v>1.4774989583311253</v>
      </c>
    </row>
    <row r="75" spans="1:12" x14ac:dyDescent="0.25">
      <c r="A75" s="5" t="s">
        <v>203</v>
      </c>
      <c r="B75" s="5" t="s">
        <v>175</v>
      </c>
      <c r="C75" s="5" t="s">
        <v>87</v>
      </c>
      <c r="D75" s="17">
        <v>44886.35</v>
      </c>
      <c r="E75" s="5" t="s">
        <v>80</v>
      </c>
      <c r="F75" s="5" t="s">
        <v>81</v>
      </c>
      <c r="G75" s="17">
        <v>44886.35</v>
      </c>
      <c r="H75" s="5" t="s">
        <v>88</v>
      </c>
      <c r="I75" s="5" t="s">
        <v>89</v>
      </c>
      <c r="J75" s="5" t="s">
        <v>84</v>
      </c>
      <c r="K75" s="15">
        <f ca="1">NOW()-D75</f>
        <v>1.5163878472230863</v>
      </c>
      <c r="L75" s="16">
        <f t="shared" ca="1" si="2"/>
        <v>1.5163878472230863</v>
      </c>
    </row>
    <row r="76" spans="1:12" x14ac:dyDescent="0.25">
      <c r="A76" s="5" t="s">
        <v>204</v>
      </c>
      <c r="B76" s="5" t="s">
        <v>86</v>
      </c>
      <c r="C76" s="5" t="s">
        <v>87</v>
      </c>
      <c r="D76" s="17">
        <v>44886.344444444447</v>
      </c>
      <c r="E76" s="5" t="s">
        <v>80</v>
      </c>
      <c r="F76" s="5" t="s">
        <v>81</v>
      </c>
      <c r="G76" s="17">
        <v>44886.344444444447</v>
      </c>
      <c r="H76" s="5" t="s">
        <v>88</v>
      </c>
      <c r="I76" s="5" t="s">
        <v>89</v>
      </c>
      <c r="J76" s="5" t="s">
        <v>84</v>
      </c>
      <c r="K76" s="15">
        <f ca="1">NOW()-D76</f>
        <v>1.521943402774923</v>
      </c>
      <c r="L76" s="16">
        <f t="shared" ca="1" si="2"/>
        <v>1.521943402774923</v>
      </c>
    </row>
    <row r="77" spans="1:12" x14ac:dyDescent="0.25">
      <c r="A77" s="5" t="s">
        <v>205</v>
      </c>
      <c r="B77" s="5" t="s">
        <v>103</v>
      </c>
      <c r="C77" s="5" t="s">
        <v>92</v>
      </c>
      <c r="D77" s="17">
        <v>44873.553472222222</v>
      </c>
      <c r="E77" s="5" t="s">
        <v>80</v>
      </c>
      <c r="F77" s="5" t="s">
        <v>81</v>
      </c>
      <c r="G77" s="17">
        <v>44886.336805555555</v>
      </c>
      <c r="H77" s="5" t="s">
        <v>82</v>
      </c>
      <c r="I77" s="5" t="s">
        <v>83</v>
      </c>
      <c r="J77" s="5" t="s">
        <v>84</v>
      </c>
      <c r="K77" s="15">
        <f ca="1">NOW()-D77</f>
        <v>14.312915624999732</v>
      </c>
      <c r="L77" s="16">
        <f t="shared" ca="1" si="2"/>
        <v>1.529582291666884</v>
      </c>
    </row>
    <row r="78" spans="1:12" x14ac:dyDescent="0.25">
      <c r="A78" s="5" t="s">
        <v>206</v>
      </c>
      <c r="B78" s="5" t="s">
        <v>146</v>
      </c>
      <c r="C78" s="5" t="s">
        <v>79</v>
      </c>
      <c r="D78" s="17">
        <v>44879.669444444444</v>
      </c>
      <c r="E78" s="5" t="s">
        <v>80</v>
      </c>
      <c r="F78" s="5" t="s">
        <v>81</v>
      </c>
      <c r="G78" s="17">
        <v>44884.525694444441</v>
      </c>
      <c r="H78" s="5" t="s">
        <v>82</v>
      </c>
      <c r="I78" s="5" t="s">
        <v>93</v>
      </c>
      <c r="J78" s="5" t="s">
        <v>84</v>
      </c>
      <c r="K78" s="15">
        <f ca="1">NOW()-D78</f>
        <v>8.1969434027778334</v>
      </c>
      <c r="L78" s="16">
        <f t="shared" ca="1" si="2"/>
        <v>3.3406934027807438</v>
      </c>
    </row>
    <row r="79" spans="1:12" x14ac:dyDescent="0.25">
      <c r="A79" s="5" t="s">
        <v>207</v>
      </c>
      <c r="B79" s="5" t="s">
        <v>208</v>
      </c>
      <c r="C79" s="5" t="s">
        <v>92</v>
      </c>
      <c r="D79" s="17">
        <v>44838.67083333333</v>
      </c>
      <c r="E79" s="5" t="s">
        <v>80</v>
      </c>
      <c r="F79" s="5" t="s">
        <v>81</v>
      </c>
      <c r="G79" s="17">
        <v>44884.455555555556</v>
      </c>
      <c r="H79" s="5" t="s">
        <v>82</v>
      </c>
      <c r="I79" s="5" t="s">
        <v>83</v>
      </c>
      <c r="J79" s="5" t="s">
        <v>84</v>
      </c>
      <c r="K79" s="15">
        <f ca="1">NOW()-D79</f>
        <v>49.195554513891693</v>
      </c>
      <c r="L79" s="16">
        <f t="shared" ca="1" si="2"/>
        <v>3.4108322916654288</v>
      </c>
    </row>
    <row r="80" spans="1:12" x14ac:dyDescent="0.25">
      <c r="A80" s="5" t="s">
        <v>209</v>
      </c>
      <c r="B80" s="5" t="s">
        <v>86</v>
      </c>
      <c r="C80" s="5" t="s">
        <v>87</v>
      </c>
      <c r="D80" s="17">
        <v>44883.693749999999</v>
      </c>
      <c r="E80" s="5" t="s">
        <v>80</v>
      </c>
      <c r="F80" s="5" t="s">
        <v>81</v>
      </c>
      <c r="G80" s="17">
        <v>44883.693749999999</v>
      </c>
      <c r="H80" s="5" t="s">
        <v>88</v>
      </c>
      <c r="I80" s="5" t="s">
        <v>89</v>
      </c>
      <c r="J80" s="5" t="s">
        <v>84</v>
      </c>
      <c r="K80" s="15">
        <f ca="1">NOW()-D80</f>
        <v>4.1726378472230863</v>
      </c>
      <c r="L80" s="16">
        <f t="shared" ca="1" si="2"/>
        <v>4.1726378472230863</v>
      </c>
    </row>
    <row r="81" spans="1:12" x14ac:dyDescent="0.25">
      <c r="A81" s="5" t="s">
        <v>210</v>
      </c>
      <c r="B81" s="5" t="s">
        <v>211</v>
      </c>
      <c r="C81" s="5" t="s">
        <v>79</v>
      </c>
      <c r="D81" s="17">
        <v>44883.64166666667</v>
      </c>
      <c r="E81" s="5" t="s">
        <v>80</v>
      </c>
      <c r="F81" s="5" t="s">
        <v>81</v>
      </c>
      <c r="G81" s="17">
        <v>44883.643750000003</v>
      </c>
      <c r="H81" s="5" t="s">
        <v>82</v>
      </c>
      <c r="I81" s="5" t="s">
        <v>93</v>
      </c>
      <c r="J81" s="5" t="s">
        <v>84</v>
      </c>
      <c r="K81" s="15">
        <f ca="1">NOW()-D81</f>
        <v>4.224721180551569</v>
      </c>
      <c r="L81" s="16">
        <f t="shared" ca="1" si="2"/>
        <v>4.2226378472187207</v>
      </c>
    </row>
    <row r="82" spans="1:12" x14ac:dyDescent="0.25">
      <c r="A82" s="5" t="s">
        <v>212</v>
      </c>
      <c r="B82" s="5" t="s">
        <v>107</v>
      </c>
      <c r="C82" s="5" t="s">
        <v>79</v>
      </c>
      <c r="D82" s="17">
        <v>44883.504861111112</v>
      </c>
      <c r="E82" s="5" t="s">
        <v>80</v>
      </c>
      <c r="F82" s="5" t="s">
        <v>81</v>
      </c>
      <c r="G82" s="17">
        <v>44883.588888888888</v>
      </c>
      <c r="H82" s="5" t="s">
        <v>82</v>
      </c>
      <c r="I82" s="5" t="s">
        <v>93</v>
      </c>
      <c r="J82" s="5" t="s">
        <v>84</v>
      </c>
      <c r="K82" s="15">
        <f ca="1">NOW()-D82</f>
        <v>4.3615267361092265</v>
      </c>
      <c r="L82" s="16">
        <f t="shared" ca="1" si="2"/>
        <v>4.2774989583340357</v>
      </c>
    </row>
    <row r="83" spans="1:12" x14ac:dyDescent="0.25">
      <c r="A83" s="5" t="s">
        <v>213</v>
      </c>
      <c r="B83" s="5" t="s">
        <v>110</v>
      </c>
      <c r="C83" s="5" t="s">
        <v>92</v>
      </c>
      <c r="D83" s="17">
        <v>44876.644444444442</v>
      </c>
      <c r="E83" s="5" t="s">
        <v>80</v>
      </c>
      <c r="F83" s="5" t="s">
        <v>81</v>
      </c>
      <c r="G83" s="17">
        <v>44883.502083333333</v>
      </c>
      <c r="H83" s="5" t="s">
        <v>82</v>
      </c>
      <c r="I83" s="5" t="s">
        <v>83</v>
      </c>
      <c r="J83" s="5" t="s">
        <v>84</v>
      </c>
      <c r="K83" s="15">
        <f ca="1">NOW()-D83</f>
        <v>11.221943402779289</v>
      </c>
      <c r="L83" s="16">
        <f t="shared" ca="1" si="2"/>
        <v>4.3643045138887828</v>
      </c>
    </row>
    <row r="84" spans="1:12" x14ac:dyDescent="0.25">
      <c r="A84" s="5" t="s">
        <v>214</v>
      </c>
      <c r="B84" s="5" t="s">
        <v>110</v>
      </c>
      <c r="C84" s="5" t="s">
        <v>79</v>
      </c>
      <c r="D84" s="17">
        <v>44883.478472222225</v>
      </c>
      <c r="E84" s="5" t="s">
        <v>80</v>
      </c>
      <c r="F84" s="5" t="s">
        <v>81</v>
      </c>
      <c r="G84" s="17">
        <v>44883.501388888886</v>
      </c>
      <c r="H84" s="5" t="s">
        <v>82</v>
      </c>
      <c r="I84" s="5" t="s">
        <v>89</v>
      </c>
      <c r="J84" s="5" t="s">
        <v>84</v>
      </c>
      <c r="K84" s="15">
        <f ca="1">NOW()-D84</f>
        <v>4.3879156249968219</v>
      </c>
      <c r="L84" s="16">
        <f t="shared" ca="1" si="2"/>
        <v>4.3649989583354909</v>
      </c>
    </row>
    <row r="85" spans="1:12" x14ac:dyDescent="0.25">
      <c r="A85" s="5" t="s">
        <v>215</v>
      </c>
      <c r="B85" s="5" t="s">
        <v>110</v>
      </c>
      <c r="C85" s="5" t="s">
        <v>79</v>
      </c>
      <c r="D85" s="17">
        <v>44883.456944444442</v>
      </c>
      <c r="E85" s="5" t="s">
        <v>80</v>
      </c>
      <c r="F85" s="5" t="s">
        <v>81</v>
      </c>
      <c r="G85" s="17">
        <v>44883.456944444442</v>
      </c>
      <c r="H85" s="5" t="s">
        <v>82</v>
      </c>
      <c r="I85" s="5" t="s">
        <v>89</v>
      </c>
      <c r="J85" s="5" t="s">
        <v>84</v>
      </c>
      <c r="K85" s="15">
        <f ca="1">NOW()-D85</f>
        <v>4.4094434027792886</v>
      </c>
      <c r="L85" s="16">
        <f t="shared" ca="1" si="2"/>
        <v>4.4094434027792886</v>
      </c>
    </row>
    <row r="86" spans="1:12" x14ac:dyDescent="0.25">
      <c r="A86" s="5" t="s">
        <v>216</v>
      </c>
      <c r="B86" s="5" t="s">
        <v>175</v>
      </c>
      <c r="C86" s="5" t="s">
        <v>87</v>
      </c>
      <c r="D86" s="17">
        <v>44883.429861111108</v>
      </c>
      <c r="E86" s="5" t="s">
        <v>80</v>
      </c>
      <c r="F86" s="5" t="s">
        <v>81</v>
      </c>
      <c r="G86" s="17">
        <v>44883.429861111108</v>
      </c>
      <c r="H86" s="5" t="s">
        <v>88</v>
      </c>
      <c r="I86" s="5" t="s">
        <v>89</v>
      </c>
      <c r="J86" s="5" t="s">
        <v>84</v>
      </c>
      <c r="K86" s="15">
        <f ca="1">NOW()-D86</f>
        <v>4.4365267361135921</v>
      </c>
      <c r="L86" s="16">
        <f t="shared" ca="1" si="2"/>
        <v>4.4365267361135921</v>
      </c>
    </row>
    <row r="87" spans="1:12" x14ac:dyDescent="0.25">
      <c r="A87" s="5" t="s">
        <v>217</v>
      </c>
      <c r="B87" s="5" t="s">
        <v>218</v>
      </c>
      <c r="C87" s="5" t="s">
        <v>79</v>
      </c>
      <c r="D87" s="17">
        <v>44883.356944444444</v>
      </c>
      <c r="E87" s="5" t="s">
        <v>80</v>
      </c>
      <c r="F87" s="5" t="s">
        <v>81</v>
      </c>
      <c r="G87" s="17">
        <v>44883.40347222222</v>
      </c>
      <c r="H87" s="5" t="s">
        <v>82</v>
      </c>
      <c r="I87" s="5" t="s">
        <v>93</v>
      </c>
      <c r="J87" s="5" t="s">
        <v>84</v>
      </c>
      <c r="K87" s="15">
        <f ca="1">NOW()-D87</f>
        <v>4.5094434027778334</v>
      </c>
      <c r="L87" s="16">
        <f t="shared" ca="1" si="2"/>
        <v>4.4629156250011874</v>
      </c>
    </row>
    <row r="88" spans="1:12" x14ac:dyDescent="0.25">
      <c r="A88" s="5" t="s">
        <v>219</v>
      </c>
      <c r="B88" s="5" t="s">
        <v>220</v>
      </c>
      <c r="C88" s="5" t="s">
        <v>92</v>
      </c>
      <c r="D88" s="17">
        <v>44840.432638888888</v>
      </c>
      <c r="E88" s="5" t="s">
        <v>80</v>
      </c>
      <c r="F88" s="5" t="s">
        <v>166</v>
      </c>
      <c r="G88" s="17">
        <v>44883.316666666666</v>
      </c>
      <c r="H88" s="5" t="s">
        <v>88</v>
      </c>
      <c r="I88" s="5" t="s">
        <v>89</v>
      </c>
      <c r="J88" s="5" t="s">
        <v>84</v>
      </c>
      <c r="K88" s="15">
        <f ca="1">NOW()-D88</f>
        <v>47.433748958334036</v>
      </c>
      <c r="L88" s="16">
        <f t="shared" ca="1" si="2"/>
        <v>4.5497211805559346</v>
      </c>
    </row>
    <row r="89" spans="1:12" x14ac:dyDescent="0.25">
      <c r="A89" s="5" t="s">
        <v>221</v>
      </c>
      <c r="B89" s="5" t="s">
        <v>107</v>
      </c>
      <c r="C89" s="5" t="s">
        <v>92</v>
      </c>
      <c r="D89" s="17">
        <v>44875.470138888886</v>
      </c>
      <c r="E89" s="5" t="s">
        <v>80</v>
      </c>
      <c r="F89" s="5" t="s">
        <v>81</v>
      </c>
      <c r="G89" s="17">
        <v>44883.315972222219</v>
      </c>
      <c r="H89" s="5" t="s">
        <v>82</v>
      </c>
      <c r="I89" s="5" t="s">
        <v>93</v>
      </c>
      <c r="J89" s="5" t="s">
        <v>84</v>
      </c>
      <c r="K89" s="15">
        <f ca="1">NOW()-D89</f>
        <v>12.396248958335491</v>
      </c>
      <c r="L89" s="16">
        <f t="shared" ca="1" si="2"/>
        <v>4.5504156250026426</v>
      </c>
    </row>
    <row r="90" spans="1:12" x14ac:dyDescent="0.25">
      <c r="A90" s="5" t="s">
        <v>222</v>
      </c>
      <c r="B90" s="5" t="s">
        <v>138</v>
      </c>
      <c r="C90" s="5" t="s">
        <v>87</v>
      </c>
      <c r="D90" s="17">
        <v>44882.738194444442</v>
      </c>
      <c r="E90" s="5" t="s">
        <v>80</v>
      </c>
      <c r="F90" s="5" t="s">
        <v>81</v>
      </c>
      <c r="G90" s="17">
        <v>44882.738194444442</v>
      </c>
      <c r="H90" s="5" t="s">
        <v>82</v>
      </c>
      <c r="I90" s="5" t="s">
        <v>89</v>
      </c>
      <c r="J90" s="5" t="s">
        <v>84</v>
      </c>
      <c r="K90" s="15">
        <f ca="1">NOW()-D90</f>
        <v>5.1281934027792886</v>
      </c>
      <c r="L90" s="16">
        <f t="shared" ca="1" si="2"/>
        <v>5.1281934027792886</v>
      </c>
    </row>
    <row r="91" spans="1:12" ht="30" x14ac:dyDescent="0.25">
      <c r="A91" s="5" t="s">
        <v>223</v>
      </c>
      <c r="B91" s="5" t="s">
        <v>224</v>
      </c>
      <c r="C91" s="5" t="s">
        <v>92</v>
      </c>
      <c r="D91" s="17">
        <v>44882.581250000003</v>
      </c>
      <c r="E91" s="18" t="s">
        <v>200</v>
      </c>
      <c r="F91" s="5" t="s">
        <v>81</v>
      </c>
      <c r="G91" s="17">
        <v>44882.702777777777</v>
      </c>
      <c r="H91" s="5" t="s">
        <v>88</v>
      </c>
      <c r="I91" s="5" t="s">
        <v>89</v>
      </c>
      <c r="J91" s="5" t="s">
        <v>84</v>
      </c>
      <c r="K91" s="15">
        <f ca="1">NOW()-D91</f>
        <v>5.2851378472187207</v>
      </c>
      <c r="L91" s="16">
        <f t="shared" ca="1" si="2"/>
        <v>5.1636100694449851</v>
      </c>
    </row>
    <row r="92" spans="1:12" x14ac:dyDescent="0.25">
      <c r="A92" s="5" t="s">
        <v>225</v>
      </c>
      <c r="B92" s="5" t="s">
        <v>86</v>
      </c>
      <c r="C92" s="5" t="s">
        <v>87</v>
      </c>
      <c r="D92" s="17">
        <v>44882.581944444442</v>
      </c>
      <c r="E92" s="5" t="s">
        <v>80</v>
      </c>
      <c r="F92" s="5" t="s">
        <v>81</v>
      </c>
      <c r="G92" s="17">
        <v>44882.581944444442</v>
      </c>
      <c r="H92" s="5" t="s">
        <v>88</v>
      </c>
      <c r="I92" s="5" t="s">
        <v>89</v>
      </c>
      <c r="J92" s="5" t="s">
        <v>84</v>
      </c>
      <c r="K92" s="15">
        <f ca="1">NOW()-D92</f>
        <v>5.2844434027792886</v>
      </c>
      <c r="L92" s="16">
        <f t="shared" ca="1" si="2"/>
        <v>5.2844434027792886</v>
      </c>
    </row>
    <row r="93" spans="1:12" x14ac:dyDescent="0.25">
      <c r="A93" s="5" t="s">
        <v>226</v>
      </c>
      <c r="B93" s="5" t="s">
        <v>227</v>
      </c>
      <c r="C93" s="5" t="s">
        <v>87</v>
      </c>
      <c r="D93" s="17">
        <v>44882.507638888892</v>
      </c>
      <c r="E93" s="5" t="s">
        <v>80</v>
      </c>
      <c r="F93" s="5" t="s">
        <v>81</v>
      </c>
      <c r="G93" s="17">
        <v>44882.507638888892</v>
      </c>
      <c r="H93" s="5" t="s">
        <v>82</v>
      </c>
      <c r="I93" s="5" t="s">
        <v>89</v>
      </c>
      <c r="J93" s="5" t="s">
        <v>84</v>
      </c>
      <c r="K93" s="15">
        <f ca="1">NOW()-D93</f>
        <v>5.3587489583296701</v>
      </c>
      <c r="L93" s="16">
        <f t="shared" ca="1" si="2"/>
        <v>5.3587489583296701</v>
      </c>
    </row>
    <row r="94" spans="1:12" x14ac:dyDescent="0.25">
      <c r="A94" s="5" t="s">
        <v>228</v>
      </c>
      <c r="B94" s="5" t="s">
        <v>112</v>
      </c>
      <c r="C94" s="5" t="s">
        <v>87</v>
      </c>
      <c r="D94" s="17">
        <v>44882.493055555555</v>
      </c>
      <c r="E94" s="5" t="s">
        <v>80</v>
      </c>
      <c r="F94" s="5" t="s">
        <v>81</v>
      </c>
      <c r="G94" s="17">
        <v>44882.493055555555</v>
      </c>
      <c r="H94" s="5" t="s">
        <v>82</v>
      </c>
      <c r="I94" s="5" t="s">
        <v>89</v>
      </c>
      <c r="J94" s="5" t="s">
        <v>84</v>
      </c>
      <c r="K94" s="15">
        <f ca="1">NOW()-D94</f>
        <v>5.373332291666884</v>
      </c>
      <c r="L94" s="16">
        <f t="shared" ca="1" si="2"/>
        <v>5.373332291666884</v>
      </c>
    </row>
    <row r="95" spans="1:12" x14ac:dyDescent="0.25">
      <c r="A95" s="5" t="s">
        <v>229</v>
      </c>
      <c r="B95" s="5" t="s">
        <v>118</v>
      </c>
      <c r="C95" s="5" t="s">
        <v>87</v>
      </c>
      <c r="D95" s="17">
        <v>44882.478472222225</v>
      </c>
      <c r="E95" s="5" t="s">
        <v>80</v>
      </c>
      <c r="F95" s="5" t="s">
        <v>81</v>
      </c>
      <c r="G95" s="17">
        <v>44882.478472222225</v>
      </c>
      <c r="H95" s="5" t="s">
        <v>88</v>
      </c>
      <c r="I95" s="5" t="s">
        <v>89</v>
      </c>
      <c r="J95" s="5" t="s">
        <v>84</v>
      </c>
      <c r="K95" s="15">
        <f ca="1">NOW()-D95</f>
        <v>5.3879156249968219</v>
      </c>
      <c r="L95" s="16">
        <f t="shared" ca="1" si="2"/>
        <v>5.3879156249968219</v>
      </c>
    </row>
    <row r="96" spans="1:12" x14ac:dyDescent="0.25">
      <c r="A96" s="5" t="s">
        <v>230</v>
      </c>
      <c r="B96" s="5" t="s">
        <v>78</v>
      </c>
      <c r="C96" s="5" t="s">
        <v>79</v>
      </c>
      <c r="D96" s="17">
        <v>44882.470138888886</v>
      </c>
      <c r="E96" s="5" t="s">
        <v>80</v>
      </c>
      <c r="F96" s="5" t="s">
        <v>81</v>
      </c>
      <c r="G96" s="17">
        <v>44882.470138888886</v>
      </c>
      <c r="H96" s="5" t="s">
        <v>82</v>
      </c>
      <c r="I96" s="5" t="s">
        <v>89</v>
      </c>
      <c r="J96" s="5" t="s">
        <v>84</v>
      </c>
      <c r="K96" s="15">
        <f ca="1">NOW()-D96</f>
        <v>5.3962489583354909</v>
      </c>
      <c r="L96" s="16">
        <f t="shared" ca="1" si="2"/>
        <v>5.3962489583354909</v>
      </c>
    </row>
    <row r="97" spans="1:12" x14ac:dyDescent="0.25">
      <c r="A97" s="5" t="s">
        <v>231</v>
      </c>
      <c r="B97" s="5" t="s">
        <v>232</v>
      </c>
      <c r="C97" s="5" t="s">
        <v>87</v>
      </c>
      <c r="D97" s="17">
        <v>44882.46875</v>
      </c>
      <c r="E97" s="5" t="s">
        <v>80</v>
      </c>
      <c r="F97" s="5" t="s">
        <v>81</v>
      </c>
      <c r="G97" s="17">
        <v>44882.46875</v>
      </c>
      <c r="H97" s="5" t="s">
        <v>88</v>
      </c>
      <c r="I97" s="5" t="s">
        <v>89</v>
      </c>
      <c r="J97" s="5" t="s">
        <v>84</v>
      </c>
      <c r="K97" s="15">
        <f ca="1">NOW()-D97</f>
        <v>5.3976378472216311</v>
      </c>
      <c r="L97" s="16">
        <f t="shared" ca="1" si="2"/>
        <v>5.3976378472216311</v>
      </c>
    </row>
    <row r="98" spans="1:12" x14ac:dyDescent="0.25">
      <c r="A98" s="5" t="s">
        <v>233</v>
      </c>
      <c r="B98" s="5" t="s">
        <v>78</v>
      </c>
      <c r="C98" s="5" t="s">
        <v>92</v>
      </c>
      <c r="D98" s="17">
        <v>44882.395833333336</v>
      </c>
      <c r="E98" s="5" t="s">
        <v>80</v>
      </c>
      <c r="F98" s="5" t="s">
        <v>81</v>
      </c>
      <c r="G98" s="17">
        <v>44882.417361111111</v>
      </c>
      <c r="H98" s="5" t="s">
        <v>82</v>
      </c>
      <c r="I98" s="5" t="s">
        <v>93</v>
      </c>
      <c r="J98" s="5" t="s">
        <v>84</v>
      </c>
      <c r="K98" s="15">
        <f ca="1">NOW()-D98</f>
        <v>5.4705545138858724</v>
      </c>
      <c r="L98" s="16">
        <f t="shared" ref="L98:L129" ca="1" si="3">NOW()-G98</f>
        <v>5.4490267361106817</v>
      </c>
    </row>
    <row r="99" spans="1:12" x14ac:dyDescent="0.25">
      <c r="A99" s="5" t="s">
        <v>234</v>
      </c>
      <c r="B99" s="5" t="s">
        <v>78</v>
      </c>
      <c r="C99" s="5" t="s">
        <v>92</v>
      </c>
      <c r="D99" s="17">
        <v>44882.380555555559</v>
      </c>
      <c r="E99" s="5" t="s">
        <v>80</v>
      </c>
      <c r="F99" s="5" t="s">
        <v>81</v>
      </c>
      <c r="G99" s="17">
        <v>44882.401388888888</v>
      </c>
      <c r="H99" s="5" t="s">
        <v>82</v>
      </c>
      <c r="I99" s="5" t="s">
        <v>93</v>
      </c>
      <c r="J99" s="5" t="s">
        <v>84</v>
      </c>
      <c r="K99" s="15">
        <f ca="1">NOW()-D99</f>
        <v>5.4858322916625184</v>
      </c>
      <c r="L99" s="16">
        <f t="shared" ca="1" si="3"/>
        <v>5.4649989583340357</v>
      </c>
    </row>
    <row r="100" spans="1:12" x14ac:dyDescent="0.25">
      <c r="A100" s="5" t="s">
        <v>235</v>
      </c>
      <c r="B100" s="5" t="s">
        <v>110</v>
      </c>
      <c r="C100" s="5" t="s">
        <v>79</v>
      </c>
      <c r="D100" s="17">
        <v>44881.359722222223</v>
      </c>
      <c r="E100" s="5" t="s">
        <v>80</v>
      </c>
      <c r="F100" s="5" t="s">
        <v>81</v>
      </c>
      <c r="G100" s="17">
        <v>44882.38958333333</v>
      </c>
      <c r="H100" s="5" t="s">
        <v>82</v>
      </c>
      <c r="I100" s="5" t="s">
        <v>93</v>
      </c>
      <c r="J100" s="5" t="s">
        <v>84</v>
      </c>
      <c r="K100" s="15">
        <f ca="1">NOW()-D100</f>
        <v>6.5066656249982771</v>
      </c>
      <c r="L100" s="16">
        <f t="shared" ca="1" si="3"/>
        <v>5.4768045138916932</v>
      </c>
    </row>
    <row r="101" spans="1:12" x14ac:dyDescent="0.25">
      <c r="A101" s="5" t="s">
        <v>236</v>
      </c>
      <c r="B101" s="5" t="s">
        <v>110</v>
      </c>
      <c r="C101" s="5" t="s">
        <v>79</v>
      </c>
      <c r="D101" s="17">
        <v>44882.35</v>
      </c>
      <c r="E101" s="5" t="s">
        <v>80</v>
      </c>
      <c r="F101" s="5" t="s">
        <v>81</v>
      </c>
      <c r="G101" s="17">
        <v>44882.35</v>
      </c>
      <c r="H101" s="5" t="s">
        <v>82</v>
      </c>
      <c r="I101" s="5" t="s">
        <v>89</v>
      </c>
      <c r="J101" s="5" t="s">
        <v>84</v>
      </c>
      <c r="K101" s="15">
        <f ca="1">NOW()-D101</f>
        <v>5.5163878472230863</v>
      </c>
      <c r="L101" s="16">
        <f t="shared" ca="1" si="3"/>
        <v>5.5163878472230863</v>
      </c>
    </row>
    <row r="102" spans="1:12" x14ac:dyDescent="0.25">
      <c r="A102" s="5" t="s">
        <v>237</v>
      </c>
      <c r="B102" s="5" t="s">
        <v>78</v>
      </c>
      <c r="C102" s="5" t="s">
        <v>79</v>
      </c>
      <c r="D102" s="17">
        <v>44882.347916666666</v>
      </c>
      <c r="E102" s="5" t="s">
        <v>80</v>
      </c>
      <c r="F102" s="5" t="s">
        <v>81</v>
      </c>
      <c r="G102" s="17">
        <v>44882.347916666666</v>
      </c>
      <c r="H102" s="5" t="s">
        <v>82</v>
      </c>
      <c r="I102" s="5" t="s">
        <v>89</v>
      </c>
      <c r="J102" s="5" t="s">
        <v>84</v>
      </c>
      <c r="K102" s="15">
        <f ca="1">NOW()-D102</f>
        <v>5.5184711805559346</v>
      </c>
      <c r="L102" s="16">
        <f t="shared" ca="1" si="3"/>
        <v>5.5184711805559346</v>
      </c>
    </row>
    <row r="103" spans="1:12" x14ac:dyDescent="0.25">
      <c r="A103" s="5" t="s">
        <v>238</v>
      </c>
      <c r="B103" s="5" t="s">
        <v>151</v>
      </c>
      <c r="C103" s="5" t="s">
        <v>79</v>
      </c>
      <c r="D103" s="17">
        <v>44881.744444444441</v>
      </c>
      <c r="E103" s="5" t="s">
        <v>80</v>
      </c>
      <c r="F103" s="5" t="s">
        <v>81</v>
      </c>
      <c r="G103" s="17">
        <v>44881.744444444441</v>
      </c>
      <c r="H103" s="5" t="s">
        <v>82</v>
      </c>
      <c r="I103" s="5" t="s">
        <v>89</v>
      </c>
      <c r="J103" s="5" t="s">
        <v>84</v>
      </c>
      <c r="K103" s="15">
        <f ca="1">NOW()-D103</f>
        <v>6.1219434027807438</v>
      </c>
      <c r="L103" s="16">
        <f t="shared" ca="1" si="3"/>
        <v>6.1219434027807438</v>
      </c>
    </row>
    <row r="104" spans="1:12" x14ac:dyDescent="0.25">
      <c r="A104" s="5" t="s">
        <v>239</v>
      </c>
      <c r="B104" s="5" t="s">
        <v>190</v>
      </c>
      <c r="C104" s="5" t="s">
        <v>79</v>
      </c>
      <c r="D104" s="17">
        <v>44881.724999999999</v>
      </c>
      <c r="E104" s="5" t="s">
        <v>80</v>
      </c>
      <c r="F104" s="5" t="s">
        <v>81</v>
      </c>
      <c r="G104" s="17">
        <v>44881.734722222223</v>
      </c>
      <c r="H104" s="5" t="s">
        <v>82</v>
      </c>
      <c r="I104" s="5" t="s">
        <v>93</v>
      </c>
      <c r="J104" s="5" t="s">
        <v>84</v>
      </c>
      <c r="K104" s="15">
        <f ca="1">NOW()-D104</f>
        <v>6.1413878472230863</v>
      </c>
      <c r="L104" s="16">
        <f t="shared" ca="1" si="3"/>
        <v>6.1316656249982771</v>
      </c>
    </row>
    <row r="105" spans="1:12" x14ac:dyDescent="0.25">
      <c r="A105" s="5" t="s">
        <v>240</v>
      </c>
      <c r="B105" s="5" t="s">
        <v>118</v>
      </c>
      <c r="C105" s="5" t="s">
        <v>87</v>
      </c>
      <c r="D105" s="17">
        <v>44881.711805555555</v>
      </c>
      <c r="E105" s="5" t="s">
        <v>80</v>
      </c>
      <c r="F105" s="5" t="s">
        <v>81</v>
      </c>
      <c r="G105" s="17">
        <v>44881.711805555555</v>
      </c>
      <c r="H105" s="5" t="s">
        <v>88</v>
      </c>
      <c r="I105" s="5" t="s">
        <v>89</v>
      </c>
      <c r="J105" s="5" t="s">
        <v>84</v>
      </c>
      <c r="K105" s="15">
        <f ca="1">NOW()-D105</f>
        <v>6.154582291666884</v>
      </c>
      <c r="L105" s="16">
        <f t="shared" ca="1" si="3"/>
        <v>6.154582291666884</v>
      </c>
    </row>
    <row r="106" spans="1:12" x14ac:dyDescent="0.25">
      <c r="A106" s="5" t="s">
        <v>241</v>
      </c>
      <c r="B106" s="5" t="s">
        <v>110</v>
      </c>
      <c r="C106" s="5" t="s">
        <v>79</v>
      </c>
      <c r="D106" s="17">
        <v>44881.663194444445</v>
      </c>
      <c r="E106" s="5" t="s">
        <v>80</v>
      </c>
      <c r="F106" s="5" t="s">
        <v>81</v>
      </c>
      <c r="G106" s="17">
        <v>44881.695833333331</v>
      </c>
      <c r="H106" s="5" t="s">
        <v>82</v>
      </c>
      <c r="I106" s="5" t="s">
        <v>93</v>
      </c>
      <c r="J106" s="5" t="s">
        <v>84</v>
      </c>
      <c r="K106" s="15">
        <f ca="1">NOW()-D106</f>
        <v>6.2031934027763782</v>
      </c>
      <c r="L106" s="16">
        <f t="shared" ca="1" si="3"/>
        <v>6.170554513890238</v>
      </c>
    </row>
    <row r="107" spans="1:12" x14ac:dyDescent="0.25">
      <c r="A107" s="5" t="s">
        <v>242</v>
      </c>
      <c r="B107" s="5" t="s">
        <v>243</v>
      </c>
      <c r="C107" s="5" t="s">
        <v>79</v>
      </c>
      <c r="D107" s="17">
        <v>44865.679166666669</v>
      </c>
      <c r="E107" s="5" t="s">
        <v>80</v>
      </c>
      <c r="F107" s="5" t="s">
        <v>81</v>
      </c>
      <c r="G107" s="17">
        <v>44881.695138888892</v>
      </c>
      <c r="H107" s="5" t="s">
        <v>82</v>
      </c>
      <c r="I107" s="5" t="s">
        <v>89</v>
      </c>
      <c r="J107" s="5" t="s">
        <v>84</v>
      </c>
      <c r="K107" s="15">
        <f ca="1">NOW()-D107</f>
        <v>22.187221180553024</v>
      </c>
      <c r="L107" s="16">
        <f t="shared" ca="1" si="3"/>
        <v>6.1712489583296701</v>
      </c>
    </row>
    <row r="108" spans="1:12" x14ac:dyDescent="0.25">
      <c r="A108" s="5" t="s">
        <v>244</v>
      </c>
      <c r="B108" s="5" t="s">
        <v>243</v>
      </c>
      <c r="C108" s="5" t="s">
        <v>79</v>
      </c>
      <c r="D108" s="17">
        <v>44873.67083333333</v>
      </c>
      <c r="E108" s="5" t="s">
        <v>80</v>
      </c>
      <c r="F108" s="5" t="s">
        <v>81</v>
      </c>
      <c r="G108" s="17">
        <v>44881.695138888892</v>
      </c>
      <c r="H108" s="5" t="s">
        <v>82</v>
      </c>
      <c r="I108" s="5" t="s">
        <v>89</v>
      </c>
      <c r="J108" s="5" t="s">
        <v>84</v>
      </c>
      <c r="K108" s="15">
        <f ca="1">NOW()-D108</f>
        <v>14.195554513891693</v>
      </c>
      <c r="L108" s="16">
        <f t="shared" ca="1" si="3"/>
        <v>6.1712489583296701</v>
      </c>
    </row>
    <row r="109" spans="1:12" x14ac:dyDescent="0.25">
      <c r="A109" s="5" t="s">
        <v>245</v>
      </c>
      <c r="B109" s="5" t="s">
        <v>243</v>
      </c>
      <c r="C109" s="5" t="s">
        <v>79</v>
      </c>
      <c r="D109" s="17">
        <v>44873.675000000003</v>
      </c>
      <c r="E109" s="5" t="s">
        <v>80</v>
      </c>
      <c r="F109" s="5" t="s">
        <v>81</v>
      </c>
      <c r="G109" s="17">
        <v>44881.695138888892</v>
      </c>
      <c r="H109" s="5" t="s">
        <v>82</v>
      </c>
      <c r="I109" s="5" t="s">
        <v>89</v>
      </c>
      <c r="J109" s="5" t="s">
        <v>84</v>
      </c>
      <c r="K109" s="15">
        <f ca="1">NOW()-D109</f>
        <v>14.191387847218721</v>
      </c>
      <c r="L109" s="16">
        <f t="shared" ca="1" si="3"/>
        <v>6.1712489583296701</v>
      </c>
    </row>
    <row r="110" spans="1:12" x14ac:dyDescent="0.25">
      <c r="A110" s="5" t="s">
        <v>246</v>
      </c>
      <c r="B110" s="5" t="s">
        <v>243</v>
      </c>
      <c r="C110" s="5" t="s">
        <v>79</v>
      </c>
      <c r="D110" s="17">
        <v>44873.676388888889</v>
      </c>
      <c r="E110" s="5" t="s">
        <v>80</v>
      </c>
      <c r="F110" s="5" t="s">
        <v>81</v>
      </c>
      <c r="G110" s="17">
        <v>44881.695138888892</v>
      </c>
      <c r="H110" s="5" t="s">
        <v>82</v>
      </c>
      <c r="I110" s="5" t="s">
        <v>89</v>
      </c>
      <c r="J110" s="5" t="s">
        <v>84</v>
      </c>
      <c r="K110" s="15">
        <f ca="1">NOW()-D110</f>
        <v>14.189998958332581</v>
      </c>
      <c r="L110" s="16">
        <f t="shared" ca="1" si="3"/>
        <v>6.1712489583296701</v>
      </c>
    </row>
    <row r="111" spans="1:12" x14ac:dyDescent="0.25">
      <c r="A111" s="5" t="s">
        <v>247</v>
      </c>
      <c r="B111" s="5" t="s">
        <v>243</v>
      </c>
      <c r="C111" s="5" t="s">
        <v>79</v>
      </c>
      <c r="D111" s="17">
        <v>44873.682638888888</v>
      </c>
      <c r="E111" s="5" t="s">
        <v>80</v>
      </c>
      <c r="F111" s="5" t="s">
        <v>81</v>
      </c>
      <c r="G111" s="17">
        <v>44881.695138888892</v>
      </c>
      <c r="H111" s="5" t="s">
        <v>82</v>
      </c>
      <c r="I111" s="5" t="s">
        <v>89</v>
      </c>
      <c r="J111" s="5" t="s">
        <v>84</v>
      </c>
      <c r="K111" s="15">
        <f ca="1">NOW()-D111</f>
        <v>14.183748958334036</v>
      </c>
      <c r="L111" s="16">
        <f t="shared" ca="1" si="3"/>
        <v>6.1712489583296701</v>
      </c>
    </row>
    <row r="112" spans="1:12" x14ac:dyDescent="0.25">
      <c r="A112" s="5" t="s">
        <v>248</v>
      </c>
      <c r="B112" s="5" t="s">
        <v>243</v>
      </c>
      <c r="C112" s="5" t="s">
        <v>79</v>
      </c>
      <c r="D112" s="17">
        <v>44876.409722222219</v>
      </c>
      <c r="E112" s="5" t="s">
        <v>80</v>
      </c>
      <c r="F112" s="5" t="s">
        <v>81</v>
      </c>
      <c r="G112" s="17">
        <v>44881.695138888892</v>
      </c>
      <c r="H112" s="5" t="s">
        <v>82</v>
      </c>
      <c r="I112" s="5" t="s">
        <v>89</v>
      </c>
      <c r="J112" s="5" t="s">
        <v>84</v>
      </c>
      <c r="K112" s="15">
        <f ca="1">NOW()-D112</f>
        <v>11.456665625002643</v>
      </c>
      <c r="L112" s="16">
        <f t="shared" ca="1" si="3"/>
        <v>6.1712489583296701</v>
      </c>
    </row>
    <row r="113" spans="1:12" x14ac:dyDescent="0.25">
      <c r="A113" s="5" t="s">
        <v>249</v>
      </c>
      <c r="B113" s="5" t="s">
        <v>250</v>
      </c>
      <c r="C113" s="5" t="s">
        <v>79</v>
      </c>
      <c r="D113" s="17">
        <v>44881.663194444445</v>
      </c>
      <c r="E113" s="5" t="s">
        <v>80</v>
      </c>
      <c r="F113" s="5" t="s">
        <v>81</v>
      </c>
      <c r="G113" s="17">
        <v>44881.663194444445</v>
      </c>
      <c r="H113" s="5" t="s">
        <v>82</v>
      </c>
      <c r="I113" s="5" t="s">
        <v>83</v>
      </c>
      <c r="J113" s="5" t="s">
        <v>84</v>
      </c>
      <c r="K113" s="15">
        <f ca="1">NOW()-D113</f>
        <v>6.2031934027763782</v>
      </c>
      <c r="L113" s="16">
        <f t="shared" ca="1" si="3"/>
        <v>6.2031934027763782</v>
      </c>
    </row>
    <row r="114" spans="1:12" x14ac:dyDescent="0.25">
      <c r="A114" s="5" t="s">
        <v>251</v>
      </c>
      <c r="B114" s="5" t="s">
        <v>211</v>
      </c>
      <c r="C114" s="5" t="s">
        <v>79</v>
      </c>
      <c r="D114" s="17">
        <v>44881.606944444444</v>
      </c>
      <c r="E114" s="5" t="s">
        <v>80</v>
      </c>
      <c r="F114" s="5" t="s">
        <v>81</v>
      </c>
      <c r="G114" s="17">
        <v>44881.607638888891</v>
      </c>
      <c r="H114" s="5" t="s">
        <v>82</v>
      </c>
      <c r="I114" s="5" t="s">
        <v>93</v>
      </c>
      <c r="J114" s="5" t="s">
        <v>84</v>
      </c>
      <c r="K114" s="15">
        <f ca="1">NOW()-D114</f>
        <v>6.2594434027778334</v>
      </c>
      <c r="L114" s="16">
        <f t="shared" ca="1" si="3"/>
        <v>6.2587489583311253</v>
      </c>
    </row>
    <row r="115" spans="1:12" x14ac:dyDescent="0.25">
      <c r="A115" s="5" t="s">
        <v>252</v>
      </c>
      <c r="B115" s="5" t="s">
        <v>118</v>
      </c>
      <c r="C115" s="5" t="s">
        <v>87</v>
      </c>
      <c r="D115" s="17">
        <v>44881.49722222222</v>
      </c>
      <c r="E115" s="5" t="s">
        <v>80</v>
      </c>
      <c r="F115" s="5" t="s">
        <v>81</v>
      </c>
      <c r="G115" s="17">
        <v>44881.49722222222</v>
      </c>
      <c r="H115" s="5" t="s">
        <v>88</v>
      </c>
      <c r="I115" s="5" t="s">
        <v>89</v>
      </c>
      <c r="J115" s="5" t="s">
        <v>84</v>
      </c>
      <c r="K115" s="15">
        <f ca="1">NOW()-D115</f>
        <v>6.3691656250011874</v>
      </c>
      <c r="L115" s="16">
        <f t="shared" ca="1" si="3"/>
        <v>6.3691656250011874</v>
      </c>
    </row>
    <row r="116" spans="1:12" x14ac:dyDescent="0.25">
      <c r="A116" s="5" t="s">
        <v>253</v>
      </c>
      <c r="B116" s="5" t="s">
        <v>185</v>
      </c>
      <c r="C116" s="5" t="s">
        <v>92</v>
      </c>
      <c r="D116" s="17">
        <v>44881.356944444444</v>
      </c>
      <c r="E116" s="5" t="s">
        <v>80</v>
      </c>
      <c r="F116" s="5" t="s">
        <v>166</v>
      </c>
      <c r="G116" s="17">
        <v>44881.450694444444</v>
      </c>
      <c r="H116" s="5" t="s">
        <v>82</v>
      </c>
      <c r="I116" s="5" t="s">
        <v>89</v>
      </c>
      <c r="J116" s="5" t="s">
        <v>84</v>
      </c>
      <c r="K116" s="15">
        <f ca="1">NOW()-D116</f>
        <v>6.5094434027778334</v>
      </c>
      <c r="L116" s="16">
        <f t="shared" ca="1" si="3"/>
        <v>6.4156934027778334</v>
      </c>
    </row>
    <row r="117" spans="1:12" x14ac:dyDescent="0.25">
      <c r="A117" s="5" t="s">
        <v>254</v>
      </c>
      <c r="B117" s="5" t="s">
        <v>172</v>
      </c>
      <c r="C117" s="5" t="s">
        <v>92</v>
      </c>
      <c r="D117" s="17">
        <v>44879.597916666666</v>
      </c>
      <c r="E117" s="5" t="s">
        <v>80</v>
      </c>
      <c r="F117" s="5" t="s">
        <v>81</v>
      </c>
      <c r="G117" s="17">
        <v>44881.405555555553</v>
      </c>
      <c r="H117" s="5" t="s">
        <v>82</v>
      </c>
      <c r="I117" s="5" t="s">
        <v>89</v>
      </c>
      <c r="J117" s="5" t="s">
        <v>84</v>
      </c>
      <c r="K117" s="15">
        <f ca="1">NOW()-D117</f>
        <v>8.2684711805559346</v>
      </c>
      <c r="L117" s="16">
        <f t="shared" ca="1" si="3"/>
        <v>6.4608322916683392</v>
      </c>
    </row>
    <row r="118" spans="1:12" x14ac:dyDescent="0.25">
      <c r="A118" s="5" t="s">
        <v>255</v>
      </c>
      <c r="B118" s="5" t="s">
        <v>151</v>
      </c>
      <c r="C118" s="5" t="s">
        <v>92</v>
      </c>
      <c r="D118" s="17">
        <v>44853.638888888891</v>
      </c>
      <c r="E118" s="5" t="s">
        <v>80</v>
      </c>
      <c r="F118" s="5" t="s">
        <v>81</v>
      </c>
      <c r="G118" s="17">
        <v>44881.371527777781</v>
      </c>
      <c r="H118" s="5" t="s">
        <v>82</v>
      </c>
      <c r="I118" s="5" t="s">
        <v>93</v>
      </c>
      <c r="J118" s="5" t="s">
        <v>84</v>
      </c>
      <c r="K118" s="15">
        <f ca="1">NOW()-D118</f>
        <v>34.227498958331125</v>
      </c>
      <c r="L118" s="16">
        <f t="shared" ca="1" si="3"/>
        <v>6.4948600694406196</v>
      </c>
    </row>
    <row r="119" spans="1:12" x14ac:dyDescent="0.25">
      <c r="A119" s="5" t="s">
        <v>256</v>
      </c>
      <c r="B119" s="5" t="s">
        <v>116</v>
      </c>
      <c r="C119" s="5" t="s">
        <v>92</v>
      </c>
      <c r="D119" s="17">
        <v>44875.667361111111</v>
      </c>
      <c r="E119" s="5" t="s">
        <v>80</v>
      </c>
      <c r="F119" s="5" t="s">
        <v>81</v>
      </c>
      <c r="G119" s="17">
        <v>44881.331250000003</v>
      </c>
      <c r="H119" s="5" t="s">
        <v>82</v>
      </c>
      <c r="I119" s="5" t="s">
        <v>83</v>
      </c>
      <c r="J119" s="5" t="s">
        <v>84</v>
      </c>
      <c r="K119" s="15">
        <f ca="1">NOW()-D119</f>
        <v>12.199026736110682</v>
      </c>
      <c r="L119" s="16">
        <f t="shared" ca="1" si="3"/>
        <v>6.5351378472187207</v>
      </c>
    </row>
    <row r="120" spans="1:12" x14ac:dyDescent="0.25">
      <c r="A120" s="5" t="s">
        <v>257</v>
      </c>
      <c r="B120" s="5" t="s">
        <v>232</v>
      </c>
      <c r="C120" s="5" t="s">
        <v>87</v>
      </c>
      <c r="D120" s="17">
        <v>44879.65902777778</v>
      </c>
      <c r="E120" s="5" t="s">
        <v>80</v>
      </c>
      <c r="F120" s="5" t="s">
        <v>81</v>
      </c>
      <c r="G120" s="17">
        <v>44879.65902777778</v>
      </c>
      <c r="H120" s="5" t="s">
        <v>88</v>
      </c>
      <c r="I120" s="5" t="s">
        <v>89</v>
      </c>
      <c r="J120" s="5" t="s">
        <v>84</v>
      </c>
      <c r="K120" s="15">
        <f ca="1">NOW()-D120</f>
        <v>8.2073600694420747</v>
      </c>
      <c r="L120" s="16">
        <f t="shared" ca="1" si="3"/>
        <v>8.2073600694420747</v>
      </c>
    </row>
    <row r="121" spans="1:12" ht="45" x14ac:dyDescent="0.25">
      <c r="A121" s="5" t="s">
        <v>258</v>
      </c>
      <c r="B121" s="5" t="s">
        <v>259</v>
      </c>
      <c r="C121" s="5" t="s">
        <v>79</v>
      </c>
      <c r="D121" s="17">
        <v>44879.554861111108</v>
      </c>
      <c r="E121" s="18" t="s">
        <v>136</v>
      </c>
      <c r="F121" s="5" t="s">
        <v>81</v>
      </c>
      <c r="G121" s="17">
        <v>44879.588194444441</v>
      </c>
      <c r="H121" s="5" t="s">
        <v>82</v>
      </c>
      <c r="I121" s="5" t="s">
        <v>93</v>
      </c>
      <c r="J121" s="5" t="s">
        <v>84</v>
      </c>
      <c r="K121" s="15">
        <f ca="1">NOW()-D121</f>
        <v>8.3115267361135921</v>
      </c>
      <c r="L121" s="16">
        <f t="shared" ca="1" si="3"/>
        <v>8.2781934027807438</v>
      </c>
    </row>
    <row r="122" spans="1:12" x14ac:dyDescent="0.25">
      <c r="A122" s="5" t="s">
        <v>260</v>
      </c>
      <c r="B122" s="5" t="s">
        <v>78</v>
      </c>
      <c r="C122" s="5" t="s">
        <v>79</v>
      </c>
      <c r="D122" s="17">
        <v>44879.587500000001</v>
      </c>
      <c r="E122" s="5" t="s">
        <v>80</v>
      </c>
      <c r="F122" s="5" t="s">
        <v>81</v>
      </c>
      <c r="G122" s="17">
        <v>44879.587500000001</v>
      </c>
      <c r="H122" s="5" t="s">
        <v>82</v>
      </c>
      <c r="I122" s="5" t="s">
        <v>93</v>
      </c>
      <c r="J122" s="5" t="s">
        <v>84</v>
      </c>
      <c r="K122" s="15">
        <f ca="1">NOW()-D122</f>
        <v>8.2788878472201759</v>
      </c>
      <c r="L122" s="16">
        <f t="shared" ca="1" si="3"/>
        <v>8.2788878472201759</v>
      </c>
    </row>
    <row r="123" spans="1:12" x14ac:dyDescent="0.25">
      <c r="A123" s="5" t="s">
        <v>261</v>
      </c>
      <c r="B123" s="5" t="s">
        <v>134</v>
      </c>
      <c r="C123" s="5" t="s">
        <v>92</v>
      </c>
      <c r="D123" s="17">
        <v>44879.37777777778</v>
      </c>
      <c r="E123" s="5" t="s">
        <v>80</v>
      </c>
      <c r="F123" s="5" t="s">
        <v>81</v>
      </c>
      <c r="G123" s="17">
        <v>44879.380555555559</v>
      </c>
      <c r="H123" s="5" t="s">
        <v>82</v>
      </c>
      <c r="I123" s="5" t="s">
        <v>93</v>
      </c>
      <c r="J123" s="5" t="s">
        <v>84</v>
      </c>
      <c r="K123" s="15">
        <f ca="1">NOW()-D123</f>
        <v>8.4886100694420747</v>
      </c>
      <c r="L123" s="16">
        <f t="shared" ca="1" si="3"/>
        <v>8.4858322916625184</v>
      </c>
    </row>
    <row r="124" spans="1:12" x14ac:dyDescent="0.25">
      <c r="A124" s="5" t="s">
        <v>262</v>
      </c>
      <c r="B124" s="5" t="s">
        <v>263</v>
      </c>
      <c r="C124" s="5" t="s">
        <v>92</v>
      </c>
      <c r="D124" s="17">
        <v>44876.709027777775</v>
      </c>
      <c r="E124" s="5" t="s">
        <v>80</v>
      </c>
      <c r="F124" s="5" t="s">
        <v>166</v>
      </c>
      <c r="G124" s="17">
        <v>44879.345138888886</v>
      </c>
      <c r="H124" s="5" t="s">
        <v>82</v>
      </c>
      <c r="I124" s="5" t="s">
        <v>93</v>
      </c>
      <c r="J124" s="5" t="s">
        <v>84</v>
      </c>
      <c r="K124" s="15">
        <f ca="1">NOW()-D124</f>
        <v>11.15736006944644</v>
      </c>
      <c r="L124" s="16">
        <f t="shared" ca="1" si="3"/>
        <v>8.5212489583354909</v>
      </c>
    </row>
    <row r="125" spans="1:12" ht="45" x14ac:dyDescent="0.25">
      <c r="A125" s="5" t="s">
        <v>264</v>
      </c>
      <c r="B125" s="5" t="s">
        <v>110</v>
      </c>
      <c r="C125" s="5" t="s">
        <v>92</v>
      </c>
      <c r="D125" s="17">
        <v>44872.570138888892</v>
      </c>
      <c r="E125" s="18" t="s">
        <v>265</v>
      </c>
      <c r="F125" s="5" t="s">
        <v>81</v>
      </c>
      <c r="G125" s="17">
        <v>44877.454861111109</v>
      </c>
      <c r="H125" s="5" t="s">
        <v>82</v>
      </c>
      <c r="I125" s="5" t="s">
        <v>93</v>
      </c>
      <c r="J125" s="5" t="s">
        <v>84</v>
      </c>
      <c r="K125" s="15">
        <f ca="1">NOW()-D125</f>
        <v>15.29624895832967</v>
      </c>
      <c r="L125" s="16">
        <f t="shared" ca="1" si="3"/>
        <v>10.411526736112137</v>
      </c>
    </row>
    <row r="126" spans="1:12" x14ac:dyDescent="0.25">
      <c r="A126" s="5" t="s">
        <v>266</v>
      </c>
      <c r="B126" s="5" t="s">
        <v>110</v>
      </c>
      <c r="C126" s="5" t="s">
        <v>79</v>
      </c>
      <c r="D126" s="17">
        <v>44876.643750000003</v>
      </c>
      <c r="E126" s="5" t="s">
        <v>80</v>
      </c>
      <c r="F126" s="5" t="s">
        <v>81</v>
      </c>
      <c r="G126" s="17">
        <v>44877.45416666667</v>
      </c>
      <c r="H126" s="5" t="s">
        <v>82</v>
      </c>
      <c r="I126" s="5" t="s">
        <v>93</v>
      </c>
      <c r="J126" s="5" t="s">
        <v>84</v>
      </c>
      <c r="K126" s="15">
        <f ca="1">NOW()-D126</f>
        <v>11.222637847218721</v>
      </c>
      <c r="L126" s="16">
        <f t="shared" ca="1" si="3"/>
        <v>10.412221180551569</v>
      </c>
    </row>
    <row r="127" spans="1:12" ht="45" x14ac:dyDescent="0.25">
      <c r="A127" s="5" t="s">
        <v>267</v>
      </c>
      <c r="B127" s="5" t="s">
        <v>107</v>
      </c>
      <c r="C127" s="5" t="s">
        <v>79</v>
      </c>
      <c r="D127" s="17">
        <v>44872.575694444444</v>
      </c>
      <c r="E127" s="18" t="s">
        <v>265</v>
      </c>
      <c r="F127" s="5" t="s">
        <v>81</v>
      </c>
      <c r="G127" s="17">
        <v>44877.45416666667</v>
      </c>
      <c r="H127" s="5" t="s">
        <v>82</v>
      </c>
      <c r="I127" s="5" t="s">
        <v>93</v>
      </c>
      <c r="J127" s="5" t="s">
        <v>84</v>
      </c>
      <c r="K127" s="15">
        <f ca="1">NOW()-D127</f>
        <v>15.290693402777833</v>
      </c>
      <c r="L127" s="16">
        <f t="shared" ca="1" si="3"/>
        <v>10.412221180551569</v>
      </c>
    </row>
    <row r="128" spans="1:12" x14ac:dyDescent="0.25">
      <c r="A128" s="5" t="s">
        <v>268</v>
      </c>
      <c r="B128" s="5" t="s">
        <v>86</v>
      </c>
      <c r="C128" s="5" t="s">
        <v>87</v>
      </c>
      <c r="D128" s="17">
        <v>44876.754166666666</v>
      </c>
      <c r="E128" s="5" t="s">
        <v>80</v>
      </c>
      <c r="F128" s="5" t="s">
        <v>81</v>
      </c>
      <c r="G128" s="17">
        <v>44876.754166666666</v>
      </c>
      <c r="H128" s="5" t="s">
        <v>88</v>
      </c>
      <c r="I128" s="5" t="s">
        <v>89</v>
      </c>
      <c r="J128" s="5" t="s">
        <v>84</v>
      </c>
      <c r="K128" s="15">
        <f ca="1">NOW()-D128</f>
        <v>11.112221180555935</v>
      </c>
      <c r="L128" s="16">
        <f t="shared" ca="1" si="3"/>
        <v>11.112221180555935</v>
      </c>
    </row>
    <row r="129" spans="1:12" x14ac:dyDescent="0.25">
      <c r="A129" s="5" t="s">
        <v>269</v>
      </c>
      <c r="B129" s="5" t="s">
        <v>151</v>
      </c>
      <c r="C129" s="5" t="s">
        <v>79</v>
      </c>
      <c r="D129" s="17">
        <v>44875.495833333334</v>
      </c>
      <c r="E129" s="5" t="s">
        <v>80</v>
      </c>
      <c r="F129" s="5" t="s">
        <v>81</v>
      </c>
      <c r="G129" s="17">
        <v>44876.718055555553</v>
      </c>
      <c r="H129" s="5" t="s">
        <v>82</v>
      </c>
      <c r="I129" s="5" t="s">
        <v>93</v>
      </c>
      <c r="J129" s="5" t="s">
        <v>84</v>
      </c>
      <c r="K129" s="15">
        <f ca="1">NOW()-D129</f>
        <v>12.370554513887328</v>
      </c>
      <c r="L129" s="16">
        <f t="shared" ca="1" si="3"/>
        <v>11.148332291668339</v>
      </c>
    </row>
    <row r="130" spans="1:12" x14ac:dyDescent="0.25">
      <c r="A130" s="5" t="s">
        <v>270</v>
      </c>
      <c r="B130" s="5" t="s">
        <v>78</v>
      </c>
      <c r="C130" s="5" t="s">
        <v>79</v>
      </c>
      <c r="D130" s="17">
        <v>44876.351388888892</v>
      </c>
      <c r="E130" s="5" t="s">
        <v>80</v>
      </c>
      <c r="F130" s="5" t="s">
        <v>81</v>
      </c>
      <c r="G130" s="17">
        <v>44876.711805555555</v>
      </c>
      <c r="H130" s="5" t="s">
        <v>82</v>
      </c>
      <c r="I130" s="5" t="s">
        <v>93</v>
      </c>
      <c r="J130" s="5" t="s">
        <v>84</v>
      </c>
      <c r="K130" s="15">
        <f ca="1">NOW()-D130</f>
        <v>11.51499895832967</v>
      </c>
      <c r="L130" s="16">
        <f t="shared" ref="L130:L161" ca="1" si="4">NOW()-G130</f>
        <v>11.154582291666884</v>
      </c>
    </row>
    <row r="131" spans="1:12" x14ac:dyDescent="0.25">
      <c r="A131" s="5" t="s">
        <v>271</v>
      </c>
      <c r="B131" s="5" t="s">
        <v>86</v>
      </c>
      <c r="C131" s="5" t="s">
        <v>87</v>
      </c>
      <c r="D131" s="17">
        <v>44866.688194444447</v>
      </c>
      <c r="E131" s="5" t="s">
        <v>80</v>
      </c>
      <c r="F131" s="5" t="s">
        <v>81</v>
      </c>
      <c r="G131" s="17">
        <v>44876.664583333331</v>
      </c>
      <c r="H131" s="5" t="s">
        <v>88</v>
      </c>
      <c r="I131" s="5" t="s">
        <v>272</v>
      </c>
      <c r="J131" s="5" t="s">
        <v>84</v>
      </c>
      <c r="K131" s="15">
        <f ca="1">NOW()-D131</f>
        <v>21.178193402774923</v>
      </c>
      <c r="L131" s="16">
        <f t="shared" ca="1" si="4"/>
        <v>11.201804513890238</v>
      </c>
    </row>
    <row r="132" spans="1:12" x14ac:dyDescent="0.25">
      <c r="A132" s="5" t="s">
        <v>273</v>
      </c>
      <c r="B132" s="5" t="s">
        <v>121</v>
      </c>
      <c r="C132" s="5" t="s">
        <v>92</v>
      </c>
      <c r="D132" s="17">
        <v>44830.467361111114</v>
      </c>
      <c r="E132" s="5" t="s">
        <v>80</v>
      </c>
      <c r="F132" s="5" t="s">
        <v>81</v>
      </c>
      <c r="G132" s="17">
        <v>44876.661805555559</v>
      </c>
      <c r="H132" s="5" t="s">
        <v>88</v>
      </c>
      <c r="I132" s="5" t="s">
        <v>89</v>
      </c>
      <c r="J132" s="5" t="s">
        <v>84</v>
      </c>
      <c r="K132" s="15">
        <f ca="1">NOW()-D132</f>
        <v>57.399026736107771</v>
      </c>
      <c r="L132" s="16">
        <f t="shared" ca="1" si="4"/>
        <v>11.204582291662518</v>
      </c>
    </row>
    <row r="133" spans="1:12" x14ac:dyDescent="0.25">
      <c r="A133" s="5" t="s">
        <v>274</v>
      </c>
      <c r="B133" s="5" t="s">
        <v>146</v>
      </c>
      <c r="C133" s="5" t="s">
        <v>79</v>
      </c>
      <c r="D133" s="17">
        <v>44876.652083333334</v>
      </c>
      <c r="E133" s="5" t="s">
        <v>80</v>
      </c>
      <c r="F133" s="5" t="s">
        <v>81</v>
      </c>
      <c r="G133" s="17">
        <v>44876.652083333334</v>
      </c>
      <c r="H133" s="5" t="s">
        <v>82</v>
      </c>
      <c r="I133" s="5" t="s">
        <v>89</v>
      </c>
      <c r="J133" s="5" t="s">
        <v>84</v>
      </c>
      <c r="K133" s="15">
        <f ca="1">NOW()-D133</f>
        <v>11.214304513887328</v>
      </c>
      <c r="L133" s="16">
        <f t="shared" ca="1" si="4"/>
        <v>11.214304513887328</v>
      </c>
    </row>
    <row r="134" spans="1:12" x14ac:dyDescent="0.25">
      <c r="A134" s="5" t="s">
        <v>275</v>
      </c>
      <c r="B134" s="5" t="s">
        <v>134</v>
      </c>
      <c r="C134" s="5" t="s">
        <v>92</v>
      </c>
      <c r="D134" s="17">
        <v>44869.586111111108</v>
      </c>
      <c r="E134" s="5" t="s">
        <v>80</v>
      </c>
      <c r="F134" s="5" t="s">
        <v>81</v>
      </c>
      <c r="G134" s="17">
        <v>44876.589583333334</v>
      </c>
      <c r="H134" s="5" t="s">
        <v>82</v>
      </c>
      <c r="I134" s="5" t="s">
        <v>93</v>
      </c>
      <c r="J134" s="5" t="s">
        <v>84</v>
      </c>
      <c r="K134" s="15">
        <f ca="1">NOW()-D134</f>
        <v>18.280276736113592</v>
      </c>
      <c r="L134" s="16">
        <f t="shared" ca="1" si="4"/>
        <v>11.276804513887328</v>
      </c>
    </row>
    <row r="135" spans="1:12" x14ac:dyDescent="0.25">
      <c r="A135" s="5" t="s">
        <v>276</v>
      </c>
      <c r="B135" s="5" t="s">
        <v>112</v>
      </c>
      <c r="C135" s="5" t="s">
        <v>87</v>
      </c>
      <c r="D135" s="17">
        <v>44876.377083333333</v>
      </c>
      <c r="E135" s="5" t="s">
        <v>80</v>
      </c>
      <c r="F135" s="5" t="s">
        <v>81</v>
      </c>
      <c r="G135" s="17">
        <v>44876.561111111114</v>
      </c>
      <c r="H135" s="5" t="s">
        <v>82</v>
      </c>
      <c r="I135" s="5" t="s">
        <v>89</v>
      </c>
      <c r="J135" s="5" t="s">
        <v>84</v>
      </c>
      <c r="K135" s="15">
        <f ca="1">NOW()-D135</f>
        <v>11.489304513888783</v>
      </c>
      <c r="L135" s="16">
        <f t="shared" ca="1" si="4"/>
        <v>11.305276736107771</v>
      </c>
    </row>
    <row r="136" spans="1:12" x14ac:dyDescent="0.25">
      <c r="A136" s="5" t="s">
        <v>277</v>
      </c>
      <c r="B136" s="5" t="s">
        <v>134</v>
      </c>
      <c r="C136" s="5" t="s">
        <v>79</v>
      </c>
      <c r="D136" s="17">
        <v>44866.741666666669</v>
      </c>
      <c r="E136" s="5" t="s">
        <v>80</v>
      </c>
      <c r="F136" s="5" t="s">
        <v>81</v>
      </c>
      <c r="G136" s="17">
        <v>44876.430555555555</v>
      </c>
      <c r="H136" s="5" t="s">
        <v>82</v>
      </c>
      <c r="I136" s="5" t="s">
        <v>93</v>
      </c>
      <c r="J136" s="5" t="s">
        <v>84</v>
      </c>
      <c r="K136" s="15">
        <f ca="1">NOW()-D136</f>
        <v>21.124721180553024</v>
      </c>
      <c r="L136" s="16">
        <f t="shared" ca="1" si="4"/>
        <v>11.435832291666884</v>
      </c>
    </row>
    <row r="137" spans="1:12" x14ac:dyDescent="0.25">
      <c r="A137" s="5" t="s">
        <v>278</v>
      </c>
      <c r="B137" s="5" t="s">
        <v>218</v>
      </c>
      <c r="C137" s="5" t="s">
        <v>92</v>
      </c>
      <c r="D137" s="17">
        <v>44874.71597222222</v>
      </c>
      <c r="E137" s="5" t="s">
        <v>80</v>
      </c>
      <c r="F137" s="5" t="s">
        <v>81</v>
      </c>
      <c r="G137" s="17">
        <v>44875.685416666667</v>
      </c>
      <c r="H137" s="5" t="s">
        <v>82</v>
      </c>
      <c r="I137" s="5" t="s">
        <v>93</v>
      </c>
      <c r="J137" s="5" t="s">
        <v>84</v>
      </c>
      <c r="K137" s="15">
        <f ca="1">NOW()-D137</f>
        <v>13.150415625001187</v>
      </c>
      <c r="L137" s="16">
        <f t="shared" ca="1" si="4"/>
        <v>12.180971180554479</v>
      </c>
    </row>
    <row r="138" spans="1:12" ht="30" x14ac:dyDescent="0.25">
      <c r="A138" s="5" t="s">
        <v>279</v>
      </c>
      <c r="B138" s="5" t="s">
        <v>151</v>
      </c>
      <c r="C138" s="5" t="s">
        <v>79</v>
      </c>
      <c r="D138" s="17">
        <v>44875.622916666667</v>
      </c>
      <c r="E138" s="18" t="s">
        <v>280</v>
      </c>
      <c r="F138" s="5" t="s">
        <v>81</v>
      </c>
      <c r="G138" s="17">
        <v>44875.622916666667</v>
      </c>
      <c r="H138" s="5" t="s">
        <v>82</v>
      </c>
      <c r="I138" s="5" t="s">
        <v>89</v>
      </c>
      <c r="J138" s="5" t="s">
        <v>183</v>
      </c>
      <c r="K138" s="15">
        <f ca="1">NOW()-D138</f>
        <v>12.243471180554479</v>
      </c>
      <c r="L138" s="16">
        <f t="shared" ca="1" si="4"/>
        <v>12.243471180554479</v>
      </c>
    </row>
    <row r="139" spans="1:12" x14ac:dyDescent="0.25">
      <c r="A139" s="5" t="s">
        <v>281</v>
      </c>
      <c r="B139" s="5" t="s">
        <v>151</v>
      </c>
      <c r="C139" s="5" t="s">
        <v>79</v>
      </c>
      <c r="D139" s="17">
        <v>44862.418749999997</v>
      </c>
      <c r="E139" s="5" t="s">
        <v>80</v>
      </c>
      <c r="F139" s="5" t="s">
        <v>81</v>
      </c>
      <c r="G139" s="17">
        <v>44875.586111111108</v>
      </c>
      <c r="H139" s="5" t="s">
        <v>82</v>
      </c>
      <c r="I139" s="5" t="s">
        <v>83</v>
      </c>
      <c r="J139" s="5" t="s">
        <v>84</v>
      </c>
      <c r="K139" s="15">
        <f ca="1">NOW()-D139</f>
        <v>25.447637847224541</v>
      </c>
      <c r="L139" s="16">
        <f t="shared" ca="1" si="4"/>
        <v>12.280276736113592</v>
      </c>
    </row>
    <row r="140" spans="1:12" x14ac:dyDescent="0.25">
      <c r="A140" s="5" t="s">
        <v>282</v>
      </c>
      <c r="B140" s="5" t="s">
        <v>283</v>
      </c>
      <c r="C140" s="5" t="s">
        <v>79</v>
      </c>
      <c r="D140" s="17">
        <v>44868.634027777778</v>
      </c>
      <c r="E140" s="5" t="s">
        <v>80</v>
      </c>
      <c r="F140" s="5" t="s">
        <v>81</v>
      </c>
      <c r="G140" s="17">
        <v>44875.586111111108</v>
      </c>
      <c r="H140" s="5" t="s">
        <v>82</v>
      </c>
      <c r="I140" s="5" t="s">
        <v>83</v>
      </c>
      <c r="J140" s="5" t="s">
        <v>84</v>
      </c>
      <c r="K140" s="15">
        <f ca="1">NOW()-D140</f>
        <v>19.23236006944353</v>
      </c>
      <c r="L140" s="16">
        <f t="shared" ca="1" si="4"/>
        <v>12.280276736113592</v>
      </c>
    </row>
    <row r="141" spans="1:12" x14ac:dyDescent="0.25">
      <c r="A141" s="5" t="s">
        <v>284</v>
      </c>
      <c r="B141" s="5" t="s">
        <v>107</v>
      </c>
      <c r="C141" s="5" t="s">
        <v>92</v>
      </c>
      <c r="D141" s="17">
        <v>44869.484722222223</v>
      </c>
      <c r="E141" s="5" t="s">
        <v>80</v>
      </c>
      <c r="F141" s="5" t="s">
        <v>81</v>
      </c>
      <c r="G141" s="17">
        <v>44875.586111111108</v>
      </c>
      <c r="H141" s="5" t="s">
        <v>82</v>
      </c>
      <c r="I141" s="5" t="s">
        <v>83</v>
      </c>
      <c r="J141" s="5" t="s">
        <v>84</v>
      </c>
      <c r="K141" s="15">
        <f ca="1">NOW()-D141</f>
        <v>18.381665624998277</v>
      </c>
      <c r="L141" s="16">
        <f t="shared" ca="1" si="4"/>
        <v>12.280276736113592</v>
      </c>
    </row>
    <row r="142" spans="1:12" x14ac:dyDescent="0.25">
      <c r="A142" s="5" t="s">
        <v>285</v>
      </c>
      <c r="B142" s="5" t="s">
        <v>138</v>
      </c>
      <c r="C142" s="5" t="s">
        <v>87</v>
      </c>
      <c r="D142" s="17">
        <v>44875.474305555559</v>
      </c>
      <c r="E142" s="5" t="s">
        <v>80</v>
      </c>
      <c r="F142" s="5" t="s">
        <v>81</v>
      </c>
      <c r="G142" s="17">
        <v>44875.474305555559</v>
      </c>
      <c r="H142" s="5" t="s">
        <v>82</v>
      </c>
      <c r="I142" s="5" t="s">
        <v>89</v>
      </c>
      <c r="J142" s="5" t="s">
        <v>84</v>
      </c>
      <c r="K142" s="15">
        <f ca="1">NOW()-D142</f>
        <v>12.392082291662518</v>
      </c>
      <c r="L142" s="16">
        <f t="shared" ca="1" si="4"/>
        <v>12.392082291662518</v>
      </c>
    </row>
    <row r="143" spans="1:12" x14ac:dyDescent="0.25">
      <c r="A143" s="5" t="s">
        <v>286</v>
      </c>
      <c r="B143" s="5" t="s">
        <v>151</v>
      </c>
      <c r="C143" s="5" t="s">
        <v>79</v>
      </c>
      <c r="D143" s="17">
        <v>44875.461805555555</v>
      </c>
      <c r="E143" s="5" t="s">
        <v>80</v>
      </c>
      <c r="F143" s="5" t="s">
        <v>81</v>
      </c>
      <c r="G143" s="17">
        <v>44875.467361111114</v>
      </c>
      <c r="H143" s="5" t="s">
        <v>82</v>
      </c>
      <c r="I143" s="5" t="s">
        <v>93</v>
      </c>
      <c r="J143" s="5" t="s">
        <v>84</v>
      </c>
      <c r="K143" s="15">
        <f ca="1">NOW()-D143</f>
        <v>12.404582291666884</v>
      </c>
      <c r="L143" s="16">
        <f t="shared" ca="1" si="4"/>
        <v>12.399026736107771</v>
      </c>
    </row>
    <row r="144" spans="1:12" x14ac:dyDescent="0.25">
      <c r="A144" s="5" t="s">
        <v>287</v>
      </c>
      <c r="B144" s="5" t="s">
        <v>151</v>
      </c>
      <c r="C144" s="5" t="s">
        <v>92</v>
      </c>
      <c r="D144" s="17">
        <v>44866.590277777781</v>
      </c>
      <c r="E144" s="5" t="s">
        <v>80</v>
      </c>
      <c r="F144" s="5" t="s">
        <v>81</v>
      </c>
      <c r="G144" s="17">
        <v>44875.448611111111</v>
      </c>
      <c r="H144" s="5" t="s">
        <v>82</v>
      </c>
      <c r="I144" s="5" t="s">
        <v>93</v>
      </c>
      <c r="J144" s="5" t="s">
        <v>84</v>
      </c>
      <c r="K144" s="15">
        <f ca="1">NOW()-D144</f>
        <v>21.27611006944062</v>
      </c>
      <c r="L144" s="16">
        <f t="shared" ca="1" si="4"/>
        <v>12.417776736110682</v>
      </c>
    </row>
    <row r="145" spans="1:12" x14ac:dyDescent="0.25">
      <c r="A145" s="5" t="s">
        <v>288</v>
      </c>
      <c r="B145" s="5" t="s">
        <v>146</v>
      </c>
      <c r="C145" s="5" t="s">
        <v>79</v>
      </c>
      <c r="D145" s="17">
        <v>44875.418749999997</v>
      </c>
      <c r="E145" s="5" t="s">
        <v>80</v>
      </c>
      <c r="F145" s="5" t="s">
        <v>81</v>
      </c>
      <c r="G145" s="17">
        <v>44875.429166666669</v>
      </c>
      <c r="H145" s="5" t="s">
        <v>82</v>
      </c>
      <c r="I145" s="5" t="s">
        <v>93</v>
      </c>
      <c r="J145" s="5" t="s">
        <v>84</v>
      </c>
      <c r="K145" s="15">
        <f ca="1">NOW()-D145</f>
        <v>12.447637847224541</v>
      </c>
      <c r="L145" s="16">
        <f t="shared" ca="1" si="4"/>
        <v>12.437221180553024</v>
      </c>
    </row>
    <row r="146" spans="1:12" ht="45" x14ac:dyDescent="0.25">
      <c r="A146" s="5" t="s">
        <v>289</v>
      </c>
      <c r="B146" s="5" t="s">
        <v>232</v>
      </c>
      <c r="C146" s="5" t="s">
        <v>87</v>
      </c>
      <c r="D146" s="17">
        <v>44875.341666666667</v>
      </c>
      <c r="E146" s="18" t="s">
        <v>265</v>
      </c>
      <c r="F146" s="5" t="s">
        <v>81</v>
      </c>
      <c r="G146" s="17">
        <v>44875.341666666667</v>
      </c>
      <c r="H146" s="5" t="s">
        <v>88</v>
      </c>
      <c r="I146" s="5" t="s">
        <v>89</v>
      </c>
      <c r="J146" s="5" t="s">
        <v>84</v>
      </c>
      <c r="K146" s="15">
        <f ca="1">NOW()-D146</f>
        <v>12.524721180554479</v>
      </c>
      <c r="L146" s="16">
        <f t="shared" ca="1" si="4"/>
        <v>12.524721180554479</v>
      </c>
    </row>
    <row r="147" spans="1:12" x14ac:dyDescent="0.25">
      <c r="A147" s="5" t="s">
        <v>290</v>
      </c>
      <c r="B147" s="5" t="s">
        <v>151</v>
      </c>
      <c r="C147" s="5" t="s">
        <v>79</v>
      </c>
      <c r="D147" s="17">
        <v>44874.623611111114</v>
      </c>
      <c r="E147" s="5" t="s">
        <v>80</v>
      </c>
      <c r="F147" s="5" t="s">
        <v>81</v>
      </c>
      <c r="G147" s="17">
        <v>44874.623611111114</v>
      </c>
      <c r="H147" s="5" t="s">
        <v>82</v>
      </c>
      <c r="I147" s="5" t="s">
        <v>89</v>
      </c>
      <c r="J147" s="5" t="s">
        <v>84</v>
      </c>
      <c r="K147" s="15">
        <f ca="1">NOW()-D147</f>
        <v>13.242776736107771</v>
      </c>
      <c r="L147" s="16">
        <f t="shared" ca="1" si="4"/>
        <v>13.242776736107771</v>
      </c>
    </row>
    <row r="148" spans="1:12" x14ac:dyDescent="0.25">
      <c r="A148" s="5" t="s">
        <v>291</v>
      </c>
      <c r="B148" s="5" t="s">
        <v>259</v>
      </c>
      <c r="C148" s="5" t="s">
        <v>79</v>
      </c>
      <c r="D148" s="17">
        <v>44873.369444444441</v>
      </c>
      <c r="E148" s="5" t="s">
        <v>80</v>
      </c>
      <c r="F148" s="5" t="s">
        <v>81</v>
      </c>
      <c r="G148" s="17">
        <v>44874.597222222219</v>
      </c>
      <c r="H148" s="5" t="s">
        <v>82</v>
      </c>
      <c r="I148" s="5" t="s">
        <v>89</v>
      </c>
      <c r="J148" s="5" t="s">
        <v>84</v>
      </c>
      <c r="K148" s="15">
        <f ca="1">NOW()-D148</f>
        <v>14.496943402780744</v>
      </c>
      <c r="L148" s="16">
        <f t="shared" ca="1" si="4"/>
        <v>13.269165625002643</v>
      </c>
    </row>
    <row r="149" spans="1:12" x14ac:dyDescent="0.25">
      <c r="A149" s="5" t="s">
        <v>292</v>
      </c>
      <c r="B149" s="5" t="s">
        <v>151</v>
      </c>
      <c r="C149" s="5" t="s">
        <v>92</v>
      </c>
      <c r="D149" s="17">
        <v>44860.342361111114</v>
      </c>
      <c r="E149" s="5" t="s">
        <v>80</v>
      </c>
      <c r="F149" s="5" t="s">
        <v>81</v>
      </c>
      <c r="G149" s="17">
        <v>44874.456250000003</v>
      </c>
      <c r="H149" s="5" t="s">
        <v>82</v>
      </c>
      <c r="I149" s="5" t="s">
        <v>93</v>
      </c>
      <c r="J149" s="5" t="s">
        <v>84</v>
      </c>
      <c r="K149" s="15">
        <f ca="1">NOW()-D149</f>
        <v>27.524026736107771</v>
      </c>
      <c r="L149" s="16">
        <f t="shared" ca="1" si="4"/>
        <v>13.410137847218721</v>
      </c>
    </row>
    <row r="150" spans="1:12" x14ac:dyDescent="0.25">
      <c r="A150" s="5" t="s">
        <v>293</v>
      </c>
      <c r="B150" s="5" t="s">
        <v>151</v>
      </c>
      <c r="C150" s="5" t="s">
        <v>79</v>
      </c>
      <c r="D150" s="17">
        <v>44869.793749999997</v>
      </c>
      <c r="E150" s="5" t="s">
        <v>80</v>
      </c>
      <c r="F150" s="5" t="s">
        <v>81</v>
      </c>
      <c r="G150" s="17">
        <v>44874.419444444444</v>
      </c>
      <c r="H150" s="5" t="s">
        <v>82</v>
      </c>
      <c r="I150" s="5" t="s">
        <v>93</v>
      </c>
      <c r="J150" s="5" t="s">
        <v>84</v>
      </c>
      <c r="K150" s="15">
        <f ca="1">NOW()-D150</f>
        <v>18.072637847224541</v>
      </c>
      <c r="L150" s="16">
        <f t="shared" ca="1" si="4"/>
        <v>13.446943402777833</v>
      </c>
    </row>
    <row r="151" spans="1:12" x14ac:dyDescent="0.25">
      <c r="A151" s="5" t="s">
        <v>294</v>
      </c>
      <c r="B151" s="5" t="s">
        <v>295</v>
      </c>
      <c r="C151" s="5" t="s">
        <v>79</v>
      </c>
      <c r="D151" s="17">
        <v>44874.370138888888</v>
      </c>
      <c r="E151" s="5" t="s">
        <v>80</v>
      </c>
      <c r="F151" s="5" t="s">
        <v>81</v>
      </c>
      <c r="G151" s="17">
        <v>44874.413888888892</v>
      </c>
      <c r="H151" s="5" t="s">
        <v>82</v>
      </c>
      <c r="I151" s="5" t="s">
        <v>93</v>
      </c>
      <c r="J151" s="5" t="s">
        <v>84</v>
      </c>
      <c r="K151" s="15">
        <f ca="1">NOW()-D151</f>
        <v>13.496248958334036</v>
      </c>
      <c r="L151" s="16">
        <f t="shared" ca="1" si="4"/>
        <v>13.45249895832967</v>
      </c>
    </row>
    <row r="152" spans="1:12" x14ac:dyDescent="0.25">
      <c r="A152" s="5" t="s">
        <v>296</v>
      </c>
      <c r="B152" s="5" t="s">
        <v>146</v>
      </c>
      <c r="C152" s="5" t="s">
        <v>92</v>
      </c>
      <c r="D152" s="17">
        <v>44873.604861111111</v>
      </c>
      <c r="E152" s="5" t="s">
        <v>80</v>
      </c>
      <c r="F152" s="5" t="s">
        <v>81</v>
      </c>
      <c r="G152" s="17">
        <v>44874.395138888889</v>
      </c>
      <c r="H152" s="5" t="s">
        <v>82</v>
      </c>
      <c r="I152" s="5" t="s">
        <v>93</v>
      </c>
      <c r="J152" s="5" t="s">
        <v>84</v>
      </c>
      <c r="K152" s="15">
        <f ca="1">NOW()-D152</f>
        <v>14.261526736110682</v>
      </c>
      <c r="L152" s="16">
        <f t="shared" ca="1" si="4"/>
        <v>13.471248958332581</v>
      </c>
    </row>
    <row r="153" spans="1:12" x14ac:dyDescent="0.25">
      <c r="A153" s="5" t="s">
        <v>297</v>
      </c>
      <c r="B153" s="5" t="s">
        <v>146</v>
      </c>
      <c r="C153" s="5" t="s">
        <v>92</v>
      </c>
      <c r="D153" s="17">
        <v>44873.604166666664</v>
      </c>
      <c r="E153" s="5" t="s">
        <v>80</v>
      </c>
      <c r="F153" s="5" t="s">
        <v>81</v>
      </c>
      <c r="G153" s="17">
        <v>44874.395138888889</v>
      </c>
      <c r="H153" s="5" t="s">
        <v>82</v>
      </c>
      <c r="I153" s="5" t="s">
        <v>93</v>
      </c>
      <c r="J153" s="5" t="s">
        <v>84</v>
      </c>
      <c r="K153" s="15">
        <f ca="1">NOW()-D153</f>
        <v>14.26222118055739</v>
      </c>
      <c r="L153" s="16">
        <f t="shared" ca="1" si="4"/>
        <v>13.471248958332581</v>
      </c>
    </row>
    <row r="154" spans="1:12" x14ac:dyDescent="0.25">
      <c r="A154" s="5" t="s">
        <v>298</v>
      </c>
      <c r="B154" s="5" t="s">
        <v>232</v>
      </c>
      <c r="C154" s="5" t="s">
        <v>87</v>
      </c>
      <c r="D154" s="17">
        <v>44872.706250000003</v>
      </c>
      <c r="E154" s="5" t="s">
        <v>80</v>
      </c>
      <c r="F154" s="5" t="s">
        <v>81</v>
      </c>
      <c r="G154" s="17">
        <v>44874.384722222225</v>
      </c>
      <c r="H154" s="5" t="s">
        <v>88</v>
      </c>
      <c r="I154" s="5" t="s">
        <v>89</v>
      </c>
      <c r="J154" s="5" t="s">
        <v>84</v>
      </c>
      <c r="K154" s="15">
        <f ca="1">NOW()-D154</f>
        <v>15.160137847218721</v>
      </c>
      <c r="L154" s="16">
        <f t="shared" ca="1" si="4"/>
        <v>13.481665624996822</v>
      </c>
    </row>
    <row r="155" spans="1:12" x14ac:dyDescent="0.25">
      <c r="A155" s="5" t="s">
        <v>299</v>
      </c>
      <c r="B155" s="5" t="s">
        <v>134</v>
      </c>
      <c r="C155" s="5" t="s">
        <v>79</v>
      </c>
      <c r="D155" s="17">
        <v>44874.299305555556</v>
      </c>
      <c r="E155" s="5" t="s">
        <v>80</v>
      </c>
      <c r="F155" s="5" t="s">
        <v>81</v>
      </c>
      <c r="G155" s="17">
        <v>44874.299305555556</v>
      </c>
      <c r="H155" s="5" t="s">
        <v>82</v>
      </c>
      <c r="I155" s="5" t="s">
        <v>89</v>
      </c>
      <c r="J155" s="5" t="s">
        <v>84</v>
      </c>
      <c r="K155" s="15">
        <f ca="1">NOW()-D155</f>
        <v>13.567082291665429</v>
      </c>
      <c r="L155" s="16">
        <f t="shared" ca="1" si="4"/>
        <v>13.567082291665429</v>
      </c>
    </row>
    <row r="156" spans="1:12" x14ac:dyDescent="0.25">
      <c r="A156" s="5" t="s">
        <v>300</v>
      </c>
      <c r="B156" s="5" t="s">
        <v>224</v>
      </c>
      <c r="C156" s="5" t="s">
        <v>92</v>
      </c>
      <c r="D156" s="17">
        <v>44873.618750000001</v>
      </c>
      <c r="E156" s="5" t="s">
        <v>80</v>
      </c>
      <c r="F156" s="5" t="s">
        <v>81</v>
      </c>
      <c r="G156" s="17">
        <v>44873.638888888891</v>
      </c>
      <c r="H156" s="5" t="s">
        <v>88</v>
      </c>
      <c r="I156" s="5" t="s">
        <v>89</v>
      </c>
      <c r="J156" s="5" t="s">
        <v>84</v>
      </c>
      <c r="K156" s="15">
        <f ca="1">NOW()-D156</f>
        <v>14.247637847220176</v>
      </c>
      <c r="L156" s="16">
        <f t="shared" ca="1" si="4"/>
        <v>14.227498958331125</v>
      </c>
    </row>
    <row r="157" spans="1:12" x14ac:dyDescent="0.25">
      <c r="A157" s="5" t="s">
        <v>301</v>
      </c>
      <c r="B157" s="5" t="s">
        <v>134</v>
      </c>
      <c r="C157" s="5" t="s">
        <v>79</v>
      </c>
      <c r="D157" s="17">
        <v>44873.637499999997</v>
      </c>
      <c r="E157" s="5" t="s">
        <v>80</v>
      </c>
      <c r="F157" s="5" t="s">
        <v>81</v>
      </c>
      <c r="G157" s="17">
        <v>44873.637499999997</v>
      </c>
      <c r="H157" s="5" t="s">
        <v>82</v>
      </c>
      <c r="I157" s="5" t="s">
        <v>89</v>
      </c>
      <c r="J157" s="5" t="s">
        <v>84</v>
      </c>
      <c r="K157" s="15">
        <f ca="1">NOW()-D157</f>
        <v>14.228887847224541</v>
      </c>
      <c r="L157" s="16">
        <f t="shared" ca="1" si="4"/>
        <v>14.228887847224541</v>
      </c>
    </row>
    <row r="158" spans="1:12" x14ac:dyDescent="0.25">
      <c r="A158" s="5" t="s">
        <v>302</v>
      </c>
      <c r="B158" s="5" t="s">
        <v>151</v>
      </c>
      <c r="C158" s="5" t="s">
        <v>92</v>
      </c>
      <c r="D158" s="17">
        <v>44861.604861111111</v>
      </c>
      <c r="E158" s="5" t="s">
        <v>80</v>
      </c>
      <c r="F158" s="5" t="s">
        <v>81</v>
      </c>
      <c r="G158" s="17">
        <v>44873.439583333333</v>
      </c>
      <c r="H158" s="5" t="s">
        <v>82</v>
      </c>
      <c r="I158" s="5" t="s">
        <v>93</v>
      </c>
      <c r="J158" s="5" t="s">
        <v>84</v>
      </c>
      <c r="K158" s="15">
        <f ca="1">NOW()-D158</f>
        <v>26.261526736110682</v>
      </c>
      <c r="L158" s="16">
        <f t="shared" ca="1" si="4"/>
        <v>14.426804513888783</v>
      </c>
    </row>
    <row r="159" spans="1:12" x14ac:dyDescent="0.25">
      <c r="A159" s="5" t="s">
        <v>303</v>
      </c>
      <c r="B159" s="5" t="s">
        <v>95</v>
      </c>
      <c r="C159" s="5" t="s">
        <v>79</v>
      </c>
      <c r="D159" s="17">
        <v>44873.415972222225</v>
      </c>
      <c r="E159" s="5" t="s">
        <v>80</v>
      </c>
      <c r="F159" s="5" t="s">
        <v>81</v>
      </c>
      <c r="G159" s="17">
        <v>44873.418055555558</v>
      </c>
      <c r="H159" s="5" t="s">
        <v>82</v>
      </c>
      <c r="I159" s="5" t="s">
        <v>93</v>
      </c>
      <c r="J159" s="5" t="s">
        <v>84</v>
      </c>
      <c r="K159" s="15">
        <f ca="1">NOW()-D159</f>
        <v>14.450415624996822</v>
      </c>
      <c r="L159" s="16">
        <f t="shared" ca="1" si="4"/>
        <v>14.448332291663974</v>
      </c>
    </row>
    <row r="160" spans="1:12" x14ac:dyDescent="0.25">
      <c r="A160" s="5" t="s">
        <v>304</v>
      </c>
      <c r="B160" s="5" t="s">
        <v>211</v>
      </c>
      <c r="C160" s="5" t="s">
        <v>79</v>
      </c>
      <c r="D160" s="17">
        <v>44873.402083333334</v>
      </c>
      <c r="E160" s="5" t="s">
        <v>80</v>
      </c>
      <c r="F160" s="5" t="s">
        <v>81</v>
      </c>
      <c r="G160" s="17">
        <v>44873.40347222222</v>
      </c>
      <c r="H160" s="5" t="s">
        <v>82</v>
      </c>
      <c r="I160" s="5" t="s">
        <v>93</v>
      </c>
      <c r="J160" s="5" t="s">
        <v>84</v>
      </c>
      <c r="K160" s="15">
        <f ca="1">NOW()-D160</f>
        <v>14.464304513887328</v>
      </c>
      <c r="L160" s="16">
        <f t="shared" ca="1" si="4"/>
        <v>14.462915625001187</v>
      </c>
    </row>
    <row r="161" spans="1:12" x14ac:dyDescent="0.25">
      <c r="A161" s="5" t="s">
        <v>305</v>
      </c>
      <c r="B161" s="5" t="s">
        <v>134</v>
      </c>
      <c r="C161" s="5" t="s">
        <v>79</v>
      </c>
      <c r="D161" s="17">
        <v>44873.359027777777</v>
      </c>
      <c r="E161" s="5" t="s">
        <v>80</v>
      </c>
      <c r="F161" s="5" t="s">
        <v>81</v>
      </c>
      <c r="G161" s="17">
        <v>44873.399305555555</v>
      </c>
      <c r="H161" s="5" t="s">
        <v>82</v>
      </c>
      <c r="I161" s="5" t="s">
        <v>93</v>
      </c>
      <c r="J161" s="5" t="s">
        <v>84</v>
      </c>
      <c r="K161" s="15">
        <f ca="1">NOW()-D161</f>
        <v>14.507360069444985</v>
      </c>
      <c r="L161" s="16">
        <f t="shared" ca="1" si="4"/>
        <v>14.467082291666884</v>
      </c>
    </row>
    <row r="162" spans="1:12" x14ac:dyDescent="0.25">
      <c r="A162" s="5" t="s">
        <v>306</v>
      </c>
      <c r="B162" s="5" t="s">
        <v>134</v>
      </c>
      <c r="C162" s="5" t="s">
        <v>79</v>
      </c>
      <c r="D162" s="17">
        <v>44873.361111111109</v>
      </c>
      <c r="E162" s="5" t="s">
        <v>80</v>
      </c>
      <c r="F162" s="5" t="s">
        <v>81</v>
      </c>
      <c r="G162" s="17">
        <v>44873.398611111108</v>
      </c>
      <c r="H162" s="5" t="s">
        <v>82</v>
      </c>
      <c r="I162" s="5" t="s">
        <v>93</v>
      </c>
      <c r="J162" s="5" t="s">
        <v>84</v>
      </c>
      <c r="K162" s="15">
        <f ca="1">NOW()-D162</f>
        <v>14.505276736112137</v>
      </c>
      <c r="L162" s="16">
        <f t="shared" ref="L162:L186" ca="1" si="5">NOW()-G162</f>
        <v>14.467776736113592</v>
      </c>
    </row>
    <row r="163" spans="1:12" x14ac:dyDescent="0.25">
      <c r="A163" s="5" t="s">
        <v>307</v>
      </c>
      <c r="B163" s="5" t="s">
        <v>134</v>
      </c>
      <c r="C163" s="5" t="s">
        <v>79</v>
      </c>
      <c r="D163" s="17">
        <v>44873.38958333333</v>
      </c>
      <c r="E163" s="5" t="s">
        <v>80</v>
      </c>
      <c r="F163" s="5" t="s">
        <v>81</v>
      </c>
      <c r="G163" s="17">
        <v>44873.393750000003</v>
      </c>
      <c r="H163" s="5" t="s">
        <v>82</v>
      </c>
      <c r="I163" s="5" t="s">
        <v>93</v>
      </c>
      <c r="J163" s="5" t="s">
        <v>84</v>
      </c>
      <c r="K163" s="15">
        <f ca="1">NOW()-D163</f>
        <v>14.476804513891693</v>
      </c>
      <c r="L163" s="16">
        <f t="shared" ca="1" si="5"/>
        <v>14.472637847218721</v>
      </c>
    </row>
    <row r="164" spans="1:12" x14ac:dyDescent="0.25">
      <c r="A164" s="5" t="s">
        <v>308</v>
      </c>
      <c r="B164" s="5" t="s">
        <v>309</v>
      </c>
      <c r="C164" s="5" t="s">
        <v>92</v>
      </c>
      <c r="D164" s="17">
        <v>44872.484722222223</v>
      </c>
      <c r="E164" s="5" t="s">
        <v>80</v>
      </c>
      <c r="F164" s="5" t="s">
        <v>166</v>
      </c>
      <c r="G164" s="17">
        <v>44872.834027777775</v>
      </c>
      <c r="H164" s="5" t="s">
        <v>82</v>
      </c>
      <c r="I164" s="5" t="s">
        <v>89</v>
      </c>
      <c r="J164" s="5" t="s">
        <v>84</v>
      </c>
      <c r="K164" s="15">
        <f ca="1">NOW()-D164</f>
        <v>15.381665624998277</v>
      </c>
      <c r="L164" s="16">
        <f t="shared" ca="1" si="5"/>
        <v>15.03236006944644</v>
      </c>
    </row>
    <row r="165" spans="1:12" ht="45" x14ac:dyDescent="0.25">
      <c r="A165" s="5" t="s">
        <v>310</v>
      </c>
      <c r="B165" s="5" t="s">
        <v>172</v>
      </c>
      <c r="C165" s="5" t="s">
        <v>87</v>
      </c>
      <c r="D165" s="17">
        <v>44872.65902777778</v>
      </c>
      <c r="E165" s="18" t="s">
        <v>311</v>
      </c>
      <c r="F165" s="5" t="s">
        <v>81</v>
      </c>
      <c r="G165" s="17">
        <v>44872.65902777778</v>
      </c>
      <c r="H165" s="5" t="s">
        <v>82</v>
      </c>
      <c r="I165" s="5" t="s">
        <v>89</v>
      </c>
      <c r="J165" s="5" t="s">
        <v>84</v>
      </c>
      <c r="K165" s="15">
        <f ca="1">NOW()-D165</f>
        <v>15.207360069442075</v>
      </c>
      <c r="L165" s="16">
        <f t="shared" ca="1" si="5"/>
        <v>15.207360069442075</v>
      </c>
    </row>
    <row r="166" spans="1:12" ht="60" x14ac:dyDescent="0.25">
      <c r="A166" s="5" t="s">
        <v>312</v>
      </c>
      <c r="B166" s="5" t="s">
        <v>196</v>
      </c>
      <c r="C166" s="5" t="s">
        <v>92</v>
      </c>
      <c r="D166" s="17">
        <v>44872.629166666666</v>
      </c>
      <c r="E166" s="18" t="s">
        <v>197</v>
      </c>
      <c r="F166" s="5" t="s">
        <v>81</v>
      </c>
      <c r="G166" s="17">
        <v>44872.646527777775</v>
      </c>
      <c r="H166" s="5" t="s">
        <v>82</v>
      </c>
      <c r="I166" s="5" t="s">
        <v>89</v>
      </c>
      <c r="J166" s="5" t="s">
        <v>84</v>
      </c>
      <c r="K166" s="15">
        <f ca="1">NOW()-D166</f>
        <v>15.237221180555935</v>
      </c>
      <c r="L166" s="16">
        <f t="shared" ca="1" si="5"/>
        <v>15.21986006944644</v>
      </c>
    </row>
    <row r="167" spans="1:12" x14ac:dyDescent="0.25">
      <c r="A167" s="5" t="s">
        <v>313</v>
      </c>
      <c r="B167" s="5" t="s">
        <v>146</v>
      </c>
      <c r="C167" s="5" t="s">
        <v>79</v>
      </c>
      <c r="D167" s="17">
        <v>44872.636111111111</v>
      </c>
      <c r="E167" s="5" t="s">
        <v>80</v>
      </c>
      <c r="F167" s="5" t="s">
        <v>81</v>
      </c>
      <c r="G167" s="17">
        <v>44872.64166666667</v>
      </c>
      <c r="H167" s="5" t="s">
        <v>82</v>
      </c>
      <c r="I167" s="5" t="s">
        <v>93</v>
      </c>
      <c r="J167" s="5" t="s">
        <v>84</v>
      </c>
      <c r="K167" s="15">
        <f ca="1">NOW()-D167</f>
        <v>15.230276736110682</v>
      </c>
      <c r="L167" s="16">
        <f t="shared" ca="1" si="5"/>
        <v>15.224721180551569</v>
      </c>
    </row>
    <row r="168" spans="1:12" x14ac:dyDescent="0.25">
      <c r="A168" s="5" t="s">
        <v>314</v>
      </c>
      <c r="B168" s="5" t="s">
        <v>151</v>
      </c>
      <c r="C168" s="5" t="s">
        <v>79</v>
      </c>
      <c r="D168" s="17">
        <v>44869.420138888891</v>
      </c>
      <c r="E168" s="5" t="s">
        <v>80</v>
      </c>
      <c r="F168" s="5" t="s">
        <v>81</v>
      </c>
      <c r="G168" s="17">
        <v>44872.602777777778</v>
      </c>
      <c r="H168" s="5" t="s">
        <v>82</v>
      </c>
      <c r="I168" s="5" t="s">
        <v>93</v>
      </c>
      <c r="J168" s="5" t="s">
        <v>84</v>
      </c>
      <c r="K168" s="15">
        <f ca="1">NOW()-D168</f>
        <v>18.446248958331125</v>
      </c>
      <c r="L168" s="16">
        <f t="shared" ca="1" si="5"/>
        <v>15.26361006944353</v>
      </c>
    </row>
    <row r="169" spans="1:12" x14ac:dyDescent="0.25">
      <c r="A169" s="5" t="s">
        <v>315</v>
      </c>
      <c r="B169" s="5" t="s">
        <v>259</v>
      </c>
      <c r="C169" s="5" t="s">
        <v>79</v>
      </c>
      <c r="D169" s="17">
        <v>44872.336805555555</v>
      </c>
      <c r="E169" s="5" t="s">
        <v>80</v>
      </c>
      <c r="F169" s="5" t="s">
        <v>81</v>
      </c>
      <c r="G169" s="17">
        <v>44872.336805555555</v>
      </c>
      <c r="H169" s="5" t="s">
        <v>82</v>
      </c>
      <c r="I169" s="5" t="s">
        <v>89</v>
      </c>
      <c r="J169" s="5" t="s">
        <v>84</v>
      </c>
      <c r="K169" s="15">
        <f ca="1">NOW()-D169</f>
        <v>15.529582291666884</v>
      </c>
      <c r="L169" s="16">
        <f t="shared" ca="1" si="5"/>
        <v>15.529582291666884</v>
      </c>
    </row>
    <row r="170" spans="1:12" x14ac:dyDescent="0.25">
      <c r="A170" s="5" t="s">
        <v>316</v>
      </c>
      <c r="B170" s="5" t="s">
        <v>151</v>
      </c>
      <c r="C170" s="5" t="s">
        <v>79</v>
      </c>
      <c r="D170" s="17">
        <v>44869.32916666667</v>
      </c>
      <c r="E170" s="5" t="s">
        <v>80</v>
      </c>
      <c r="F170" s="5" t="s">
        <v>81</v>
      </c>
      <c r="G170" s="17">
        <v>44869.427777777775</v>
      </c>
      <c r="H170" s="5" t="s">
        <v>82</v>
      </c>
      <c r="I170" s="5" t="s">
        <v>93</v>
      </c>
      <c r="J170" s="5" t="s">
        <v>84</v>
      </c>
      <c r="K170" s="15">
        <f ca="1">NOW()-D170</f>
        <v>18.537221180551569</v>
      </c>
      <c r="L170" s="16">
        <f t="shared" ca="1" si="5"/>
        <v>18.43861006944644</v>
      </c>
    </row>
    <row r="171" spans="1:12" x14ac:dyDescent="0.25">
      <c r="A171" s="5" t="s">
        <v>317</v>
      </c>
      <c r="B171" s="5" t="s">
        <v>224</v>
      </c>
      <c r="C171" s="5" t="s">
        <v>92</v>
      </c>
      <c r="D171" s="17">
        <v>44868.667361111111</v>
      </c>
      <c r="E171" s="5" t="s">
        <v>80</v>
      </c>
      <c r="F171" s="5" t="s">
        <v>81</v>
      </c>
      <c r="G171" s="17">
        <v>44868.761805555558</v>
      </c>
      <c r="H171" s="5" t="s">
        <v>88</v>
      </c>
      <c r="I171" s="5" t="s">
        <v>89</v>
      </c>
      <c r="J171" s="5" t="s">
        <v>84</v>
      </c>
      <c r="K171" s="15">
        <f ca="1">NOW()-D171</f>
        <v>19.199026736110682</v>
      </c>
      <c r="L171" s="16">
        <f t="shared" ca="1" si="5"/>
        <v>19.104582291663974</v>
      </c>
    </row>
    <row r="172" spans="1:12" x14ac:dyDescent="0.25">
      <c r="A172" s="5" t="s">
        <v>318</v>
      </c>
      <c r="B172" s="5" t="s">
        <v>146</v>
      </c>
      <c r="C172" s="5" t="s">
        <v>79</v>
      </c>
      <c r="D172" s="17">
        <v>44868.709027777775</v>
      </c>
      <c r="E172" s="5" t="s">
        <v>80</v>
      </c>
      <c r="F172" s="5" t="s">
        <v>81</v>
      </c>
      <c r="G172" s="17">
        <v>44868.709027777775</v>
      </c>
      <c r="H172" s="5" t="s">
        <v>82</v>
      </c>
      <c r="I172" s="5" t="s">
        <v>89</v>
      </c>
      <c r="J172" s="5" t="s">
        <v>84</v>
      </c>
      <c r="K172" s="15">
        <f ca="1">NOW()-D172</f>
        <v>19.15736006944644</v>
      </c>
      <c r="L172" s="16">
        <f t="shared" ca="1" si="5"/>
        <v>19.15736006944644</v>
      </c>
    </row>
    <row r="173" spans="1:12" x14ac:dyDescent="0.25">
      <c r="A173" s="5" t="s">
        <v>319</v>
      </c>
      <c r="B173" s="5" t="s">
        <v>151</v>
      </c>
      <c r="C173" s="5" t="s">
        <v>79</v>
      </c>
      <c r="D173" s="17">
        <v>44868.412499999999</v>
      </c>
      <c r="E173" s="5" t="s">
        <v>80</v>
      </c>
      <c r="F173" s="5" t="s">
        <v>81</v>
      </c>
      <c r="G173" s="17">
        <v>44868.415972222225</v>
      </c>
      <c r="H173" s="5" t="s">
        <v>82</v>
      </c>
      <c r="I173" s="5" t="s">
        <v>93</v>
      </c>
      <c r="J173" s="5" t="s">
        <v>84</v>
      </c>
      <c r="K173" s="15">
        <f ca="1">NOW()-D173</f>
        <v>19.453887847223086</v>
      </c>
      <c r="L173" s="16">
        <f t="shared" ca="1" si="5"/>
        <v>19.450415624996822</v>
      </c>
    </row>
    <row r="174" spans="1:12" x14ac:dyDescent="0.25">
      <c r="A174" s="5" t="s">
        <v>320</v>
      </c>
      <c r="B174" s="5" t="s">
        <v>151</v>
      </c>
      <c r="C174" s="5" t="s">
        <v>79</v>
      </c>
      <c r="D174" s="17">
        <v>44866.462500000001</v>
      </c>
      <c r="E174" s="5" t="s">
        <v>80</v>
      </c>
      <c r="F174" s="5" t="s">
        <v>81</v>
      </c>
      <c r="G174" s="17">
        <v>44866.677083333336</v>
      </c>
      <c r="H174" s="5" t="s">
        <v>82</v>
      </c>
      <c r="I174" s="5" t="s">
        <v>93</v>
      </c>
      <c r="J174" s="5" t="s">
        <v>84</v>
      </c>
      <c r="K174" s="15">
        <f ca="1">NOW()-D174</f>
        <v>21.403887847220176</v>
      </c>
      <c r="L174" s="16">
        <f t="shared" ca="1" si="5"/>
        <v>21.189304513885872</v>
      </c>
    </row>
    <row r="175" spans="1:12" ht="45" x14ac:dyDescent="0.25">
      <c r="A175" s="5" t="s">
        <v>321</v>
      </c>
      <c r="B175" s="5" t="s">
        <v>322</v>
      </c>
      <c r="C175" s="5" t="s">
        <v>79</v>
      </c>
      <c r="D175" s="17">
        <v>44866.611805555556</v>
      </c>
      <c r="E175" s="18" t="s">
        <v>323</v>
      </c>
      <c r="F175" s="5" t="s">
        <v>81</v>
      </c>
      <c r="G175" s="17">
        <v>44866.611805555556</v>
      </c>
      <c r="H175" s="5" t="s">
        <v>82</v>
      </c>
      <c r="I175" s="5" t="s">
        <v>89</v>
      </c>
      <c r="J175" s="5" t="s">
        <v>84</v>
      </c>
      <c r="K175" s="15">
        <f ca="1">NOW()-D175</f>
        <v>21.254582291665429</v>
      </c>
      <c r="L175" s="16">
        <f t="shared" ca="1" si="5"/>
        <v>21.254582291665429</v>
      </c>
    </row>
    <row r="176" spans="1:12" x14ac:dyDescent="0.25">
      <c r="A176" s="5" t="s">
        <v>324</v>
      </c>
      <c r="B176" s="5" t="s">
        <v>325</v>
      </c>
      <c r="C176" s="5" t="s">
        <v>92</v>
      </c>
      <c r="D176" s="17">
        <v>44862.638888888891</v>
      </c>
      <c r="E176" s="5" t="s">
        <v>80</v>
      </c>
      <c r="F176" s="5" t="s">
        <v>166</v>
      </c>
      <c r="G176" s="17">
        <v>44866.47152777778</v>
      </c>
      <c r="H176" s="5" t="s">
        <v>82</v>
      </c>
      <c r="I176" s="5" t="s">
        <v>89</v>
      </c>
      <c r="J176" s="5" t="s">
        <v>84</v>
      </c>
      <c r="K176" s="15">
        <f ca="1">NOW()-D176</f>
        <v>25.227498958331125</v>
      </c>
      <c r="L176" s="16">
        <f t="shared" ca="1" si="5"/>
        <v>21.394860069442075</v>
      </c>
    </row>
    <row r="177" spans="1:12" ht="30" x14ac:dyDescent="0.25">
      <c r="A177" s="5" t="s">
        <v>326</v>
      </c>
      <c r="B177" s="5" t="s">
        <v>151</v>
      </c>
      <c r="C177" s="5" t="s">
        <v>79</v>
      </c>
      <c r="D177" s="17">
        <v>44865.661111111112</v>
      </c>
      <c r="E177" s="18" t="s">
        <v>173</v>
      </c>
      <c r="F177" s="5" t="s">
        <v>81</v>
      </c>
      <c r="G177" s="17">
        <v>44865.842361111114</v>
      </c>
      <c r="H177" s="5" t="s">
        <v>82</v>
      </c>
      <c r="I177" s="5" t="s">
        <v>93</v>
      </c>
      <c r="J177" s="5" t="s">
        <v>84</v>
      </c>
      <c r="K177" s="15">
        <f ca="1">NOW()-D177</f>
        <v>22.205276736109226</v>
      </c>
      <c r="L177" s="16">
        <f t="shared" ca="1" si="5"/>
        <v>22.024026736107771</v>
      </c>
    </row>
    <row r="178" spans="1:12" x14ac:dyDescent="0.25">
      <c r="A178" s="5" t="s">
        <v>327</v>
      </c>
      <c r="B178" s="5" t="s">
        <v>328</v>
      </c>
      <c r="C178" s="5" t="s">
        <v>92</v>
      </c>
      <c r="D178" s="17">
        <v>44862.607638888891</v>
      </c>
      <c r="E178" s="5" t="s">
        <v>80</v>
      </c>
      <c r="F178" s="5" t="s">
        <v>81</v>
      </c>
      <c r="G178" s="17">
        <v>44865.586805555555</v>
      </c>
      <c r="H178" s="5" t="s">
        <v>82</v>
      </c>
      <c r="I178" s="5" t="s">
        <v>93</v>
      </c>
      <c r="J178" s="5" t="s">
        <v>84</v>
      </c>
      <c r="K178" s="15">
        <f ca="1">NOW()-D178</f>
        <v>25.258748958331125</v>
      </c>
      <c r="L178" s="16">
        <f t="shared" ca="1" si="5"/>
        <v>22.279582291666884</v>
      </c>
    </row>
    <row r="179" spans="1:12" x14ac:dyDescent="0.25">
      <c r="A179" s="5" t="s">
        <v>329</v>
      </c>
      <c r="B179" s="5" t="s">
        <v>151</v>
      </c>
      <c r="C179" s="5" t="s">
        <v>79</v>
      </c>
      <c r="D179" s="17">
        <v>44861.665972222225</v>
      </c>
      <c r="E179" s="5" t="s">
        <v>80</v>
      </c>
      <c r="F179" s="5" t="s">
        <v>81</v>
      </c>
      <c r="G179" s="17">
        <v>44865.37777777778</v>
      </c>
      <c r="H179" s="5" t="s">
        <v>82</v>
      </c>
      <c r="I179" s="5" t="s">
        <v>93</v>
      </c>
      <c r="J179" s="5" t="s">
        <v>84</v>
      </c>
      <c r="K179" s="15">
        <f ca="1">NOW()-D179</f>
        <v>26.200415624996822</v>
      </c>
      <c r="L179" s="16">
        <f t="shared" ca="1" si="5"/>
        <v>22.488610069442075</v>
      </c>
    </row>
    <row r="180" spans="1:12" x14ac:dyDescent="0.25">
      <c r="A180" s="5" t="s">
        <v>330</v>
      </c>
      <c r="B180" s="5" t="s">
        <v>151</v>
      </c>
      <c r="C180" s="5" t="s">
        <v>79</v>
      </c>
      <c r="D180" s="17">
        <v>44861.425694444442</v>
      </c>
      <c r="E180" s="5" t="s">
        <v>80</v>
      </c>
      <c r="F180" s="5" t="s">
        <v>81</v>
      </c>
      <c r="G180" s="17">
        <v>44861.540277777778</v>
      </c>
      <c r="H180" s="5" t="s">
        <v>82</v>
      </c>
      <c r="I180" s="5" t="s">
        <v>93</v>
      </c>
      <c r="J180" s="5" t="s">
        <v>84</v>
      </c>
      <c r="K180" s="15">
        <f ca="1">NOW()-D180</f>
        <v>26.440693402779289</v>
      </c>
      <c r="L180" s="16">
        <f t="shared" ca="1" si="5"/>
        <v>26.32611006944353</v>
      </c>
    </row>
    <row r="181" spans="1:12" x14ac:dyDescent="0.25">
      <c r="A181" s="5" t="s">
        <v>331</v>
      </c>
      <c r="B181" s="5" t="s">
        <v>134</v>
      </c>
      <c r="C181" s="5" t="s">
        <v>79</v>
      </c>
      <c r="D181" s="17">
        <v>44845.671527777777</v>
      </c>
      <c r="E181" s="5" t="s">
        <v>80</v>
      </c>
      <c r="F181" s="5" t="s">
        <v>81</v>
      </c>
      <c r="G181" s="17">
        <v>44861.339583333334</v>
      </c>
      <c r="H181" s="5" t="s">
        <v>82</v>
      </c>
      <c r="I181" s="5" t="s">
        <v>89</v>
      </c>
      <c r="J181" s="5" t="s">
        <v>84</v>
      </c>
      <c r="K181" s="15">
        <f ca="1">NOW()-D181</f>
        <v>42.194860069444985</v>
      </c>
      <c r="L181" s="16">
        <f t="shared" ca="1" si="5"/>
        <v>26.526804513887328</v>
      </c>
    </row>
    <row r="182" spans="1:12" x14ac:dyDescent="0.25">
      <c r="A182" s="5" t="s">
        <v>332</v>
      </c>
      <c r="B182" s="5" t="s">
        <v>151</v>
      </c>
      <c r="C182" s="5" t="s">
        <v>79</v>
      </c>
      <c r="D182" s="17">
        <v>44859.352777777778</v>
      </c>
      <c r="E182" s="5" t="s">
        <v>80</v>
      </c>
      <c r="F182" s="5" t="s">
        <v>81</v>
      </c>
      <c r="G182" s="17">
        <v>44859.413194444445</v>
      </c>
      <c r="H182" s="5" t="s">
        <v>82</v>
      </c>
      <c r="I182" s="5" t="s">
        <v>93</v>
      </c>
      <c r="J182" s="5" t="s">
        <v>84</v>
      </c>
      <c r="K182" s="15">
        <f ca="1">NOW()-D182</f>
        <v>28.51361006944353</v>
      </c>
      <c r="L182" s="16">
        <f t="shared" ca="1" si="5"/>
        <v>28.453193402776378</v>
      </c>
    </row>
    <row r="183" spans="1:12" x14ac:dyDescent="0.25">
      <c r="A183" s="5" t="s">
        <v>333</v>
      </c>
      <c r="B183" s="5" t="s">
        <v>86</v>
      </c>
      <c r="C183" s="5" t="s">
        <v>87</v>
      </c>
      <c r="D183" s="17">
        <v>44852.359027777777</v>
      </c>
      <c r="E183" s="5" t="s">
        <v>80</v>
      </c>
      <c r="F183" s="5" t="s">
        <v>81</v>
      </c>
      <c r="G183" s="17">
        <v>44854.686805555553</v>
      </c>
      <c r="H183" s="5" t="s">
        <v>88</v>
      </c>
      <c r="I183" s="5" t="s">
        <v>89</v>
      </c>
      <c r="J183" s="5" t="s">
        <v>84</v>
      </c>
      <c r="K183" s="15">
        <f ca="1">NOW()-D183</f>
        <v>35.507360069444985</v>
      </c>
      <c r="L183" s="16">
        <f t="shared" ca="1" si="5"/>
        <v>33.179582291668339</v>
      </c>
    </row>
    <row r="184" spans="1:12" x14ac:dyDescent="0.25">
      <c r="A184" s="5" t="s">
        <v>334</v>
      </c>
      <c r="B184" s="5" t="s">
        <v>335</v>
      </c>
      <c r="C184" s="5" t="s">
        <v>92</v>
      </c>
      <c r="D184" s="17">
        <v>44852.412499999999</v>
      </c>
      <c r="E184" s="5" t="s">
        <v>80</v>
      </c>
      <c r="F184" s="5" t="s">
        <v>166</v>
      </c>
      <c r="G184" s="17">
        <v>44852.684027777781</v>
      </c>
      <c r="H184" s="5" t="s">
        <v>88</v>
      </c>
      <c r="I184" s="5" t="s">
        <v>89</v>
      </c>
      <c r="J184" s="5" t="s">
        <v>84</v>
      </c>
      <c r="K184" s="15">
        <f ca="1">NOW()-D184</f>
        <v>35.453887847223086</v>
      </c>
      <c r="L184" s="16">
        <f t="shared" ca="1" si="5"/>
        <v>35.18236006944062</v>
      </c>
    </row>
    <row r="185" spans="1:12" x14ac:dyDescent="0.25">
      <c r="A185" s="5" t="s">
        <v>336</v>
      </c>
      <c r="B185" s="5" t="s">
        <v>134</v>
      </c>
      <c r="C185" s="5" t="s">
        <v>79</v>
      </c>
      <c r="D185" s="17">
        <v>44826.65902777778</v>
      </c>
      <c r="E185" s="5" t="s">
        <v>80</v>
      </c>
      <c r="F185" s="5" t="s">
        <v>81</v>
      </c>
      <c r="G185" s="17">
        <v>44848.76666666667</v>
      </c>
      <c r="H185" s="5" t="s">
        <v>82</v>
      </c>
      <c r="I185" s="5" t="s">
        <v>93</v>
      </c>
      <c r="J185" s="5" t="s">
        <v>84</v>
      </c>
      <c r="K185" s="15">
        <f ca="1">NOW()-D185</f>
        <v>61.207360069442075</v>
      </c>
      <c r="L185" s="16">
        <f t="shared" ca="1" si="5"/>
        <v>39.099721180551569</v>
      </c>
    </row>
    <row r="186" spans="1:12" x14ac:dyDescent="0.25">
      <c r="A186" s="5" t="s">
        <v>337</v>
      </c>
      <c r="B186" s="5" t="s">
        <v>86</v>
      </c>
      <c r="C186" s="5" t="s">
        <v>92</v>
      </c>
      <c r="D186" s="17">
        <v>44834.376388888886</v>
      </c>
      <c r="E186" s="5" t="s">
        <v>80</v>
      </c>
      <c r="F186" s="5" t="s">
        <v>81</v>
      </c>
      <c r="G186" s="17">
        <v>44838.486805555556</v>
      </c>
      <c r="H186" s="5" t="s">
        <v>88</v>
      </c>
      <c r="I186" s="5" t="s">
        <v>89</v>
      </c>
      <c r="J186" s="5" t="s">
        <v>84</v>
      </c>
      <c r="K186" s="15">
        <f ca="1">NOW()-D186</f>
        <v>53.489998958335491</v>
      </c>
      <c r="L186" s="16">
        <f t="shared" ca="1" si="5"/>
        <v>49.379582291665429</v>
      </c>
    </row>
    <row r="188" spans="1:12" x14ac:dyDescent="0.25">
      <c r="A188" s="3" t="s">
        <v>554</v>
      </c>
    </row>
    <row r="189" spans="1:12" x14ac:dyDescent="0.25">
      <c r="A189" s="3" t="s">
        <v>34</v>
      </c>
    </row>
    <row r="190" spans="1:12" x14ac:dyDescent="0.25">
      <c r="A190" s="4">
        <v>44693</v>
      </c>
    </row>
  </sheetData>
  <sheetProtection algorithmName="SHA-512" hashValue="+hwXCH9GTJBJBV15OYP7MFDBnS7dKOsQN8GxKUGRdnpudGwFxBPFyqewnnyh6qIYxWWekGuxxDB/rdtIvMDePQ==" saltValue="W9ddOGu4kJAgL4peMLeWww==" spinCount="100000" sheet="1" objects="1" scenarios="1" insertColumns="0" insertRows="0" insertHyperlinks="0" deleteColumns="0" deleteRows="0" selectLockedCells="1" sort="0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184"/>
  <sheetViews>
    <sheetView showGridLines="0" zoomScaleNormal="100" workbookViewId="0"/>
  </sheetViews>
  <sheetFormatPr defaultRowHeight="15" x14ac:dyDescent="0.25"/>
  <cols>
    <col min="1" max="1" width="15.85546875" style="5" bestFit="1" customWidth="1"/>
    <col min="2" max="2" width="60.140625" style="5" bestFit="1" customWidth="1"/>
    <col min="3" max="3" width="22.42578125" style="5" bestFit="1" customWidth="1"/>
    <col min="4" max="4" width="18.140625" style="5" bestFit="1" customWidth="1"/>
    <col min="5" max="5" width="32.28515625" style="5" bestFit="1" customWidth="1"/>
    <col min="6" max="6" width="39.42578125" style="5" bestFit="1" customWidth="1"/>
    <col min="7" max="7" width="19.85546875" style="5" bestFit="1" customWidth="1"/>
    <col min="8" max="8" width="10.5703125" style="5" bestFit="1" customWidth="1"/>
    <col min="9" max="9" width="27.28515625" style="5" bestFit="1" customWidth="1"/>
    <col min="10" max="10" width="12.5703125" style="5" bestFit="1" customWidth="1"/>
    <col min="11" max="12" width="14.85546875" style="5" bestFit="1" customWidth="1"/>
    <col min="13" max="16384" width="9.140625" style="5"/>
  </cols>
  <sheetData>
    <row r="1" spans="1:12" x14ac:dyDescent="0.25">
      <c r="A1" s="12" t="s">
        <v>9</v>
      </c>
      <c r="B1" s="13" t="s">
        <v>10</v>
      </c>
      <c r="C1" s="13" t="s">
        <v>0</v>
      </c>
      <c r="D1" s="13" t="s">
        <v>11</v>
      </c>
      <c r="E1" s="13" t="s">
        <v>12</v>
      </c>
      <c r="F1" s="13" t="s">
        <v>13</v>
      </c>
      <c r="G1" s="13" t="s">
        <v>14</v>
      </c>
      <c r="H1" s="13" t="s">
        <v>15</v>
      </c>
      <c r="I1" s="13" t="s">
        <v>16</v>
      </c>
      <c r="J1" s="13" t="s">
        <v>17</v>
      </c>
      <c r="K1" s="13" t="s">
        <v>1</v>
      </c>
      <c r="L1" s="14" t="s">
        <v>8</v>
      </c>
    </row>
    <row r="2" spans="1:12" x14ac:dyDescent="0.25">
      <c r="A2" s="5" t="s">
        <v>338</v>
      </c>
      <c r="B2" s="5" t="s">
        <v>339</v>
      </c>
      <c r="C2" s="5" t="s">
        <v>92</v>
      </c>
      <c r="D2" s="17">
        <v>44887.620833333334</v>
      </c>
      <c r="E2" s="5" t="s">
        <v>80</v>
      </c>
      <c r="F2" s="5" t="s">
        <v>340</v>
      </c>
      <c r="G2" s="17">
        <v>44887.625</v>
      </c>
      <c r="H2" s="5" t="s">
        <v>82</v>
      </c>
      <c r="I2" s="5" t="s">
        <v>89</v>
      </c>
      <c r="J2" s="5" t="s">
        <v>84</v>
      </c>
      <c r="K2" s="19">
        <f ca="1">NOW()-Tabela4[[#This Row],[Data de abertura]]</f>
        <v>0.24555451388732763</v>
      </c>
      <c r="L2" s="16">
        <f t="shared" ref="L2:L33" ca="1" si="0">NOW()-G2</f>
        <v>0.24138784722163109</v>
      </c>
    </row>
    <row r="3" spans="1:12" x14ac:dyDescent="0.25">
      <c r="A3" s="5" t="s">
        <v>341</v>
      </c>
      <c r="B3" s="5" t="s">
        <v>339</v>
      </c>
      <c r="C3" s="5" t="s">
        <v>92</v>
      </c>
      <c r="D3" s="17">
        <v>44862.604166666664</v>
      </c>
      <c r="E3" s="5" t="s">
        <v>80</v>
      </c>
      <c r="F3" s="5" t="s">
        <v>340</v>
      </c>
      <c r="G3" s="17">
        <v>44887.618055555555</v>
      </c>
      <c r="H3" s="5" t="s">
        <v>82</v>
      </c>
      <c r="I3" s="5" t="s">
        <v>89</v>
      </c>
      <c r="J3" s="5" t="s">
        <v>84</v>
      </c>
      <c r="K3" s="19">
        <f ca="1">NOW()-Tabela4[[#This Row],[Data de abertura]]</f>
        <v>25.26222118055739</v>
      </c>
      <c r="L3" s="16">
        <f t="shared" ca="1" si="0"/>
        <v>0.24833229166688398</v>
      </c>
    </row>
    <row r="4" spans="1:12" ht="30" x14ac:dyDescent="0.25">
      <c r="A4" s="5" t="s">
        <v>342</v>
      </c>
      <c r="B4" s="5" t="s">
        <v>339</v>
      </c>
      <c r="C4" s="5" t="s">
        <v>92</v>
      </c>
      <c r="D4" s="17">
        <v>44873.686805555553</v>
      </c>
      <c r="E4" s="18" t="s">
        <v>173</v>
      </c>
      <c r="F4" s="5" t="s">
        <v>340</v>
      </c>
      <c r="G4" s="17">
        <v>44887.616666666669</v>
      </c>
      <c r="H4" s="5" t="s">
        <v>82</v>
      </c>
      <c r="I4" s="5" t="s">
        <v>89</v>
      </c>
      <c r="J4" s="5" t="s">
        <v>84</v>
      </c>
      <c r="K4" s="19">
        <f ca="1">NOW()-Tabela4[[#This Row],[Data de abertura]]</f>
        <v>14.179582291668339</v>
      </c>
      <c r="L4" s="16">
        <f t="shared" ca="1" si="0"/>
        <v>0.24972118055302417</v>
      </c>
    </row>
    <row r="5" spans="1:12" x14ac:dyDescent="0.25">
      <c r="A5" s="5" t="s">
        <v>343</v>
      </c>
      <c r="B5" s="5" t="s">
        <v>339</v>
      </c>
      <c r="C5" s="5" t="s">
        <v>92</v>
      </c>
      <c r="D5" s="17">
        <v>44862.607638888891</v>
      </c>
      <c r="E5" s="5" t="s">
        <v>80</v>
      </c>
      <c r="F5" s="5" t="s">
        <v>340</v>
      </c>
      <c r="G5" s="17">
        <v>44887.613888888889</v>
      </c>
      <c r="H5" s="5" t="s">
        <v>82</v>
      </c>
      <c r="I5" s="5" t="s">
        <v>89</v>
      </c>
      <c r="J5" s="5" t="s">
        <v>84</v>
      </c>
      <c r="K5" s="19">
        <f ca="1">NOW()-Tabela4[[#This Row],[Data de abertura]]</f>
        <v>25.258748958331125</v>
      </c>
      <c r="L5" s="16">
        <f t="shared" ca="1" si="0"/>
        <v>0.25249895833258051</v>
      </c>
    </row>
    <row r="6" spans="1:12" x14ac:dyDescent="0.25">
      <c r="A6" s="5" t="s">
        <v>344</v>
      </c>
      <c r="B6" s="5" t="s">
        <v>339</v>
      </c>
      <c r="C6" s="5" t="s">
        <v>92</v>
      </c>
      <c r="D6" s="17">
        <v>44862.599305555559</v>
      </c>
      <c r="E6" s="5" t="s">
        <v>80</v>
      </c>
      <c r="F6" s="5" t="s">
        <v>340</v>
      </c>
      <c r="G6" s="17">
        <v>44887.611805555556</v>
      </c>
      <c r="H6" s="5" t="s">
        <v>82</v>
      </c>
      <c r="I6" s="5" t="s">
        <v>89</v>
      </c>
      <c r="J6" s="5" t="s">
        <v>84</v>
      </c>
      <c r="K6" s="19">
        <f ca="1">NOW()-Tabela4[[#This Row],[Data de abertura]]</f>
        <v>25.267082291662518</v>
      </c>
      <c r="L6" s="16">
        <f t="shared" ca="1" si="0"/>
        <v>0.25458229166542878</v>
      </c>
    </row>
    <row r="7" spans="1:12" x14ac:dyDescent="0.25">
      <c r="A7" s="5" t="s">
        <v>345</v>
      </c>
      <c r="B7" s="5" t="s">
        <v>339</v>
      </c>
      <c r="C7" s="5" t="s">
        <v>92</v>
      </c>
      <c r="D7" s="17">
        <v>44862.612500000003</v>
      </c>
      <c r="E7" s="5" t="s">
        <v>80</v>
      </c>
      <c r="F7" s="5" t="s">
        <v>340</v>
      </c>
      <c r="G7" s="17">
        <v>44887.611111111109</v>
      </c>
      <c r="H7" s="5" t="s">
        <v>82</v>
      </c>
      <c r="I7" s="5" t="s">
        <v>89</v>
      </c>
      <c r="J7" s="5" t="s">
        <v>84</v>
      </c>
      <c r="K7" s="19">
        <f ca="1">NOW()-Tabela4[[#This Row],[Data de abertura]]</f>
        <v>25.253887847218721</v>
      </c>
      <c r="L7" s="16">
        <f t="shared" ca="1" si="0"/>
        <v>0.25527673611213686</v>
      </c>
    </row>
    <row r="8" spans="1:12" x14ac:dyDescent="0.25">
      <c r="A8" s="5" t="s">
        <v>346</v>
      </c>
      <c r="B8" s="5" t="s">
        <v>347</v>
      </c>
      <c r="C8" s="5" t="s">
        <v>92</v>
      </c>
      <c r="D8" s="17">
        <v>44858.445833333331</v>
      </c>
      <c r="E8" s="5" t="s">
        <v>80</v>
      </c>
      <c r="F8" s="5" t="s">
        <v>340</v>
      </c>
      <c r="G8" s="17">
        <v>44887.61041666667</v>
      </c>
      <c r="H8" s="5" t="s">
        <v>82</v>
      </c>
      <c r="I8" s="5" t="s">
        <v>89</v>
      </c>
      <c r="J8" s="5" t="s">
        <v>84</v>
      </c>
      <c r="K8" s="19">
        <f ca="1">NOW()-Tabela4[[#This Row],[Data de abertura]]</f>
        <v>29.420554513890238</v>
      </c>
      <c r="L8" s="16">
        <f t="shared" ca="1" si="0"/>
        <v>0.25597118055156898</v>
      </c>
    </row>
    <row r="9" spans="1:12" x14ac:dyDescent="0.25">
      <c r="A9" s="5" t="s">
        <v>348</v>
      </c>
      <c r="B9" s="5" t="s">
        <v>349</v>
      </c>
      <c r="C9" s="5" t="s">
        <v>92</v>
      </c>
      <c r="D9" s="17">
        <v>44851.599305555559</v>
      </c>
      <c r="E9" s="5" t="s">
        <v>80</v>
      </c>
      <c r="F9" s="5" t="s">
        <v>340</v>
      </c>
      <c r="G9" s="17">
        <v>44887.604166666664</v>
      </c>
      <c r="H9" s="5" t="s">
        <v>88</v>
      </c>
      <c r="I9" s="5" t="s">
        <v>89</v>
      </c>
      <c r="J9" s="5" t="s">
        <v>84</v>
      </c>
      <c r="K9" s="19">
        <f ca="1">NOW()-Tabela4[[#This Row],[Data de abertura]]</f>
        <v>36.267082291662518</v>
      </c>
      <c r="L9" s="16">
        <f t="shared" ca="1" si="0"/>
        <v>0.26222118055738974</v>
      </c>
    </row>
    <row r="10" spans="1:12" x14ac:dyDescent="0.25">
      <c r="A10" s="5" t="s">
        <v>350</v>
      </c>
      <c r="B10" s="5" t="s">
        <v>351</v>
      </c>
      <c r="C10" s="5" t="s">
        <v>87</v>
      </c>
      <c r="D10" s="17">
        <v>44869.626388888886</v>
      </c>
      <c r="E10" s="5" t="s">
        <v>80</v>
      </c>
      <c r="F10" s="5" t="s">
        <v>340</v>
      </c>
      <c r="G10" s="17">
        <v>44887.595833333333</v>
      </c>
      <c r="H10" s="5" t="s">
        <v>82</v>
      </c>
      <c r="I10" s="5" t="s">
        <v>89</v>
      </c>
      <c r="J10" s="5" t="s">
        <v>84</v>
      </c>
      <c r="K10" s="19">
        <f ca="1">NOW()-Tabela4[[#This Row],[Data de abertura]]</f>
        <v>18.239998958335491</v>
      </c>
      <c r="L10" s="16">
        <f t="shared" ca="1" si="0"/>
        <v>0.27055451388878282</v>
      </c>
    </row>
    <row r="11" spans="1:12" x14ac:dyDescent="0.25">
      <c r="A11" s="5" t="s">
        <v>352</v>
      </c>
      <c r="B11" s="5" t="s">
        <v>347</v>
      </c>
      <c r="C11" s="5" t="s">
        <v>92</v>
      </c>
      <c r="D11" s="17">
        <v>44859.45208333333</v>
      </c>
      <c r="E11" s="5" t="s">
        <v>80</v>
      </c>
      <c r="F11" s="5" t="s">
        <v>340</v>
      </c>
      <c r="G11" s="17">
        <v>44887.595138888886</v>
      </c>
      <c r="H11" s="5" t="s">
        <v>82</v>
      </c>
      <c r="I11" s="5" t="s">
        <v>89</v>
      </c>
      <c r="J11" s="5" t="s">
        <v>84</v>
      </c>
      <c r="K11" s="19">
        <f ca="1">NOW()-Tabela4[[#This Row],[Data de abertura]]</f>
        <v>28.414304513891693</v>
      </c>
      <c r="L11" s="16">
        <f t="shared" ca="1" si="0"/>
        <v>0.2712489583354909</v>
      </c>
    </row>
    <row r="12" spans="1:12" x14ac:dyDescent="0.25">
      <c r="A12" s="5" t="s">
        <v>353</v>
      </c>
      <c r="B12" s="5" t="s">
        <v>354</v>
      </c>
      <c r="C12" s="5" t="s">
        <v>87</v>
      </c>
      <c r="D12" s="17">
        <v>44886.788194444445</v>
      </c>
      <c r="E12" s="5" t="s">
        <v>80</v>
      </c>
      <c r="F12" s="5" t="s">
        <v>340</v>
      </c>
      <c r="G12" s="17">
        <v>44887.594444444447</v>
      </c>
      <c r="H12" s="5" t="s">
        <v>82</v>
      </c>
      <c r="I12" s="5" t="s">
        <v>89</v>
      </c>
      <c r="J12" s="5" t="s">
        <v>84</v>
      </c>
      <c r="K12" s="19">
        <f ca="1">NOW()-Tabela4[[#This Row],[Data de abertura]]</f>
        <v>1.0781934027763782</v>
      </c>
      <c r="L12" s="16">
        <f t="shared" ca="1" si="0"/>
        <v>0.27194340277492302</v>
      </c>
    </row>
    <row r="13" spans="1:12" x14ac:dyDescent="0.25">
      <c r="A13" s="5" t="s">
        <v>355</v>
      </c>
      <c r="B13" s="5" t="s">
        <v>356</v>
      </c>
      <c r="C13" s="5" t="s">
        <v>92</v>
      </c>
      <c r="D13" s="17">
        <v>44887.45208333333</v>
      </c>
      <c r="E13" s="5" t="s">
        <v>80</v>
      </c>
      <c r="F13" s="5" t="s">
        <v>340</v>
      </c>
      <c r="G13" s="17">
        <v>44887.586111111108</v>
      </c>
      <c r="H13" s="5" t="s">
        <v>82</v>
      </c>
      <c r="I13" s="5" t="s">
        <v>83</v>
      </c>
      <c r="J13" s="5" t="s">
        <v>84</v>
      </c>
      <c r="K13" s="19">
        <f ca="1">NOW()-Tabela4[[#This Row],[Data de abertura]]</f>
        <v>0.4143045138916932</v>
      </c>
      <c r="L13" s="16">
        <f t="shared" ca="1" si="0"/>
        <v>0.28027673611359205</v>
      </c>
    </row>
    <row r="14" spans="1:12" ht="45" x14ac:dyDescent="0.25">
      <c r="A14" s="5" t="s">
        <v>357</v>
      </c>
      <c r="B14" s="5" t="s">
        <v>358</v>
      </c>
      <c r="C14" s="5" t="s">
        <v>92</v>
      </c>
      <c r="D14" s="17">
        <v>44875.652083333334</v>
      </c>
      <c r="E14" s="18" t="s">
        <v>265</v>
      </c>
      <c r="F14" s="5" t="s">
        <v>340</v>
      </c>
      <c r="G14" s="17">
        <v>44887.495138888888</v>
      </c>
      <c r="H14" s="5" t="s">
        <v>82</v>
      </c>
      <c r="I14" s="5" t="s">
        <v>89</v>
      </c>
      <c r="J14" s="5" t="s">
        <v>84</v>
      </c>
      <c r="K14" s="19">
        <f ca="1">NOW()-Tabela4[[#This Row],[Data de abertura]]</f>
        <v>12.214304513887328</v>
      </c>
      <c r="L14" s="16">
        <f t="shared" ca="1" si="0"/>
        <v>0.37124895833403571</v>
      </c>
    </row>
    <row r="15" spans="1:12" x14ac:dyDescent="0.25">
      <c r="A15" s="5" t="s">
        <v>359</v>
      </c>
      <c r="B15" s="5" t="s">
        <v>360</v>
      </c>
      <c r="C15" s="5" t="s">
        <v>87</v>
      </c>
      <c r="D15" s="17">
        <v>44887.491666666669</v>
      </c>
      <c r="E15" s="5" t="s">
        <v>80</v>
      </c>
      <c r="F15" s="5" t="s">
        <v>340</v>
      </c>
      <c r="G15" s="17">
        <v>44887.491666666669</v>
      </c>
      <c r="H15" s="5" t="s">
        <v>82</v>
      </c>
      <c r="I15" s="5" t="s">
        <v>89</v>
      </c>
      <c r="J15" s="5" t="s">
        <v>84</v>
      </c>
      <c r="K15" s="19">
        <f ca="1">NOW()-Tabela4[[#This Row],[Data de abertura]]</f>
        <v>0.37472118055302417</v>
      </c>
      <c r="L15" s="16">
        <f t="shared" ca="1" si="0"/>
        <v>0.37472118055302417</v>
      </c>
    </row>
    <row r="16" spans="1:12" x14ac:dyDescent="0.25">
      <c r="A16" s="5" t="s">
        <v>361</v>
      </c>
      <c r="B16" s="5" t="s">
        <v>358</v>
      </c>
      <c r="C16" s="5" t="s">
        <v>92</v>
      </c>
      <c r="D16" s="17">
        <v>44875.42083333333</v>
      </c>
      <c r="E16" s="5" t="s">
        <v>80</v>
      </c>
      <c r="F16" s="5" t="s">
        <v>340</v>
      </c>
      <c r="G16" s="17">
        <v>44887.491666666669</v>
      </c>
      <c r="H16" s="5" t="s">
        <v>82</v>
      </c>
      <c r="I16" s="5" t="s">
        <v>89</v>
      </c>
      <c r="J16" s="5" t="s">
        <v>84</v>
      </c>
      <c r="K16" s="19">
        <f ca="1">NOW()-Tabela4[[#This Row],[Data de abertura]]</f>
        <v>12.445554513891693</v>
      </c>
      <c r="L16" s="16">
        <f t="shared" ca="1" si="0"/>
        <v>0.37472118055302417</v>
      </c>
    </row>
    <row r="17" spans="1:12" x14ac:dyDescent="0.25">
      <c r="A17" s="5" t="s">
        <v>362</v>
      </c>
      <c r="B17" s="5" t="s">
        <v>363</v>
      </c>
      <c r="C17" s="5" t="s">
        <v>92</v>
      </c>
      <c r="D17" s="17">
        <v>44872.532638888886</v>
      </c>
      <c r="E17" s="5" t="s">
        <v>80</v>
      </c>
      <c r="F17" s="5" t="s">
        <v>340</v>
      </c>
      <c r="G17" s="17">
        <v>44887.490277777775</v>
      </c>
      <c r="H17" s="5" t="s">
        <v>82</v>
      </c>
      <c r="I17" s="5" t="s">
        <v>89</v>
      </c>
      <c r="J17" s="5" t="s">
        <v>84</v>
      </c>
      <c r="K17" s="19">
        <f ca="1">NOW()-Tabela4[[#This Row],[Data de abertura]]</f>
        <v>15.333748958335491</v>
      </c>
      <c r="L17" s="16">
        <f t="shared" ca="1" si="0"/>
        <v>0.37611006944644032</v>
      </c>
    </row>
    <row r="18" spans="1:12" x14ac:dyDescent="0.25">
      <c r="A18" s="5" t="s">
        <v>364</v>
      </c>
      <c r="B18" s="5" t="s">
        <v>356</v>
      </c>
      <c r="C18" s="5" t="s">
        <v>92</v>
      </c>
      <c r="D18" s="17">
        <v>44882.717361111114</v>
      </c>
      <c r="E18" s="5" t="s">
        <v>80</v>
      </c>
      <c r="F18" s="5" t="s">
        <v>340</v>
      </c>
      <c r="G18" s="17">
        <v>44887.470138888886</v>
      </c>
      <c r="H18" s="5" t="s">
        <v>82</v>
      </c>
      <c r="I18" s="5" t="s">
        <v>93</v>
      </c>
      <c r="J18" s="5" t="s">
        <v>84</v>
      </c>
      <c r="K18" s="19">
        <f ca="1">NOW()-Tabela4[[#This Row],[Data de abertura]]</f>
        <v>5.1490267361077713</v>
      </c>
      <c r="L18" s="16">
        <f t="shared" ca="1" si="0"/>
        <v>0.3962489583354909</v>
      </c>
    </row>
    <row r="19" spans="1:12" x14ac:dyDescent="0.25">
      <c r="A19" s="5" t="s">
        <v>365</v>
      </c>
      <c r="B19" s="5" t="s">
        <v>349</v>
      </c>
      <c r="C19" s="5" t="s">
        <v>92</v>
      </c>
      <c r="D19" s="17">
        <v>44887.45</v>
      </c>
      <c r="E19" s="5" t="s">
        <v>80</v>
      </c>
      <c r="F19" s="5" t="s">
        <v>340</v>
      </c>
      <c r="G19" s="17">
        <v>44887.453472222223</v>
      </c>
      <c r="H19" s="5" t="s">
        <v>88</v>
      </c>
      <c r="I19" s="5" t="s">
        <v>89</v>
      </c>
      <c r="J19" s="5" t="s">
        <v>84</v>
      </c>
      <c r="K19" s="19">
        <f ca="1">NOW()-Tabela4[[#This Row],[Data de abertura]]</f>
        <v>0.41638784722454147</v>
      </c>
      <c r="L19" s="16">
        <f t="shared" ca="1" si="0"/>
        <v>0.41291562499827705</v>
      </c>
    </row>
    <row r="20" spans="1:12" x14ac:dyDescent="0.25">
      <c r="A20" s="5" t="s">
        <v>366</v>
      </c>
      <c r="B20" s="5" t="s">
        <v>367</v>
      </c>
      <c r="C20" s="5" t="s">
        <v>87</v>
      </c>
      <c r="D20" s="17">
        <v>44887.405555555553</v>
      </c>
      <c r="E20" s="5" t="s">
        <v>80</v>
      </c>
      <c r="F20" s="5" t="s">
        <v>340</v>
      </c>
      <c r="G20" s="17">
        <v>44887.452777777777</v>
      </c>
      <c r="H20" s="5" t="s">
        <v>82</v>
      </c>
      <c r="I20" s="5" t="s">
        <v>89</v>
      </c>
      <c r="J20" s="5" t="s">
        <v>84</v>
      </c>
      <c r="K20" s="19">
        <f ca="1">NOW()-Tabela4[[#This Row],[Data de abertura]]</f>
        <v>0.46083229166833917</v>
      </c>
      <c r="L20" s="16">
        <f t="shared" ca="1" si="0"/>
        <v>0.41361006944498513</v>
      </c>
    </row>
    <row r="21" spans="1:12" ht="45" x14ac:dyDescent="0.25">
      <c r="A21" s="5" t="s">
        <v>368</v>
      </c>
      <c r="B21" s="5" t="s">
        <v>358</v>
      </c>
      <c r="C21" s="5" t="s">
        <v>87</v>
      </c>
      <c r="D21" s="17">
        <v>44886.697222222225</v>
      </c>
      <c r="E21" s="18" t="s">
        <v>265</v>
      </c>
      <c r="F21" s="5" t="s">
        <v>340</v>
      </c>
      <c r="G21" s="17">
        <v>44886.697222222225</v>
      </c>
      <c r="H21" s="5" t="s">
        <v>82</v>
      </c>
      <c r="I21" s="5" t="s">
        <v>89</v>
      </c>
      <c r="J21" s="5" t="s">
        <v>84</v>
      </c>
      <c r="K21" s="19">
        <f ca="1">NOW()-Tabela4[[#This Row],[Data de abertura]]</f>
        <v>1.1691656249968219</v>
      </c>
      <c r="L21" s="16">
        <f t="shared" ca="1" si="0"/>
        <v>1.1691656249968219</v>
      </c>
    </row>
    <row r="22" spans="1:12" x14ac:dyDescent="0.25">
      <c r="A22" s="5" t="s">
        <v>369</v>
      </c>
      <c r="B22" s="5" t="s">
        <v>370</v>
      </c>
      <c r="C22" s="5" t="s">
        <v>87</v>
      </c>
      <c r="D22" s="17">
        <v>44886.676388888889</v>
      </c>
      <c r="E22" s="5" t="s">
        <v>80</v>
      </c>
      <c r="F22" s="5" t="s">
        <v>340</v>
      </c>
      <c r="G22" s="17">
        <v>44886.676388888889</v>
      </c>
      <c r="H22" s="5" t="s">
        <v>88</v>
      </c>
      <c r="I22" s="5" t="s">
        <v>89</v>
      </c>
      <c r="J22" s="5" t="s">
        <v>84</v>
      </c>
      <c r="K22" s="19">
        <f ca="1">NOW()-Tabela4[[#This Row],[Data de abertura]]</f>
        <v>1.1899989583325805</v>
      </c>
      <c r="L22" s="16">
        <f t="shared" ca="1" si="0"/>
        <v>1.1899989583325805</v>
      </c>
    </row>
    <row r="23" spans="1:12" x14ac:dyDescent="0.25">
      <c r="A23" s="5" t="s">
        <v>371</v>
      </c>
      <c r="B23" s="5" t="s">
        <v>372</v>
      </c>
      <c r="C23" s="5" t="s">
        <v>92</v>
      </c>
      <c r="D23" s="17">
        <v>44743.359722222223</v>
      </c>
      <c r="E23" s="5" t="s">
        <v>80</v>
      </c>
      <c r="F23" s="5" t="s">
        <v>340</v>
      </c>
      <c r="G23" s="17">
        <v>44886.659722222219</v>
      </c>
      <c r="H23" s="5" t="s">
        <v>88</v>
      </c>
      <c r="I23" s="5" t="s">
        <v>89</v>
      </c>
      <c r="J23" s="5" t="s">
        <v>84</v>
      </c>
      <c r="K23" s="19">
        <f ca="1">NOW()-Tabela4[[#This Row],[Data de abertura]]</f>
        <v>144.50666562499828</v>
      </c>
      <c r="L23" s="16">
        <f t="shared" ca="1" si="0"/>
        <v>1.2066656250026426</v>
      </c>
    </row>
    <row r="24" spans="1:12" ht="30" x14ac:dyDescent="0.25">
      <c r="A24" s="5" t="s">
        <v>373</v>
      </c>
      <c r="B24" s="5" t="s">
        <v>208</v>
      </c>
      <c r="C24" s="5" t="s">
        <v>79</v>
      </c>
      <c r="D24" s="17">
        <v>44886.652083333334</v>
      </c>
      <c r="E24" s="18" t="s">
        <v>200</v>
      </c>
      <c r="F24" s="5" t="s">
        <v>340</v>
      </c>
      <c r="G24" s="17">
        <v>44886.652083333334</v>
      </c>
      <c r="H24" s="5" t="s">
        <v>82</v>
      </c>
      <c r="I24" s="5" t="s">
        <v>89</v>
      </c>
      <c r="J24" s="5" t="s">
        <v>84</v>
      </c>
      <c r="K24" s="19">
        <f ca="1">NOW()-Tabela4[[#This Row],[Data de abertura]]</f>
        <v>1.2143045138873276</v>
      </c>
      <c r="L24" s="16">
        <f t="shared" ca="1" si="0"/>
        <v>1.2143045138873276</v>
      </c>
    </row>
    <row r="25" spans="1:12" x14ac:dyDescent="0.25">
      <c r="A25" s="5" t="s">
        <v>374</v>
      </c>
      <c r="B25" s="5" t="s">
        <v>339</v>
      </c>
      <c r="C25" s="5" t="s">
        <v>92</v>
      </c>
      <c r="D25" s="17">
        <v>44861.498611111114</v>
      </c>
      <c r="E25" s="5" t="s">
        <v>80</v>
      </c>
      <c r="F25" s="5" t="s">
        <v>340</v>
      </c>
      <c r="G25" s="17">
        <v>44886.605555555558</v>
      </c>
      <c r="H25" s="5" t="s">
        <v>82</v>
      </c>
      <c r="I25" s="5" t="s">
        <v>89</v>
      </c>
      <c r="J25" s="5" t="s">
        <v>84</v>
      </c>
      <c r="K25" s="19">
        <f ca="1">NOW()-Tabela4[[#This Row],[Data de abertura]]</f>
        <v>26.367776736107771</v>
      </c>
      <c r="L25" s="16">
        <f t="shared" ca="1" si="0"/>
        <v>1.2608322916639736</v>
      </c>
    </row>
    <row r="26" spans="1:12" x14ac:dyDescent="0.25">
      <c r="A26" s="5" t="s">
        <v>375</v>
      </c>
      <c r="B26" s="5" t="s">
        <v>372</v>
      </c>
      <c r="C26" s="5" t="s">
        <v>92</v>
      </c>
      <c r="D26" s="17">
        <v>44886.57916666667</v>
      </c>
      <c r="E26" s="5" t="s">
        <v>80</v>
      </c>
      <c r="F26" s="5" t="s">
        <v>340</v>
      </c>
      <c r="G26" s="17">
        <v>44886.600694444445</v>
      </c>
      <c r="H26" s="5" t="s">
        <v>88</v>
      </c>
      <c r="I26" s="5" t="s">
        <v>89</v>
      </c>
      <c r="J26" s="5" t="s">
        <v>84</v>
      </c>
      <c r="K26" s="19">
        <f ca="1">NOW()-Tabela4[[#This Row],[Data de abertura]]</f>
        <v>1.287221180551569</v>
      </c>
      <c r="L26" s="16">
        <f t="shared" ca="1" si="0"/>
        <v>1.2656934027763782</v>
      </c>
    </row>
    <row r="27" spans="1:12" x14ac:dyDescent="0.25">
      <c r="A27" s="5" t="s">
        <v>376</v>
      </c>
      <c r="B27" s="5" t="s">
        <v>370</v>
      </c>
      <c r="C27" s="5" t="s">
        <v>87</v>
      </c>
      <c r="D27" s="17">
        <v>44886.584027777775</v>
      </c>
      <c r="E27" s="5" t="s">
        <v>80</v>
      </c>
      <c r="F27" s="5" t="s">
        <v>340</v>
      </c>
      <c r="G27" s="17">
        <v>44886.584027777775</v>
      </c>
      <c r="H27" s="5" t="s">
        <v>88</v>
      </c>
      <c r="I27" s="5" t="s">
        <v>89</v>
      </c>
      <c r="J27" s="5" t="s">
        <v>84</v>
      </c>
      <c r="K27" s="19">
        <f ca="1">NOW()-Tabela4[[#This Row],[Data de abertura]]</f>
        <v>1.2823600694464403</v>
      </c>
      <c r="L27" s="16">
        <f t="shared" ca="1" si="0"/>
        <v>1.2823600694464403</v>
      </c>
    </row>
    <row r="28" spans="1:12" x14ac:dyDescent="0.25">
      <c r="A28" s="5" t="s">
        <v>377</v>
      </c>
      <c r="B28" s="5" t="s">
        <v>356</v>
      </c>
      <c r="C28" s="5" t="s">
        <v>79</v>
      </c>
      <c r="D28" s="17">
        <v>44873.46597222222</v>
      </c>
      <c r="E28" s="5" t="s">
        <v>80</v>
      </c>
      <c r="F28" s="5" t="s">
        <v>340</v>
      </c>
      <c r="G28" s="17">
        <v>44886.461111111108</v>
      </c>
      <c r="H28" s="5" t="s">
        <v>82</v>
      </c>
      <c r="I28" s="5" t="s">
        <v>93</v>
      </c>
      <c r="J28" s="5" t="s">
        <v>84</v>
      </c>
      <c r="K28" s="19">
        <f ca="1">NOW()-Tabela4[[#This Row],[Data de abertura]]</f>
        <v>14.400415625001187</v>
      </c>
      <c r="L28" s="16">
        <f t="shared" ca="1" si="0"/>
        <v>1.4052767361135921</v>
      </c>
    </row>
    <row r="29" spans="1:12" x14ac:dyDescent="0.25">
      <c r="A29" s="5" t="s">
        <v>378</v>
      </c>
      <c r="B29" s="5" t="s">
        <v>356</v>
      </c>
      <c r="C29" s="5" t="s">
        <v>79</v>
      </c>
      <c r="D29" s="17">
        <v>44873.452777777777</v>
      </c>
      <c r="E29" s="5" t="s">
        <v>80</v>
      </c>
      <c r="F29" s="5" t="s">
        <v>340</v>
      </c>
      <c r="G29" s="17">
        <v>44886.460416666669</v>
      </c>
      <c r="H29" s="5" t="s">
        <v>82</v>
      </c>
      <c r="I29" s="5" t="s">
        <v>89</v>
      </c>
      <c r="J29" s="5" t="s">
        <v>84</v>
      </c>
      <c r="K29" s="19">
        <f ca="1">NOW()-Tabela4[[#This Row],[Data de abertura]]</f>
        <v>14.413610069444985</v>
      </c>
      <c r="L29" s="16">
        <f t="shared" ca="1" si="0"/>
        <v>1.4059711805530242</v>
      </c>
    </row>
    <row r="30" spans="1:12" x14ac:dyDescent="0.25">
      <c r="A30" s="5" t="s">
        <v>379</v>
      </c>
      <c r="B30" s="5" t="s">
        <v>380</v>
      </c>
      <c r="C30" s="5" t="s">
        <v>79</v>
      </c>
      <c r="D30" s="17">
        <v>44873.461805555555</v>
      </c>
      <c r="E30" s="5" t="s">
        <v>80</v>
      </c>
      <c r="F30" s="5" t="s">
        <v>340</v>
      </c>
      <c r="G30" s="17">
        <v>44886.459722222222</v>
      </c>
      <c r="H30" s="5" t="s">
        <v>82</v>
      </c>
      <c r="I30" s="5" t="s">
        <v>93</v>
      </c>
      <c r="J30" s="5" t="s">
        <v>84</v>
      </c>
      <c r="K30" s="19">
        <f ca="1">NOW()-Tabela4[[#This Row],[Data de abertura]]</f>
        <v>14.404582291666884</v>
      </c>
      <c r="L30" s="16">
        <f t="shared" ca="1" si="0"/>
        <v>1.4066656249997322</v>
      </c>
    </row>
    <row r="31" spans="1:12" x14ac:dyDescent="0.25">
      <c r="A31" s="5" t="s">
        <v>381</v>
      </c>
      <c r="B31" s="5" t="s">
        <v>382</v>
      </c>
      <c r="C31" s="5" t="s">
        <v>92</v>
      </c>
      <c r="D31" s="17">
        <v>44874.724305555559</v>
      </c>
      <c r="E31" s="5" t="s">
        <v>80</v>
      </c>
      <c r="F31" s="5" t="s">
        <v>340</v>
      </c>
      <c r="G31" s="17">
        <v>44886.456250000003</v>
      </c>
      <c r="H31" s="5" t="s">
        <v>82</v>
      </c>
      <c r="I31" s="5" t="s">
        <v>93</v>
      </c>
      <c r="J31" s="5" t="s">
        <v>84</v>
      </c>
      <c r="K31" s="19">
        <f ca="1">NOW()-Tabela4[[#This Row],[Data de abertura]]</f>
        <v>13.142082291662518</v>
      </c>
      <c r="L31" s="16">
        <f t="shared" ca="1" si="0"/>
        <v>1.4101378472187207</v>
      </c>
    </row>
    <row r="32" spans="1:12" x14ac:dyDescent="0.25">
      <c r="A32" s="5" t="s">
        <v>383</v>
      </c>
      <c r="B32" s="5" t="s">
        <v>382</v>
      </c>
      <c r="C32" s="5" t="s">
        <v>92</v>
      </c>
      <c r="D32" s="17">
        <v>44874.779861111114</v>
      </c>
      <c r="E32" s="5" t="s">
        <v>80</v>
      </c>
      <c r="F32" s="5" t="s">
        <v>340</v>
      </c>
      <c r="G32" s="17">
        <v>44886.455555555556</v>
      </c>
      <c r="H32" s="5" t="s">
        <v>82</v>
      </c>
      <c r="I32" s="5" t="s">
        <v>89</v>
      </c>
      <c r="J32" s="5" t="s">
        <v>84</v>
      </c>
      <c r="K32" s="19">
        <f ca="1">NOW()-Tabela4[[#This Row],[Data de abertura]]</f>
        <v>13.086526736107771</v>
      </c>
      <c r="L32" s="16">
        <f t="shared" ca="1" si="0"/>
        <v>1.4108322916654288</v>
      </c>
    </row>
    <row r="33" spans="1:12" ht="30" x14ac:dyDescent="0.25">
      <c r="A33" s="5" t="s">
        <v>384</v>
      </c>
      <c r="B33" s="5" t="s">
        <v>382</v>
      </c>
      <c r="C33" s="5" t="s">
        <v>79</v>
      </c>
      <c r="D33" s="17">
        <v>44883.667361111111</v>
      </c>
      <c r="E33" s="18" t="s">
        <v>200</v>
      </c>
      <c r="F33" s="5" t="s">
        <v>340</v>
      </c>
      <c r="G33" s="17">
        <v>44886.45</v>
      </c>
      <c r="H33" s="5" t="s">
        <v>82</v>
      </c>
      <c r="I33" s="5" t="s">
        <v>93</v>
      </c>
      <c r="J33" s="5" t="s">
        <v>84</v>
      </c>
      <c r="K33" s="19">
        <f ca="1">NOW()-Tabela4[[#This Row],[Data de abertura]]</f>
        <v>4.1990267361106817</v>
      </c>
      <c r="L33" s="16">
        <f t="shared" ca="1" si="0"/>
        <v>1.4163878472245415</v>
      </c>
    </row>
    <row r="34" spans="1:12" x14ac:dyDescent="0.25">
      <c r="A34" s="5" t="s">
        <v>385</v>
      </c>
      <c r="B34" s="5" t="s">
        <v>356</v>
      </c>
      <c r="C34" s="5" t="s">
        <v>92</v>
      </c>
      <c r="D34" s="17">
        <v>44881.517361111109</v>
      </c>
      <c r="E34" s="5" t="s">
        <v>80</v>
      </c>
      <c r="F34" s="5" t="s">
        <v>340</v>
      </c>
      <c r="G34" s="17">
        <v>44886.446527777778</v>
      </c>
      <c r="H34" s="5" t="s">
        <v>82</v>
      </c>
      <c r="I34" s="5" t="s">
        <v>93</v>
      </c>
      <c r="J34" s="5" t="s">
        <v>84</v>
      </c>
      <c r="K34" s="19">
        <f ca="1">NOW()-Tabela4[[#This Row],[Data de abertura]]</f>
        <v>6.3490267361121369</v>
      </c>
      <c r="L34" s="16">
        <f t="shared" ref="L34:L65" ca="1" si="1">NOW()-G34</f>
        <v>1.4198600694435299</v>
      </c>
    </row>
    <row r="35" spans="1:12" x14ac:dyDescent="0.25">
      <c r="A35" s="5" t="s">
        <v>386</v>
      </c>
      <c r="B35" s="5" t="s">
        <v>382</v>
      </c>
      <c r="C35" s="5" t="s">
        <v>92</v>
      </c>
      <c r="D35" s="17">
        <v>44874.725694444445</v>
      </c>
      <c r="E35" s="5" t="s">
        <v>80</v>
      </c>
      <c r="F35" s="5" t="s">
        <v>340</v>
      </c>
      <c r="G35" s="17">
        <v>44886.438888888886</v>
      </c>
      <c r="H35" s="5" t="s">
        <v>82</v>
      </c>
      <c r="I35" s="5" t="s">
        <v>93</v>
      </c>
      <c r="J35" s="5" t="s">
        <v>84</v>
      </c>
      <c r="K35" s="19">
        <f ca="1">NOW()-Tabela4[[#This Row],[Data de abertura]]</f>
        <v>13.140693402776378</v>
      </c>
      <c r="L35" s="16">
        <f t="shared" ca="1" si="1"/>
        <v>1.4274989583354909</v>
      </c>
    </row>
    <row r="36" spans="1:12" x14ac:dyDescent="0.25">
      <c r="A36" s="5" t="s">
        <v>387</v>
      </c>
      <c r="B36" s="5" t="s">
        <v>356</v>
      </c>
      <c r="C36" s="5" t="s">
        <v>92</v>
      </c>
      <c r="D36" s="17">
        <v>44875.688888888886</v>
      </c>
      <c r="E36" s="5" t="s">
        <v>80</v>
      </c>
      <c r="F36" s="5" t="s">
        <v>340</v>
      </c>
      <c r="G36" s="17">
        <v>44886.4375</v>
      </c>
      <c r="H36" s="5" t="s">
        <v>82</v>
      </c>
      <c r="I36" s="5" t="s">
        <v>93</v>
      </c>
      <c r="J36" s="5" t="s">
        <v>84</v>
      </c>
      <c r="K36" s="19">
        <f ca="1">NOW()-Tabela4[[#This Row],[Data de abertura]]</f>
        <v>12.177498958335491</v>
      </c>
      <c r="L36" s="16">
        <f t="shared" ca="1" si="1"/>
        <v>1.4288878472216311</v>
      </c>
    </row>
    <row r="37" spans="1:12" x14ac:dyDescent="0.25">
      <c r="A37" s="5" t="s">
        <v>388</v>
      </c>
      <c r="B37" s="5" t="s">
        <v>356</v>
      </c>
      <c r="C37" s="5" t="s">
        <v>92</v>
      </c>
      <c r="D37" s="17">
        <v>44881.510416666664</v>
      </c>
      <c r="E37" s="5" t="s">
        <v>80</v>
      </c>
      <c r="F37" s="5" t="s">
        <v>340</v>
      </c>
      <c r="G37" s="17">
        <v>44886.434027777781</v>
      </c>
      <c r="H37" s="5" t="s">
        <v>82</v>
      </c>
      <c r="I37" s="5" t="s">
        <v>83</v>
      </c>
      <c r="J37" s="5" t="s">
        <v>84</v>
      </c>
      <c r="K37" s="19">
        <f ca="1">NOW()-Tabela4[[#This Row],[Data de abertura]]</f>
        <v>6.3559711805573897</v>
      </c>
      <c r="L37" s="16">
        <f t="shared" ca="1" si="1"/>
        <v>1.4323600694406196</v>
      </c>
    </row>
    <row r="38" spans="1:12" x14ac:dyDescent="0.25">
      <c r="A38" s="5" t="s">
        <v>389</v>
      </c>
      <c r="B38" s="5" t="s">
        <v>390</v>
      </c>
      <c r="C38" s="5" t="s">
        <v>79</v>
      </c>
      <c r="D38" s="17">
        <v>44886.417361111111</v>
      </c>
      <c r="E38" s="5" t="s">
        <v>80</v>
      </c>
      <c r="F38" s="5" t="s">
        <v>340</v>
      </c>
      <c r="G38" s="17">
        <v>44886.417361111111</v>
      </c>
      <c r="H38" s="5" t="s">
        <v>82</v>
      </c>
      <c r="I38" s="5" t="s">
        <v>83</v>
      </c>
      <c r="J38" s="5" t="s">
        <v>84</v>
      </c>
      <c r="K38" s="19">
        <f ca="1">NOW()-Tabela4[[#This Row],[Data de abertura]]</f>
        <v>1.4490267361106817</v>
      </c>
      <c r="L38" s="16">
        <f t="shared" ca="1" si="1"/>
        <v>1.4490267361106817</v>
      </c>
    </row>
    <row r="39" spans="1:12" x14ac:dyDescent="0.25">
      <c r="A39" s="5" t="s">
        <v>391</v>
      </c>
      <c r="B39" s="5" t="s">
        <v>339</v>
      </c>
      <c r="C39" s="5" t="s">
        <v>92</v>
      </c>
      <c r="D39" s="17">
        <v>44826.709722222222</v>
      </c>
      <c r="E39" s="5" t="s">
        <v>80</v>
      </c>
      <c r="F39" s="5" t="s">
        <v>340</v>
      </c>
      <c r="G39" s="17">
        <v>44886.393055555556</v>
      </c>
      <c r="H39" s="5" t="s">
        <v>82</v>
      </c>
      <c r="I39" s="5" t="s">
        <v>89</v>
      </c>
      <c r="J39" s="5" t="s">
        <v>84</v>
      </c>
      <c r="K39" s="19">
        <f ca="1">NOW()-Tabela4[[#This Row],[Data de abertura]]</f>
        <v>61.156665624999732</v>
      </c>
      <c r="L39" s="16">
        <f t="shared" ca="1" si="1"/>
        <v>1.4733322916654288</v>
      </c>
    </row>
    <row r="40" spans="1:12" x14ac:dyDescent="0.25">
      <c r="A40" s="5" t="s">
        <v>392</v>
      </c>
      <c r="B40" s="5" t="s">
        <v>349</v>
      </c>
      <c r="C40" s="5" t="s">
        <v>87</v>
      </c>
      <c r="D40" s="17">
        <v>44886.382638888892</v>
      </c>
      <c r="E40" s="5" t="s">
        <v>80</v>
      </c>
      <c r="F40" s="5" t="s">
        <v>340</v>
      </c>
      <c r="G40" s="17">
        <v>44886.382638888892</v>
      </c>
      <c r="H40" s="5" t="s">
        <v>88</v>
      </c>
      <c r="I40" s="5" t="s">
        <v>89</v>
      </c>
      <c r="J40" s="5" t="s">
        <v>84</v>
      </c>
      <c r="K40" s="19">
        <f ca="1">NOW()-Tabela4[[#This Row],[Data de abertura]]</f>
        <v>1.4837489583296701</v>
      </c>
      <c r="L40" s="16">
        <f t="shared" ca="1" si="1"/>
        <v>1.4837489583296701</v>
      </c>
    </row>
    <row r="41" spans="1:12" ht="60" x14ac:dyDescent="0.25">
      <c r="A41" s="5" t="s">
        <v>393</v>
      </c>
      <c r="B41" s="5" t="s">
        <v>394</v>
      </c>
      <c r="C41" s="5" t="s">
        <v>87</v>
      </c>
      <c r="D41" s="17">
        <v>44886.364583333336</v>
      </c>
      <c r="E41" s="18" t="s">
        <v>395</v>
      </c>
      <c r="F41" s="5" t="s">
        <v>340</v>
      </c>
      <c r="G41" s="17">
        <v>44886.364583333336</v>
      </c>
      <c r="H41" s="5" t="s">
        <v>88</v>
      </c>
      <c r="I41" s="5" t="s">
        <v>89</v>
      </c>
      <c r="J41" s="5" t="s">
        <v>84</v>
      </c>
      <c r="K41" s="19">
        <f ca="1">NOW()-Tabela4[[#This Row],[Data de abertura]]</f>
        <v>1.5018045138858724</v>
      </c>
      <c r="L41" s="16">
        <f t="shared" ca="1" si="1"/>
        <v>1.5018045138858724</v>
      </c>
    </row>
    <row r="42" spans="1:12" ht="45" x14ac:dyDescent="0.25">
      <c r="A42" s="5" t="s">
        <v>396</v>
      </c>
      <c r="B42" s="5" t="s">
        <v>397</v>
      </c>
      <c r="C42" s="5" t="s">
        <v>87</v>
      </c>
      <c r="D42" s="17">
        <v>44886.364583333336</v>
      </c>
      <c r="E42" s="18" t="s">
        <v>323</v>
      </c>
      <c r="F42" s="5" t="s">
        <v>340</v>
      </c>
      <c r="G42" s="17">
        <v>44886.364583333336</v>
      </c>
      <c r="H42" s="5" t="s">
        <v>82</v>
      </c>
      <c r="I42" s="5" t="s">
        <v>89</v>
      </c>
      <c r="J42" s="5" t="s">
        <v>84</v>
      </c>
      <c r="K42" s="19">
        <f ca="1">NOW()-Tabela4[[#This Row],[Data de abertura]]</f>
        <v>1.5018045138858724</v>
      </c>
      <c r="L42" s="16">
        <f t="shared" ca="1" si="1"/>
        <v>1.5018045138858724</v>
      </c>
    </row>
    <row r="43" spans="1:12" x14ac:dyDescent="0.25">
      <c r="A43" s="5" t="s">
        <v>398</v>
      </c>
      <c r="B43" s="5" t="s">
        <v>358</v>
      </c>
      <c r="C43" s="5" t="s">
        <v>92</v>
      </c>
      <c r="D43" s="17">
        <v>44861.504861111112</v>
      </c>
      <c r="E43" s="5" t="s">
        <v>80</v>
      </c>
      <c r="F43" s="5" t="s">
        <v>340</v>
      </c>
      <c r="G43" s="17">
        <v>44886.333333333336</v>
      </c>
      <c r="H43" s="5" t="s">
        <v>82</v>
      </c>
      <c r="I43" s="5" t="s">
        <v>89</v>
      </c>
      <c r="J43" s="5" t="s">
        <v>84</v>
      </c>
      <c r="K43" s="19">
        <f ca="1">NOW()-Tabela4[[#This Row],[Data de abertura]]</f>
        <v>26.361526736109226</v>
      </c>
      <c r="L43" s="16">
        <f t="shared" ca="1" si="1"/>
        <v>1.5330545138858724</v>
      </c>
    </row>
    <row r="44" spans="1:12" x14ac:dyDescent="0.25">
      <c r="A44" s="5" t="s">
        <v>399</v>
      </c>
      <c r="B44" s="5" t="s">
        <v>380</v>
      </c>
      <c r="C44" s="5" t="s">
        <v>79</v>
      </c>
      <c r="D44" s="17">
        <v>44883.689583333333</v>
      </c>
      <c r="E44" s="5" t="s">
        <v>80</v>
      </c>
      <c r="F44" s="5" t="s">
        <v>340</v>
      </c>
      <c r="G44" s="17">
        <v>44883.715277777781</v>
      </c>
      <c r="H44" s="5" t="s">
        <v>82</v>
      </c>
      <c r="I44" s="5" t="s">
        <v>93</v>
      </c>
      <c r="J44" s="5" t="s">
        <v>84</v>
      </c>
      <c r="K44" s="19">
        <f ca="1">NOW()-Tabela4[[#This Row],[Data de abertura]]</f>
        <v>4.1768045138887828</v>
      </c>
      <c r="L44" s="16">
        <f t="shared" ca="1" si="1"/>
        <v>4.1511100694406196</v>
      </c>
    </row>
    <row r="45" spans="1:12" x14ac:dyDescent="0.25">
      <c r="A45" s="5" t="s">
        <v>400</v>
      </c>
      <c r="B45" s="5" t="s">
        <v>358</v>
      </c>
      <c r="C45" s="5" t="s">
        <v>92</v>
      </c>
      <c r="D45" s="17">
        <v>44868.709027777775</v>
      </c>
      <c r="E45" s="5" t="s">
        <v>80</v>
      </c>
      <c r="F45" s="5" t="s">
        <v>340</v>
      </c>
      <c r="G45" s="17">
        <v>44883.609722222223</v>
      </c>
      <c r="H45" s="5" t="s">
        <v>82</v>
      </c>
      <c r="I45" s="5" t="s">
        <v>89</v>
      </c>
      <c r="J45" s="5" t="s">
        <v>84</v>
      </c>
      <c r="K45" s="19">
        <f ca="1">NOW()-Tabela4[[#This Row],[Data de abertura]]</f>
        <v>19.15736006944644</v>
      </c>
      <c r="L45" s="16">
        <f t="shared" ca="1" si="1"/>
        <v>4.2566656249982771</v>
      </c>
    </row>
    <row r="46" spans="1:12" x14ac:dyDescent="0.25">
      <c r="A46" s="5" t="s">
        <v>401</v>
      </c>
      <c r="B46" s="5" t="s">
        <v>134</v>
      </c>
      <c r="C46" s="5" t="s">
        <v>92</v>
      </c>
      <c r="D46" s="17">
        <v>44872.694444444445</v>
      </c>
      <c r="F46" s="5" t="s">
        <v>340</v>
      </c>
      <c r="G46" s="17">
        <v>44883.583333333336</v>
      </c>
      <c r="H46" s="5" t="s">
        <v>82</v>
      </c>
      <c r="I46" s="5" t="s">
        <v>89</v>
      </c>
      <c r="J46" s="5" t="s">
        <v>84</v>
      </c>
      <c r="K46" s="19">
        <f ca="1">NOW()-Tabela4[[#This Row],[Data de abertura]]</f>
        <v>15.171943402776378</v>
      </c>
      <c r="L46" s="16">
        <f t="shared" ca="1" si="1"/>
        <v>4.2830545138858724</v>
      </c>
    </row>
    <row r="47" spans="1:12" x14ac:dyDescent="0.25">
      <c r="A47" s="5" t="s">
        <v>402</v>
      </c>
      <c r="B47" s="5" t="s">
        <v>358</v>
      </c>
      <c r="C47" s="5" t="s">
        <v>87</v>
      </c>
      <c r="D47" s="17">
        <v>44883.476388888892</v>
      </c>
      <c r="E47" s="5" t="s">
        <v>80</v>
      </c>
      <c r="F47" s="5" t="s">
        <v>340</v>
      </c>
      <c r="G47" s="17">
        <v>44883.476388888892</v>
      </c>
      <c r="H47" s="5" t="s">
        <v>82</v>
      </c>
      <c r="I47" s="5" t="s">
        <v>89</v>
      </c>
      <c r="J47" s="5" t="s">
        <v>84</v>
      </c>
      <c r="K47" s="19">
        <f ca="1">NOW()-Tabela4[[#This Row],[Data de abertura]]</f>
        <v>4.3899989583296701</v>
      </c>
      <c r="L47" s="16">
        <f t="shared" ca="1" si="1"/>
        <v>4.3899989583296701</v>
      </c>
    </row>
    <row r="48" spans="1:12" x14ac:dyDescent="0.25">
      <c r="A48" s="5" t="s">
        <v>403</v>
      </c>
      <c r="B48" s="5" t="s">
        <v>358</v>
      </c>
      <c r="C48" s="5" t="s">
        <v>87</v>
      </c>
      <c r="D48" s="17">
        <v>44883.474999999999</v>
      </c>
      <c r="E48" s="5" t="s">
        <v>80</v>
      </c>
      <c r="F48" s="5" t="s">
        <v>340</v>
      </c>
      <c r="G48" s="17">
        <v>44883.474999999999</v>
      </c>
      <c r="H48" s="5" t="s">
        <v>82</v>
      </c>
      <c r="I48" s="5" t="s">
        <v>89</v>
      </c>
      <c r="J48" s="5" t="s">
        <v>84</v>
      </c>
      <c r="K48" s="19">
        <f ca="1">NOW()-Tabela4[[#This Row],[Data de abertura]]</f>
        <v>4.3913878472230863</v>
      </c>
      <c r="L48" s="16">
        <f t="shared" ca="1" si="1"/>
        <v>4.3913878472230863</v>
      </c>
    </row>
    <row r="49" spans="1:12" x14ac:dyDescent="0.25">
      <c r="A49" s="5" t="s">
        <v>404</v>
      </c>
      <c r="B49" s="5" t="s">
        <v>370</v>
      </c>
      <c r="C49" s="5" t="s">
        <v>87</v>
      </c>
      <c r="D49" s="17">
        <v>44883.425694444442</v>
      </c>
      <c r="E49" s="5" t="s">
        <v>80</v>
      </c>
      <c r="F49" s="5" t="s">
        <v>340</v>
      </c>
      <c r="G49" s="17">
        <v>44883.425694444442</v>
      </c>
      <c r="H49" s="5" t="s">
        <v>88</v>
      </c>
      <c r="I49" s="5" t="s">
        <v>89</v>
      </c>
      <c r="J49" s="5" t="s">
        <v>84</v>
      </c>
      <c r="K49" s="19">
        <f ca="1">NOW()-Tabela4[[#This Row],[Data de abertura]]</f>
        <v>4.4406934027792886</v>
      </c>
      <c r="L49" s="16">
        <f t="shared" ca="1" si="1"/>
        <v>4.4406934027792886</v>
      </c>
    </row>
    <row r="50" spans="1:12" x14ac:dyDescent="0.25">
      <c r="A50" s="5" t="s">
        <v>405</v>
      </c>
      <c r="B50" s="5" t="s">
        <v>406</v>
      </c>
      <c r="C50" s="5" t="s">
        <v>92</v>
      </c>
      <c r="D50" s="17">
        <v>44845.490277777775</v>
      </c>
      <c r="E50" s="5" t="s">
        <v>80</v>
      </c>
      <c r="F50" s="5" t="s">
        <v>340</v>
      </c>
      <c r="G50" s="17">
        <v>44883.425000000003</v>
      </c>
      <c r="H50" s="5" t="s">
        <v>82</v>
      </c>
      <c r="I50" s="5" t="s">
        <v>89</v>
      </c>
      <c r="J50" s="5" t="s">
        <v>84</v>
      </c>
      <c r="K50" s="19">
        <f ca="1">NOW()-Tabela4[[#This Row],[Data de abertura]]</f>
        <v>42.37611006944644</v>
      </c>
      <c r="L50" s="16">
        <f t="shared" ca="1" si="1"/>
        <v>4.4413878472187207</v>
      </c>
    </row>
    <row r="51" spans="1:12" x14ac:dyDescent="0.25">
      <c r="A51" s="5" t="s">
        <v>407</v>
      </c>
      <c r="B51" s="5" t="s">
        <v>354</v>
      </c>
      <c r="C51" s="5" t="s">
        <v>92</v>
      </c>
      <c r="D51" s="17">
        <v>44873.744444444441</v>
      </c>
      <c r="E51" s="5" t="s">
        <v>80</v>
      </c>
      <c r="F51" s="5" t="s">
        <v>340</v>
      </c>
      <c r="G51" s="17">
        <v>44883.42083333333</v>
      </c>
      <c r="H51" s="5" t="s">
        <v>82</v>
      </c>
      <c r="I51" s="5" t="s">
        <v>89</v>
      </c>
      <c r="J51" s="5" t="s">
        <v>84</v>
      </c>
      <c r="K51" s="19">
        <f ca="1">NOW()-Tabela4[[#This Row],[Data de abertura]]</f>
        <v>14.121943402780744</v>
      </c>
      <c r="L51" s="16">
        <f t="shared" ca="1" si="1"/>
        <v>4.4455545138916932</v>
      </c>
    </row>
    <row r="52" spans="1:12" x14ac:dyDescent="0.25">
      <c r="A52" s="5" t="s">
        <v>408</v>
      </c>
      <c r="B52" s="5" t="s">
        <v>335</v>
      </c>
      <c r="C52" s="5" t="s">
        <v>92</v>
      </c>
      <c r="D52" s="17">
        <v>44866.340277777781</v>
      </c>
      <c r="E52" s="5" t="s">
        <v>80</v>
      </c>
      <c r="F52" s="5" t="s">
        <v>340</v>
      </c>
      <c r="G52" s="17">
        <v>44883.418749999997</v>
      </c>
      <c r="H52" s="5" t="s">
        <v>88</v>
      </c>
      <c r="I52" s="5" t="s">
        <v>89</v>
      </c>
      <c r="J52" s="5" t="s">
        <v>84</v>
      </c>
      <c r="K52" s="19">
        <f ca="1">NOW()-Tabela4[[#This Row],[Data de abertura]]</f>
        <v>21.52611006944062</v>
      </c>
      <c r="L52" s="16">
        <f t="shared" ca="1" si="1"/>
        <v>4.4476378472245415</v>
      </c>
    </row>
    <row r="53" spans="1:12" x14ac:dyDescent="0.25">
      <c r="A53" s="5" t="s">
        <v>409</v>
      </c>
      <c r="B53" s="5" t="s">
        <v>339</v>
      </c>
      <c r="C53" s="5" t="s">
        <v>87</v>
      </c>
      <c r="D53" s="17">
        <v>44879.469444444447</v>
      </c>
      <c r="E53" s="5" t="s">
        <v>80</v>
      </c>
      <c r="F53" s="5" t="s">
        <v>340</v>
      </c>
      <c r="G53" s="17">
        <v>44883.370138888888</v>
      </c>
      <c r="H53" s="5" t="s">
        <v>82</v>
      </c>
      <c r="I53" s="5" t="s">
        <v>89</v>
      </c>
      <c r="J53" s="5" t="s">
        <v>84</v>
      </c>
      <c r="K53" s="19">
        <f ca="1">NOW()-Tabela4[[#This Row],[Data de abertura]]</f>
        <v>8.396943402774923</v>
      </c>
      <c r="L53" s="16">
        <f t="shared" ca="1" si="1"/>
        <v>4.4962489583340357</v>
      </c>
    </row>
    <row r="54" spans="1:12" x14ac:dyDescent="0.25">
      <c r="A54" s="5" t="s">
        <v>410</v>
      </c>
      <c r="B54" s="5" t="s">
        <v>411</v>
      </c>
      <c r="C54" s="5" t="s">
        <v>87</v>
      </c>
      <c r="D54" s="17">
        <v>44883.338888888888</v>
      </c>
      <c r="E54" s="5" t="s">
        <v>80</v>
      </c>
      <c r="F54" s="5" t="s">
        <v>340</v>
      </c>
      <c r="G54" s="17">
        <v>44883.340277777781</v>
      </c>
      <c r="H54" s="5" t="s">
        <v>82</v>
      </c>
      <c r="I54" s="5" t="s">
        <v>89</v>
      </c>
      <c r="J54" s="5" t="s">
        <v>84</v>
      </c>
      <c r="K54" s="19">
        <f ca="1">NOW()-Tabela4[[#This Row],[Data de abertura]]</f>
        <v>4.5274989583340357</v>
      </c>
      <c r="L54" s="16">
        <f t="shared" ca="1" si="1"/>
        <v>4.5261100694406196</v>
      </c>
    </row>
    <row r="55" spans="1:12" x14ac:dyDescent="0.25">
      <c r="A55" s="5" t="s">
        <v>412</v>
      </c>
      <c r="B55" s="5" t="s">
        <v>347</v>
      </c>
      <c r="C55" s="5" t="s">
        <v>92</v>
      </c>
      <c r="D55" s="17">
        <v>44882.339583333334</v>
      </c>
      <c r="E55" s="5" t="s">
        <v>80</v>
      </c>
      <c r="F55" s="5" t="s">
        <v>340</v>
      </c>
      <c r="G55" s="17">
        <v>44883.299305555556</v>
      </c>
      <c r="H55" s="5" t="s">
        <v>82</v>
      </c>
      <c r="I55" s="5" t="s">
        <v>89</v>
      </c>
      <c r="J55" s="5" t="s">
        <v>84</v>
      </c>
      <c r="K55" s="19">
        <f ca="1">NOW()-Tabela4[[#This Row],[Data de abertura]]</f>
        <v>5.5268045138873276</v>
      </c>
      <c r="L55" s="16">
        <f t="shared" ca="1" si="1"/>
        <v>4.5670822916654288</v>
      </c>
    </row>
    <row r="56" spans="1:12" x14ac:dyDescent="0.25">
      <c r="A56" s="5" t="s">
        <v>413</v>
      </c>
      <c r="B56" s="5" t="s">
        <v>414</v>
      </c>
      <c r="C56" s="5" t="s">
        <v>87</v>
      </c>
      <c r="D56" s="17">
        <v>44879.673611111109</v>
      </c>
      <c r="E56" s="5" t="s">
        <v>80</v>
      </c>
      <c r="F56" s="5" t="s">
        <v>340</v>
      </c>
      <c r="G56" s="17">
        <v>44882.572916666664</v>
      </c>
      <c r="H56" s="5" t="s">
        <v>82</v>
      </c>
      <c r="I56" s="5" t="s">
        <v>89</v>
      </c>
      <c r="J56" s="5" t="s">
        <v>84</v>
      </c>
      <c r="K56" s="19">
        <f ca="1">NOW()-Tabela4[[#This Row],[Data de abertura]]</f>
        <v>8.1927767361121369</v>
      </c>
      <c r="L56" s="16">
        <f t="shared" ca="1" si="1"/>
        <v>5.2934711805573897</v>
      </c>
    </row>
    <row r="57" spans="1:12" x14ac:dyDescent="0.25">
      <c r="A57" s="5" t="s">
        <v>415</v>
      </c>
      <c r="B57" s="5" t="s">
        <v>416</v>
      </c>
      <c r="C57" s="5" t="s">
        <v>87</v>
      </c>
      <c r="D57" s="17">
        <v>44882.557638888888</v>
      </c>
      <c r="E57" s="5" t="s">
        <v>80</v>
      </c>
      <c r="F57" s="5" t="s">
        <v>340</v>
      </c>
      <c r="G57" s="17">
        <v>44882.557638888888</v>
      </c>
      <c r="H57" s="5" t="s">
        <v>82</v>
      </c>
      <c r="I57" s="5" t="s">
        <v>89</v>
      </c>
      <c r="J57" s="5" t="s">
        <v>84</v>
      </c>
      <c r="K57" s="19">
        <f ca="1">NOW()-Tabela4[[#This Row],[Data de abertura]]</f>
        <v>5.3087489583340357</v>
      </c>
      <c r="L57" s="16">
        <f t="shared" ca="1" si="1"/>
        <v>5.3087489583340357</v>
      </c>
    </row>
    <row r="58" spans="1:12" x14ac:dyDescent="0.25">
      <c r="A58" s="5" t="s">
        <v>417</v>
      </c>
      <c r="B58" s="5" t="s">
        <v>418</v>
      </c>
      <c r="C58" s="5" t="s">
        <v>92</v>
      </c>
      <c r="D58" s="17">
        <v>44882.401388888888</v>
      </c>
      <c r="E58" s="5" t="s">
        <v>80</v>
      </c>
      <c r="F58" s="5" t="s">
        <v>340</v>
      </c>
      <c r="G58" s="17">
        <v>44882.527083333334</v>
      </c>
      <c r="H58" s="5" t="s">
        <v>82</v>
      </c>
      <c r="I58" s="5" t="s">
        <v>89</v>
      </c>
      <c r="J58" s="5" t="s">
        <v>84</v>
      </c>
      <c r="K58" s="19">
        <f ca="1">NOW()-Tabela4[[#This Row],[Data de abertura]]</f>
        <v>5.4649989583340357</v>
      </c>
      <c r="L58" s="16">
        <f t="shared" ca="1" si="1"/>
        <v>5.3393045138873276</v>
      </c>
    </row>
    <row r="59" spans="1:12" x14ac:dyDescent="0.25">
      <c r="A59" s="5" t="s">
        <v>419</v>
      </c>
      <c r="B59" s="5" t="s">
        <v>339</v>
      </c>
      <c r="C59" s="5" t="s">
        <v>87</v>
      </c>
      <c r="D59" s="17">
        <v>44882.377083333333</v>
      </c>
      <c r="E59" s="5" t="s">
        <v>80</v>
      </c>
      <c r="F59" s="5" t="s">
        <v>340</v>
      </c>
      <c r="G59" s="17">
        <v>44882.377083333333</v>
      </c>
      <c r="H59" s="5" t="s">
        <v>82</v>
      </c>
      <c r="I59" s="5" t="s">
        <v>89</v>
      </c>
      <c r="J59" s="5" t="s">
        <v>84</v>
      </c>
      <c r="K59" s="19">
        <f ca="1">NOW()-Tabela4[[#This Row],[Data de abertura]]</f>
        <v>5.4893045138887828</v>
      </c>
      <c r="L59" s="16">
        <f t="shared" ca="1" si="1"/>
        <v>5.4893045138887828</v>
      </c>
    </row>
    <row r="60" spans="1:12" x14ac:dyDescent="0.25">
      <c r="A60" s="5" t="s">
        <v>420</v>
      </c>
      <c r="B60" s="5" t="s">
        <v>175</v>
      </c>
      <c r="C60" s="5" t="s">
        <v>92</v>
      </c>
      <c r="D60" s="17">
        <v>44873.670138888891</v>
      </c>
      <c r="E60" s="5" t="s">
        <v>80</v>
      </c>
      <c r="F60" s="5" t="s">
        <v>340</v>
      </c>
      <c r="G60" s="17">
        <v>44882.359722222223</v>
      </c>
      <c r="H60" s="5" t="s">
        <v>88</v>
      </c>
      <c r="I60" s="5" t="s">
        <v>89</v>
      </c>
      <c r="J60" s="5" t="s">
        <v>84</v>
      </c>
      <c r="K60" s="19">
        <f ca="1">NOW()-Tabela4[[#This Row],[Data de abertura]]</f>
        <v>14.196248958331125</v>
      </c>
      <c r="L60" s="16">
        <f t="shared" ca="1" si="1"/>
        <v>5.5066656249982771</v>
      </c>
    </row>
    <row r="61" spans="1:12" x14ac:dyDescent="0.25">
      <c r="A61" s="5" t="s">
        <v>421</v>
      </c>
      <c r="B61" s="5" t="s">
        <v>181</v>
      </c>
      <c r="C61" s="5" t="s">
        <v>92</v>
      </c>
      <c r="D61" s="17">
        <v>44873.440972222219</v>
      </c>
      <c r="E61" s="5" t="s">
        <v>80</v>
      </c>
      <c r="F61" s="5" t="s">
        <v>340</v>
      </c>
      <c r="G61" s="17">
        <v>44882.352777777778</v>
      </c>
      <c r="H61" s="5" t="s">
        <v>82</v>
      </c>
      <c r="I61" s="5" t="s">
        <v>89</v>
      </c>
      <c r="J61" s="5" t="s">
        <v>84</v>
      </c>
      <c r="K61" s="19">
        <f ca="1">NOW()-Tabela4[[#This Row],[Data de abertura]]</f>
        <v>14.425415625002643</v>
      </c>
      <c r="L61" s="16">
        <f t="shared" ca="1" si="1"/>
        <v>5.5136100694435299</v>
      </c>
    </row>
    <row r="62" spans="1:12" x14ac:dyDescent="0.25">
      <c r="A62" s="5" t="s">
        <v>422</v>
      </c>
      <c r="B62" s="5" t="s">
        <v>367</v>
      </c>
      <c r="C62" s="5" t="s">
        <v>92</v>
      </c>
      <c r="D62" s="17">
        <v>44881.451388888891</v>
      </c>
      <c r="E62" s="5" t="s">
        <v>80</v>
      </c>
      <c r="F62" s="5" t="s">
        <v>340</v>
      </c>
      <c r="G62" s="17">
        <v>44882.30972222222</v>
      </c>
      <c r="H62" s="5" t="s">
        <v>82</v>
      </c>
      <c r="I62" s="5" t="s">
        <v>89</v>
      </c>
      <c r="J62" s="5" t="s">
        <v>84</v>
      </c>
      <c r="K62" s="19">
        <f ca="1">NOW()-Tabela4[[#This Row],[Data de abertura]]</f>
        <v>6.4149989583311253</v>
      </c>
      <c r="L62" s="16">
        <f t="shared" ca="1" si="1"/>
        <v>5.5566656250011874</v>
      </c>
    </row>
    <row r="63" spans="1:12" x14ac:dyDescent="0.25">
      <c r="A63" s="5" t="s">
        <v>423</v>
      </c>
      <c r="B63" s="5" t="s">
        <v>367</v>
      </c>
      <c r="C63" s="5" t="s">
        <v>92</v>
      </c>
      <c r="D63" s="17">
        <v>44881.474305555559</v>
      </c>
      <c r="E63" s="5" t="s">
        <v>80</v>
      </c>
      <c r="F63" s="5" t="s">
        <v>340</v>
      </c>
      <c r="G63" s="17">
        <v>44882.307638888888</v>
      </c>
      <c r="H63" s="5" t="s">
        <v>82</v>
      </c>
      <c r="I63" s="5" t="s">
        <v>89</v>
      </c>
      <c r="J63" s="5" t="s">
        <v>84</v>
      </c>
      <c r="K63" s="19">
        <f ca="1">NOW()-Tabela4[[#This Row],[Data de abertura]]</f>
        <v>6.3920822916625184</v>
      </c>
      <c r="L63" s="16">
        <f t="shared" ca="1" si="1"/>
        <v>5.5587489583340357</v>
      </c>
    </row>
    <row r="64" spans="1:12" x14ac:dyDescent="0.25">
      <c r="A64" s="5" t="s">
        <v>424</v>
      </c>
      <c r="B64" s="5" t="s">
        <v>349</v>
      </c>
      <c r="C64" s="5" t="s">
        <v>87</v>
      </c>
      <c r="D64" s="17">
        <v>44881.621527777781</v>
      </c>
      <c r="E64" s="5" t="s">
        <v>80</v>
      </c>
      <c r="F64" s="5" t="s">
        <v>340</v>
      </c>
      <c r="G64" s="17">
        <v>44881.621527777781</v>
      </c>
      <c r="H64" s="5" t="s">
        <v>88</v>
      </c>
      <c r="I64" s="5" t="s">
        <v>89</v>
      </c>
      <c r="J64" s="5" t="s">
        <v>84</v>
      </c>
      <c r="K64" s="19">
        <f ca="1">NOW()-Tabela4[[#This Row],[Data de abertura]]</f>
        <v>6.2448600694406196</v>
      </c>
      <c r="L64" s="16">
        <f t="shared" ca="1" si="1"/>
        <v>6.2448600694406196</v>
      </c>
    </row>
    <row r="65" spans="1:12" x14ac:dyDescent="0.25">
      <c r="A65" s="5" t="s">
        <v>425</v>
      </c>
      <c r="B65" s="5" t="s">
        <v>363</v>
      </c>
      <c r="C65" s="5" t="s">
        <v>92</v>
      </c>
      <c r="D65" s="17">
        <v>44845.331944444442</v>
      </c>
      <c r="E65" s="5" t="s">
        <v>80</v>
      </c>
      <c r="F65" s="5" t="s">
        <v>340</v>
      </c>
      <c r="G65" s="17">
        <v>44881.605555555558</v>
      </c>
      <c r="H65" s="5" t="s">
        <v>82</v>
      </c>
      <c r="I65" s="5" t="s">
        <v>89</v>
      </c>
      <c r="J65" s="5" t="s">
        <v>84</v>
      </c>
      <c r="K65" s="19">
        <f ca="1">NOW()-Tabela4[[#This Row],[Data de abertura]]</f>
        <v>42.534443402779289</v>
      </c>
      <c r="L65" s="16">
        <f t="shared" ca="1" si="1"/>
        <v>6.2608322916639736</v>
      </c>
    </row>
    <row r="66" spans="1:12" x14ac:dyDescent="0.25">
      <c r="A66" s="5" t="s">
        <v>426</v>
      </c>
      <c r="B66" s="5" t="s">
        <v>427</v>
      </c>
      <c r="C66" s="5" t="s">
        <v>87</v>
      </c>
      <c r="D66" s="17">
        <v>44881.442361111112</v>
      </c>
      <c r="E66" s="5" t="s">
        <v>80</v>
      </c>
      <c r="F66" s="5" t="s">
        <v>340</v>
      </c>
      <c r="G66" s="17">
        <v>44881.5</v>
      </c>
      <c r="H66" s="5" t="s">
        <v>82</v>
      </c>
      <c r="I66" s="5" t="s">
        <v>89</v>
      </c>
      <c r="J66" s="5" t="s">
        <v>84</v>
      </c>
      <c r="K66" s="19">
        <f ca="1">NOW()-Tabela4[[#This Row],[Data de abertura]]</f>
        <v>6.4240267361092265</v>
      </c>
      <c r="L66" s="16">
        <f t="shared" ref="L66:L97" ca="1" si="2">NOW()-G66</f>
        <v>6.3663878472216311</v>
      </c>
    </row>
    <row r="67" spans="1:12" x14ac:dyDescent="0.25">
      <c r="A67" s="5" t="s">
        <v>428</v>
      </c>
      <c r="B67" s="5" t="s">
        <v>339</v>
      </c>
      <c r="C67" s="5" t="s">
        <v>87</v>
      </c>
      <c r="D67" s="17">
        <v>44881.394444444442</v>
      </c>
      <c r="E67" s="5" t="s">
        <v>80</v>
      </c>
      <c r="F67" s="5" t="s">
        <v>340</v>
      </c>
      <c r="G67" s="17">
        <v>44881.394444444442</v>
      </c>
      <c r="H67" s="5" t="s">
        <v>82</v>
      </c>
      <c r="I67" s="5" t="s">
        <v>89</v>
      </c>
      <c r="J67" s="5" t="s">
        <v>84</v>
      </c>
      <c r="K67" s="19">
        <f ca="1">NOW()-Tabela4[[#This Row],[Data de abertura]]</f>
        <v>6.4719434027792886</v>
      </c>
      <c r="L67" s="16">
        <f t="shared" ca="1" si="2"/>
        <v>6.4719434027792886</v>
      </c>
    </row>
    <row r="68" spans="1:12" x14ac:dyDescent="0.25">
      <c r="A68" s="5" t="s">
        <v>429</v>
      </c>
      <c r="B68" s="5" t="s">
        <v>358</v>
      </c>
      <c r="C68" s="5" t="s">
        <v>92</v>
      </c>
      <c r="D68" s="17">
        <v>44866.461111111108</v>
      </c>
      <c r="E68" s="5" t="s">
        <v>80</v>
      </c>
      <c r="F68" s="5" t="s">
        <v>340</v>
      </c>
      <c r="G68" s="17">
        <v>44881.383333333331</v>
      </c>
      <c r="H68" s="5" t="s">
        <v>82</v>
      </c>
      <c r="I68" s="5" t="s">
        <v>89</v>
      </c>
      <c r="J68" s="5" t="s">
        <v>84</v>
      </c>
      <c r="K68" s="19">
        <f ca="1">NOW()-Tabela4[[#This Row],[Data de abertura]]</f>
        <v>21.405276736113592</v>
      </c>
      <c r="L68" s="16">
        <f t="shared" ca="1" si="2"/>
        <v>6.483054513890238</v>
      </c>
    </row>
    <row r="69" spans="1:12" x14ac:dyDescent="0.25">
      <c r="A69" s="5" t="s">
        <v>430</v>
      </c>
      <c r="B69" s="5" t="s">
        <v>339</v>
      </c>
      <c r="C69" s="5" t="s">
        <v>87</v>
      </c>
      <c r="D69" s="17">
        <v>44881.361111111109</v>
      </c>
      <c r="E69" s="5" t="s">
        <v>80</v>
      </c>
      <c r="F69" s="5" t="s">
        <v>340</v>
      </c>
      <c r="G69" s="17">
        <v>44881.361111111109</v>
      </c>
      <c r="H69" s="5" t="s">
        <v>82</v>
      </c>
      <c r="I69" s="5" t="s">
        <v>89</v>
      </c>
      <c r="J69" s="5" t="s">
        <v>84</v>
      </c>
      <c r="K69" s="19">
        <f ca="1">NOW()-Tabela4[[#This Row],[Data de abertura]]</f>
        <v>6.5052767361121369</v>
      </c>
      <c r="L69" s="16">
        <f t="shared" ca="1" si="2"/>
        <v>6.5052767361121369</v>
      </c>
    </row>
    <row r="70" spans="1:12" x14ac:dyDescent="0.25">
      <c r="A70" s="5" t="s">
        <v>431</v>
      </c>
      <c r="B70" s="5" t="s">
        <v>367</v>
      </c>
      <c r="C70" s="5" t="s">
        <v>92</v>
      </c>
      <c r="D70" s="17">
        <v>44858.768055555556</v>
      </c>
      <c r="E70" s="5" t="s">
        <v>80</v>
      </c>
      <c r="F70" s="5" t="s">
        <v>340</v>
      </c>
      <c r="G70" s="17">
        <v>44881.35</v>
      </c>
      <c r="H70" s="5" t="s">
        <v>82</v>
      </c>
      <c r="I70" s="5" t="s">
        <v>89</v>
      </c>
      <c r="J70" s="5" t="s">
        <v>84</v>
      </c>
      <c r="K70" s="19">
        <f ca="1">NOW()-Tabela4[[#This Row],[Data de abertura]]</f>
        <v>29.098332291665429</v>
      </c>
      <c r="L70" s="16">
        <f t="shared" ca="1" si="2"/>
        <v>6.5163878472230863</v>
      </c>
    </row>
    <row r="71" spans="1:12" x14ac:dyDescent="0.25">
      <c r="A71" s="5" t="s">
        <v>432</v>
      </c>
      <c r="B71" s="5" t="s">
        <v>433</v>
      </c>
      <c r="C71" s="5" t="s">
        <v>92</v>
      </c>
      <c r="D71" s="17">
        <v>44879.376388888886</v>
      </c>
      <c r="E71" s="5" t="s">
        <v>80</v>
      </c>
      <c r="F71" s="5" t="s">
        <v>340</v>
      </c>
      <c r="G71" s="17">
        <v>44879.71875</v>
      </c>
      <c r="H71" s="5" t="s">
        <v>82</v>
      </c>
      <c r="I71" s="5" t="s">
        <v>89</v>
      </c>
      <c r="J71" s="5" t="s">
        <v>84</v>
      </c>
      <c r="K71" s="19">
        <f ca="1">NOW()-Tabela4[[#This Row],[Data de abertura]]</f>
        <v>8.4899989583354909</v>
      </c>
      <c r="L71" s="16">
        <f t="shared" ca="1" si="2"/>
        <v>8.1476378472216311</v>
      </c>
    </row>
    <row r="72" spans="1:12" x14ac:dyDescent="0.25">
      <c r="A72" s="5" t="s">
        <v>434</v>
      </c>
      <c r="B72" s="5" t="s">
        <v>435</v>
      </c>
      <c r="C72" s="5" t="s">
        <v>87</v>
      </c>
      <c r="D72" s="17">
        <v>44879.711111111108</v>
      </c>
      <c r="E72" s="5" t="s">
        <v>80</v>
      </c>
      <c r="F72" s="5" t="s">
        <v>340</v>
      </c>
      <c r="G72" s="17">
        <v>44879.711111111108</v>
      </c>
      <c r="H72" s="5" t="s">
        <v>88</v>
      </c>
      <c r="I72" s="5" t="s">
        <v>89</v>
      </c>
      <c r="J72" s="5" t="s">
        <v>84</v>
      </c>
      <c r="K72" s="19">
        <f ca="1">NOW()-Tabela4[[#This Row],[Data de abertura]]</f>
        <v>8.1552767361135921</v>
      </c>
      <c r="L72" s="16">
        <f t="shared" ca="1" si="2"/>
        <v>8.1552767361135921</v>
      </c>
    </row>
    <row r="73" spans="1:12" x14ac:dyDescent="0.25">
      <c r="A73" s="5" t="s">
        <v>436</v>
      </c>
      <c r="B73" s="5" t="s">
        <v>349</v>
      </c>
      <c r="C73" s="5" t="s">
        <v>92</v>
      </c>
      <c r="D73" s="17">
        <v>44825.541666666664</v>
      </c>
      <c r="E73" s="5" t="s">
        <v>80</v>
      </c>
      <c r="F73" s="5" t="s">
        <v>340</v>
      </c>
      <c r="G73" s="17">
        <v>44879.688194444447</v>
      </c>
      <c r="H73" s="5" t="s">
        <v>88</v>
      </c>
      <c r="I73" s="5" t="s">
        <v>89</v>
      </c>
      <c r="J73" s="5" t="s">
        <v>84</v>
      </c>
      <c r="K73" s="19">
        <f ca="1">NOW()-Tabela4[[#This Row],[Data de abertura]]</f>
        <v>62.32472118055739</v>
      </c>
      <c r="L73" s="16">
        <f t="shared" ca="1" si="2"/>
        <v>8.178193402774923</v>
      </c>
    </row>
    <row r="74" spans="1:12" x14ac:dyDescent="0.25">
      <c r="A74" s="5" t="s">
        <v>437</v>
      </c>
      <c r="B74" s="5" t="s">
        <v>309</v>
      </c>
      <c r="C74" s="5" t="s">
        <v>92</v>
      </c>
      <c r="D74" s="17">
        <v>44875.347916666666</v>
      </c>
      <c r="E74" s="5" t="s">
        <v>80</v>
      </c>
      <c r="F74" s="5" t="s">
        <v>340</v>
      </c>
      <c r="G74" s="17">
        <v>44879.67083333333</v>
      </c>
      <c r="H74" s="5" t="s">
        <v>82</v>
      </c>
      <c r="I74" s="5" t="s">
        <v>89</v>
      </c>
      <c r="J74" s="5" t="s">
        <v>84</v>
      </c>
      <c r="K74" s="19">
        <f ca="1">NOW()-Tabela4[[#This Row],[Data de abertura]]</f>
        <v>12.518471180555935</v>
      </c>
      <c r="L74" s="16">
        <f t="shared" ca="1" si="2"/>
        <v>8.1955545138916932</v>
      </c>
    </row>
    <row r="75" spans="1:12" x14ac:dyDescent="0.25">
      <c r="A75" s="5" t="s">
        <v>438</v>
      </c>
      <c r="B75" s="5" t="s">
        <v>370</v>
      </c>
      <c r="C75" s="5" t="s">
        <v>87</v>
      </c>
      <c r="D75" s="17">
        <v>44879.65902777778</v>
      </c>
      <c r="E75" s="5" t="s">
        <v>80</v>
      </c>
      <c r="F75" s="5" t="s">
        <v>340</v>
      </c>
      <c r="G75" s="17">
        <v>44879.65902777778</v>
      </c>
      <c r="H75" s="5" t="s">
        <v>88</v>
      </c>
      <c r="I75" s="5" t="s">
        <v>89</v>
      </c>
      <c r="J75" s="5" t="s">
        <v>84</v>
      </c>
      <c r="K75" s="19">
        <f ca="1">NOW()-Tabela4[[#This Row],[Data de abertura]]</f>
        <v>8.2073600694420747</v>
      </c>
      <c r="L75" s="16">
        <f t="shared" ca="1" si="2"/>
        <v>8.2073600694420747</v>
      </c>
    </row>
    <row r="76" spans="1:12" x14ac:dyDescent="0.25">
      <c r="A76" s="5" t="s">
        <v>439</v>
      </c>
      <c r="B76" s="5" t="s">
        <v>151</v>
      </c>
      <c r="C76" s="5" t="s">
        <v>92</v>
      </c>
      <c r="D76" s="17">
        <v>44832.671527777777</v>
      </c>
      <c r="E76" s="5" t="s">
        <v>80</v>
      </c>
      <c r="F76" s="5" t="s">
        <v>340</v>
      </c>
      <c r="G76" s="17">
        <v>44879.625694444447</v>
      </c>
      <c r="H76" s="5" t="s">
        <v>82</v>
      </c>
      <c r="I76" s="5" t="s">
        <v>93</v>
      </c>
      <c r="J76" s="5" t="s">
        <v>84</v>
      </c>
      <c r="K76" s="19">
        <f ca="1">NOW()-Tabela4[[#This Row],[Data de abertura]]</f>
        <v>55.194860069444985</v>
      </c>
      <c r="L76" s="16">
        <f t="shared" ca="1" si="2"/>
        <v>8.240693402774923</v>
      </c>
    </row>
    <row r="77" spans="1:12" x14ac:dyDescent="0.25">
      <c r="A77" s="5" t="s">
        <v>440</v>
      </c>
      <c r="B77" s="5" t="s">
        <v>151</v>
      </c>
      <c r="C77" s="5" t="s">
        <v>92</v>
      </c>
      <c r="D77" s="17">
        <v>44872.425000000003</v>
      </c>
      <c r="E77" s="5" t="s">
        <v>80</v>
      </c>
      <c r="F77" s="5" t="s">
        <v>340</v>
      </c>
      <c r="G77" s="17">
        <v>44879.622916666667</v>
      </c>
      <c r="H77" s="5" t="s">
        <v>82</v>
      </c>
      <c r="I77" s="5" t="s">
        <v>89</v>
      </c>
      <c r="J77" s="5" t="s">
        <v>84</v>
      </c>
      <c r="K77" s="19">
        <f ca="1">NOW()-Tabela4[[#This Row],[Data de abertura]]</f>
        <v>15.441387847218721</v>
      </c>
      <c r="L77" s="16">
        <f t="shared" ca="1" si="2"/>
        <v>8.2434711805544794</v>
      </c>
    </row>
    <row r="78" spans="1:12" x14ac:dyDescent="0.25">
      <c r="A78" s="5" t="s">
        <v>441</v>
      </c>
      <c r="B78" s="5" t="s">
        <v>358</v>
      </c>
      <c r="C78" s="5" t="s">
        <v>87</v>
      </c>
      <c r="D78" s="17">
        <v>44879.605555555558</v>
      </c>
      <c r="E78" s="5" t="s">
        <v>80</v>
      </c>
      <c r="F78" s="5" t="s">
        <v>340</v>
      </c>
      <c r="G78" s="17">
        <v>44879.605555555558</v>
      </c>
      <c r="H78" s="5" t="s">
        <v>82</v>
      </c>
      <c r="I78" s="5" t="s">
        <v>89</v>
      </c>
      <c r="J78" s="5" t="s">
        <v>84</v>
      </c>
      <c r="K78" s="19">
        <f ca="1">NOW()-Tabela4[[#This Row],[Data de abertura]]</f>
        <v>8.2608322916639736</v>
      </c>
      <c r="L78" s="16">
        <f t="shared" ca="1" si="2"/>
        <v>8.2608322916639736</v>
      </c>
    </row>
    <row r="79" spans="1:12" x14ac:dyDescent="0.25">
      <c r="A79" s="5" t="s">
        <v>442</v>
      </c>
      <c r="B79" s="5" t="s">
        <v>151</v>
      </c>
      <c r="C79" s="5" t="s">
        <v>92</v>
      </c>
      <c r="D79" s="17">
        <v>44869.637499999997</v>
      </c>
      <c r="E79" s="5" t="s">
        <v>80</v>
      </c>
      <c r="F79" s="5" t="s">
        <v>340</v>
      </c>
      <c r="G79" s="17">
        <v>44876.62777777778</v>
      </c>
      <c r="H79" s="5" t="s">
        <v>82</v>
      </c>
      <c r="I79" s="5" t="s">
        <v>93</v>
      </c>
      <c r="J79" s="5" t="s">
        <v>84</v>
      </c>
      <c r="K79" s="19">
        <f ca="1">NOW()-Tabela4[[#This Row],[Data de abertura]]</f>
        <v>18.228887847224541</v>
      </c>
      <c r="L79" s="16">
        <f t="shared" ca="1" si="2"/>
        <v>11.238610069442075</v>
      </c>
    </row>
    <row r="80" spans="1:12" x14ac:dyDescent="0.25">
      <c r="A80" s="5" t="s">
        <v>443</v>
      </c>
      <c r="B80" s="5" t="s">
        <v>372</v>
      </c>
      <c r="C80" s="5" t="s">
        <v>87</v>
      </c>
      <c r="D80" s="17">
        <v>44876.604861111111</v>
      </c>
      <c r="E80" s="5" t="s">
        <v>80</v>
      </c>
      <c r="F80" s="5" t="s">
        <v>340</v>
      </c>
      <c r="G80" s="17">
        <v>44876.604861111111</v>
      </c>
      <c r="H80" s="5" t="s">
        <v>88</v>
      </c>
      <c r="I80" s="5" t="s">
        <v>89</v>
      </c>
      <c r="J80" s="5" t="s">
        <v>84</v>
      </c>
      <c r="K80" s="19">
        <f ca="1">NOW()-Tabela4[[#This Row],[Data de abertura]]</f>
        <v>11.261526736110682</v>
      </c>
      <c r="L80" s="16">
        <f t="shared" ca="1" si="2"/>
        <v>11.261526736110682</v>
      </c>
    </row>
    <row r="81" spans="1:12" x14ac:dyDescent="0.25">
      <c r="A81" s="5" t="s">
        <v>444</v>
      </c>
      <c r="B81" s="5" t="s">
        <v>406</v>
      </c>
      <c r="C81" s="5" t="s">
        <v>87</v>
      </c>
      <c r="D81" s="17">
        <v>44876.561805555553</v>
      </c>
      <c r="E81" s="5" t="s">
        <v>80</v>
      </c>
      <c r="F81" s="5" t="s">
        <v>340</v>
      </c>
      <c r="G81" s="17">
        <v>44876.561805555553</v>
      </c>
      <c r="H81" s="5" t="s">
        <v>82</v>
      </c>
      <c r="I81" s="5" t="s">
        <v>89</v>
      </c>
      <c r="J81" s="5" t="s">
        <v>84</v>
      </c>
      <c r="K81" s="19">
        <f ca="1">NOW()-Tabela4[[#This Row],[Data de abertura]]</f>
        <v>11.304582291668339</v>
      </c>
      <c r="L81" s="16">
        <f t="shared" ca="1" si="2"/>
        <v>11.304582291668339</v>
      </c>
    </row>
    <row r="82" spans="1:12" ht="45" x14ac:dyDescent="0.25">
      <c r="A82" s="5" t="s">
        <v>445</v>
      </c>
      <c r="B82" s="5" t="s">
        <v>349</v>
      </c>
      <c r="C82" s="5" t="s">
        <v>87</v>
      </c>
      <c r="D82" s="17">
        <v>44858.428472222222</v>
      </c>
      <c r="E82" s="18" t="s">
        <v>265</v>
      </c>
      <c r="F82" s="5" t="s">
        <v>340</v>
      </c>
      <c r="G82" s="17">
        <v>44876.459027777775</v>
      </c>
      <c r="H82" s="5" t="s">
        <v>88</v>
      </c>
      <c r="I82" s="5" t="s">
        <v>89</v>
      </c>
      <c r="J82" s="5" t="s">
        <v>84</v>
      </c>
      <c r="K82" s="19">
        <f ca="1">NOW()-Tabela4[[#This Row],[Data de abertura]]</f>
        <v>29.437915624999732</v>
      </c>
      <c r="L82" s="16">
        <f t="shared" ca="1" si="2"/>
        <v>11.40736006944644</v>
      </c>
    </row>
    <row r="83" spans="1:12" x14ac:dyDescent="0.25">
      <c r="A83" s="5" t="s">
        <v>446</v>
      </c>
      <c r="B83" s="5" t="s">
        <v>447</v>
      </c>
      <c r="C83" s="5" t="s">
        <v>92</v>
      </c>
      <c r="D83" s="17">
        <v>44858.474305555559</v>
      </c>
      <c r="E83" s="5" t="s">
        <v>80</v>
      </c>
      <c r="F83" s="5" t="s">
        <v>340</v>
      </c>
      <c r="G83" s="17">
        <v>44876.424305555556</v>
      </c>
      <c r="H83" s="5" t="s">
        <v>82</v>
      </c>
      <c r="I83" s="5" t="s">
        <v>89</v>
      </c>
      <c r="J83" s="5" t="s">
        <v>84</v>
      </c>
      <c r="K83" s="19">
        <f ca="1">NOW()-Tabela4[[#This Row],[Data de abertura]]</f>
        <v>29.392082291662518</v>
      </c>
      <c r="L83" s="16">
        <f t="shared" ca="1" si="2"/>
        <v>11.442082291665429</v>
      </c>
    </row>
    <row r="84" spans="1:12" x14ac:dyDescent="0.25">
      <c r="A84" s="5" t="s">
        <v>448</v>
      </c>
      <c r="B84" s="5" t="s">
        <v>372</v>
      </c>
      <c r="C84" s="5" t="s">
        <v>92</v>
      </c>
      <c r="D84" s="17">
        <v>44869.657638888886</v>
      </c>
      <c r="E84" s="5" t="s">
        <v>80</v>
      </c>
      <c r="F84" s="5" t="s">
        <v>340</v>
      </c>
      <c r="G84" s="17">
        <v>44876.402777777781</v>
      </c>
      <c r="H84" s="5" t="s">
        <v>88</v>
      </c>
      <c r="I84" s="5" t="s">
        <v>89</v>
      </c>
      <c r="J84" s="5" t="s">
        <v>84</v>
      </c>
      <c r="K84" s="19">
        <f ca="1">NOW()-Tabela4[[#This Row],[Data de abertura]]</f>
        <v>18.208748958335491</v>
      </c>
      <c r="L84" s="16">
        <f t="shared" ca="1" si="2"/>
        <v>11.46361006944062</v>
      </c>
    </row>
    <row r="85" spans="1:12" x14ac:dyDescent="0.25">
      <c r="A85" s="5" t="s">
        <v>449</v>
      </c>
      <c r="B85" s="5" t="s">
        <v>175</v>
      </c>
      <c r="C85" s="5" t="s">
        <v>92</v>
      </c>
      <c r="D85" s="17">
        <v>44872.738888888889</v>
      </c>
      <c r="E85" s="5" t="s">
        <v>80</v>
      </c>
      <c r="F85" s="5" t="s">
        <v>340</v>
      </c>
      <c r="G85" s="17">
        <v>44876.365972222222</v>
      </c>
      <c r="H85" s="5" t="s">
        <v>88</v>
      </c>
      <c r="I85" s="5" t="s">
        <v>89</v>
      </c>
      <c r="J85" s="5" t="s">
        <v>84</v>
      </c>
      <c r="K85" s="19">
        <f ca="1">NOW()-Tabela4[[#This Row],[Data de abertura]]</f>
        <v>15.127498958332581</v>
      </c>
      <c r="L85" s="16">
        <f t="shared" ca="1" si="2"/>
        <v>11.500415624999732</v>
      </c>
    </row>
    <row r="86" spans="1:12" x14ac:dyDescent="0.25">
      <c r="A86" s="5" t="s">
        <v>450</v>
      </c>
      <c r="B86" s="5" t="s">
        <v>354</v>
      </c>
      <c r="C86" s="5" t="s">
        <v>87</v>
      </c>
      <c r="D86" s="17">
        <v>44876.34375</v>
      </c>
      <c r="E86" s="5" t="s">
        <v>80</v>
      </c>
      <c r="F86" s="5" t="s">
        <v>340</v>
      </c>
      <c r="G86" s="17">
        <v>44876.34375</v>
      </c>
      <c r="H86" s="5" t="s">
        <v>82</v>
      </c>
      <c r="I86" s="5" t="s">
        <v>89</v>
      </c>
      <c r="J86" s="5" t="s">
        <v>84</v>
      </c>
      <c r="K86" s="19">
        <f ca="1">NOW()-Tabela4[[#This Row],[Data de abertura]]</f>
        <v>11.522637847221631</v>
      </c>
      <c r="L86" s="16">
        <f t="shared" ca="1" si="2"/>
        <v>11.522637847221631</v>
      </c>
    </row>
    <row r="87" spans="1:12" x14ac:dyDescent="0.25">
      <c r="A87" s="5" t="s">
        <v>451</v>
      </c>
      <c r="B87" s="5" t="s">
        <v>370</v>
      </c>
      <c r="C87" s="5" t="s">
        <v>87</v>
      </c>
      <c r="D87" s="17">
        <v>44876.342361111114</v>
      </c>
      <c r="E87" s="5" t="s">
        <v>80</v>
      </c>
      <c r="F87" s="5" t="s">
        <v>340</v>
      </c>
      <c r="G87" s="17">
        <v>44876.342361111114</v>
      </c>
      <c r="H87" s="5" t="s">
        <v>88</v>
      </c>
      <c r="I87" s="5" t="s">
        <v>89</v>
      </c>
      <c r="J87" s="5" t="s">
        <v>84</v>
      </c>
      <c r="K87" s="19">
        <f ca="1">NOW()-Tabela4[[#This Row],[Data de abertura]]</f>
        <v>11.524026736107771</v>
      </c>
      <c r="L87" s="16">
        <f t="shared" ca="1" si="2"/>
        <v>11.524026736107771</v>
      </c>
    </row>
    <row r="88" spans="1:12" ht="30" x14ac:dyDescent="0.25">
      <c r="A88" s="5" t="s">
        <v>452</v>
      </c>
      <c r="B88" s="5" t="s">
        <v>370</v>
      </c>
      <c r="C88" s="5" t="s">
        <v>87</v>
      </c>
      <c r="D88" s="17">
        <v>44875.740277777775</v>
      </c>
      <c r="E88" s="18" t="s">
        <v>280</v>
      </c>
      <c r="F88" s="5" t="s">
        <v>340</v>
      </c>
      <c r="G88" s="17">
        <v>44875.740277777775</v>
      </c>
      <c r="H88" s="5" t="s">
        <v>88</v>
      </c>
      <c r="I88" s="5" t="s">
        <v>89</v>
      </c>
      <c r="J88" s="5" t="s">
        <v>183</v>
      </c>
      <c r="K88" s="19">
        <f ca="1">NOW()-Tabela4[[#This Row],[Data de abertura]]</f>
        <v>12.12611006944644</v>
      </c>
      <c r="L88" s="16">
        <f t="shared" ca="1" si="2"/>
        <v>12.12611006944644</v>
      </c>
    </row>
    <row r="89" spans="1:12" x14ac:dyDescent="0.25">
      <c r="A89" s="5" t="s">
        <v>453</v>
      </c>
      <c r="B89" s="5" t="s">
        <v>358</v>
      </c>
      <c r="C89" s="5" t="s">
        <v>92</v>
      </c>
      <c r="D89" s="17">
        <v>44875.579861111109</v>
      </c>
      <c r="E89" s="5" t="s">
        <v>80</v>
      </c>
      <c r="F89" s="5" t="s">
        <v>340</v>
      </c>
      <c r="G89" s="17">
        <v>44875.680555555555</v>
      </c>
      <c r="H89" s="5" t="s">
        <v>82</v>
      </c>
      <c r="I89" s="5" t="s">
        <v>89</v>
      </c>
      <c r="J89" s="5" t="s">
        <v>84</v>
      </c>
      <c r="K89" s="19">
        <f ca="1">NOW()-Tabela4[[#This Row],[Data de abertura]]</f>
        <v>12.286526736112137</v>
      </c>
      <c r="L89" s="16">
        <f t="shared" ca="1" si="2"/>
        <v>12.185832291666884</v>
      </c>
    </row>
    <row r="90" spans="1:12" x14ac:dyDescent="0.25">
      <c r="A90" s="5" t="s">
        <v>454</v>
      </c>
      <c r="B90" s="5" t="s">
        <v>358</v>
      </c>
      <c r="C90" s="5" t="s">
        <v>92</v>
      </c>
      <c r="D90" s="17">
        <v>44858.479861111111</v>
      </c>
      <c r="E90" s="5" t="s">
        <v>80</v>
      </c>
      <c r="F90" s="5" t="s">
        <v>340</v>
      </c>
      <c r="G90" s="17">
        <v>44875.657638888886</v>
      </c>
      <c r="H90" s="5" t="s">
        <v>82</v>
      </c>
      <c r="I90" s="5" t="s">
        <v>89</v>
      </c>
      <c r="J90" s="5" t="s">
        <v>84</v>
      </c>
      <c r="K90" s="19">
        <f ca="1">NOW()-Tabela4[[#This Row],[Data de abertura]]</f>
        <v>29.386526736110682</v>
      </c>
      <c r="L90" s="16">
        <f t="shared" ca="1" si="2"/>
        <v>12.208748958335491</v>
      </c>
    </row>
    <row r="91" spans="1:12" x14ac:dyDescent="0.25">
      <c r="A91" s="5" t="s">
        <v>455</v>
      </c>
      <c r="B91" s="5" t="s">
        <v>370</v>
      </c>
      <c r="C91" s="5" t="s">
        <v>87</v>
      </c>
      <c r="D91" s="17">
        <v>44875.649305555555</v>
      </c>
      <c r="E91" s="5" t="s">
        <v>80</v>
      </c>
      <c r="F91" s="5" t="s">
        <v>340</v>
      </c>
      <c r="G91" s="17">
        <v>44875.649305555555</v>
      </c>
      <c r="H91" s="5" t="s">
        <v>88</v>
      </c>
      <c r="I91" s="5" t="s">
        <v>89</v>
      </c>
      <c r="J91" s="5" t="s">
        <v>84</v>
      </c>
      <c r="K91" s="19">
        <f ca="1">NOW()-Tabela4[[#This Row],[Data de abertura]]</f>
        <v>12.217082291666884</v>
      </c>
      <c r="L91" s="16">
        <f t="shared" ca="1" si="2"/>
        <v>12.217082291666884</v>
      </c>
    </row>
    <row r="92" spans="1:12" x14ac:dyDescent="0.25">
      <c r="A92" s="5" t="s">
        <v>456</v>
      </c>
      <c r="B92" s="5" t="s">
        <v>370</v>
      </c>
      <c r="C92" s="5" t="s">
        <v>87</v>
      </c>
      <c r="D92" s="17">
        <v>44875.620833333334</v>
      </c>
      <c r="E92" s="5" t="s">
        <v>80</v>
      </c>
      <c r="F92" s="5" t="s">
        <v>340</v>
      </c>
      <c r="G92" s="17">
        <v>44875.620833333334</v>
      </c>
      <c r="H92" s="5" t="s">
        <v>88</v>
      </c>
      <c r="I92" s="5" t="s">
        <v>89</v>
      </c>
      <c r="J92" s="5" t="s">
        <v>84</v>
      </c>
      <c r="K92" s="19">
        <f ca="1">NOW()-Tabela4[[#This Row],[Data de abertura]]</f>
        <v>12.245554513887328</v>
      </c>
      <c r="L92" s="16">
        <f t="shared" ca="1" si="2"/>
        <v>12.245554513887328</v>
      </c>
    </row>
    <row r="93" spans="1:12" x14ac:dyDescent="0.25">
      <c r="A93" s="5" t="s">
        <v>457</v>
      </c>
      <c r="B93" s="5" t="s">
        <v>358</v>
      </c>
      <c r="C93" s="5" t="s">
        <v>92</v>
      </c>
      <c r="D93" s="17">
        <v>44851.709722222222</v>
      </c>
      <c r="E93" s="5" t="s">
        <v>80</v>
      </c>
      <c r="F93" s="5" t="s">
        <v>340</v>
      </c>
      <c r="G93" s="17">
        <v>44875.60833333333</v>
      </c>
      <c r="H93" s="5" t="s">
        <v>82</v>
      </c>
      <c r="I93" s="5" t="s">
        <v>89</v>
      </c>
      <c r="J93" s="5" t="s">
        <v>84</v>
      </c>
      <c r="K93" s="19">
        <f ca="1">NOW()-Tabela4[[#This Row],[Data de abertura]]</f>
        <v>36.156665624999732</v>
      </c>
      <c r="L93" s="16">
        <f t="shared" ca="1" si="2"/>
        <v>12.258054513891693</v>
      </c>
    </row>
    <row r="94" spans="1:12" x14ac:dyDescent="0.25">
      <c r="A94" s="5" t="s">
        <v>458</v>
      </c>
      <c r="B94" s="5" t="s">
        <v>406</v>
      </c>
      <c r="C94" s="5" t="s">
        <v>87</v>
      </c>
      <c r="D94" s="17">
        <v>44875.582638888889</v>
      </c>
      <c r="E94" s="5" t="s">
        <v>80</v>
      </c>
      <c r="F94" s="5" t="s">
        <v>340</v>
      </c>
      <c r="G94" s="17">
        <v>44875.582638888889</v>
      </c>
      <c r="H94" s="5" t="s">
        <v>82</v>
      </c>
      <c r="I94" s="5" t="s">
        <v>89</v>
      </c>
      <c r="J94" s="5" t="s">
        <v>84</v>
      </c>
      <c r="K94" s="19">
        <f ca="1">NOW()-Tabela4[[#This Row],[Data de abertura]]</f>
        <v>12.283748958332581</v>
      </c>
      <c r="L94" s="16">
        <f t="shared" ca="1" si="2"/>
        <v>12.283748958332581</v>
      </c>
    </row>
    <row r="95" spans="1:12" x14ac:dyDescent="0.25">
      <c r="A95" s="5" t="s">
        <v>459</v>
      </c>
      <c r="B95" s="5" t="s">
        <v>351</v>
      </c>
      <c r="C95" s="5" t="s">
        <v>87</v>
      </c>
      <c r="D95" s="17">
        <v>44875.495138888888</v>
      </c>
      <c r="E95" s="5" t="s">
        <v>80</v>
      </c>
      <c r="F95" s="5" t="s">
        <v>340</v>
      </c>
      <c r="G95" s="17">
        <v>44875.495138888888</v>
      </c>
      <c r="H95" s="5" t="s">
        <v>82</v>
      </c>
      <c r="I95" s="5" t="s">
        <v>89</v>
      </c>
      <c r="J95" s="5" t="s">
        <v>84</v>
      </c>
      <c r="K95" s="19">
        <f ca="1">NOW()-Tabela4[[#This Row],[Data de abertura]]</f>
        <v>12.371248958334036</v>
      </c>
      <c r="L95" s="16">
        <f t="shared" ca="1" si="2"/>
        <v>12.371248958334036</v>
      </c>
    </row>
    <row r="96" spans="1:12" x14ac:dyDescent="0.25">
      <c r="A96" s="5" t="s">
        <v>460</v>
      </c>
      <c r="B96" s="5" t="s">
        <v>367</v>
      </c>
      <c r="C96" s="5" t="s">
        <v>92</v>
      </c>
      <c r="D96" s="17">
        <v>44874.395138888889</v>
      </c>
      <c r="E96" s="5" t="s">
        <v>80</v>
      </c>
      <c r="F96" s="5" t="s">
        <v>340</v>
      </c>
      <c r="G96" s="17">
        <v>44875.364583333336</v>
      </c>
      <c r="H96" s="5" t="s">
        <v>82</v>
      </c>
      <c r="I96" s="5" t="s">
        <v>89</v>
      </c>
      <c r="J96" s="5" t="s">
        <v>84</v>
      </c>
      <c r="K96" s="19">
        <f ca="1">NOW()-Tabela4[[#This Row],[Data de abertura]]</f>
        <v>13.471248958332581</v>
      </c>
      <c r="L96" s="16">
        <f t="shared" ca="1" si="2"/>
        <v>12.501804513885872</v>
      </c>
    </row>
    <row r="97" spans="1:12" x14ac:dyDescent="0.25">
      <c r="A97" s="5" t="s">
        <v>461</v>
      </c>
      <c r="B97" s="5" t="s">
        <v>435</v>
      </c>
      <c r="C97" s="5" t="s">
        <v>87</v>
      </c>
      <c r="D97" s="17">
        <v>44874.643055555556</v>
      </c>
      <c r="E97" s="5" t="s">
        <v>80</v>
      </c>
      <c r="F97" s="5" t="s">
        <v>340</v>
      </c>
      <c r="G97" s="17">
        <v>44874.643055555556</v>
      </c>
      <c r="H97" s="5" t="s">
        <v>88</v>
      </c>
      <c r="I97" s="5" t="s">
        <v>89</v>
      </c>
      <c r="J97" s="5" t="s">
        <v>84</v>
      </c>
      <c r="K97" s="19">
        <f ca="1">NOW()-Tabela4[[#This Row],[Data de abertura]]</f>
        <v>13.223332291665429</v>
      </c>
      <c r="L97" s="16">
        <f t="shared" ca="1" si="2"/>
        <v>13.223332291665429</v>
      </c>
    </row>
    <row r="98" spans="1:12" x14ac:dyDescent="0.25">
      <c r="A98" s="5" t="s">
        <v>462</v>
      </c>
      <c r="B98" s="5" t="s">
        <v>86</v>
      </c>
      <c r="C98" s="5" t="s">
        <v>92</v>
      </c>
      <c r="D98" s="17">
        <v>44832.531944444447</v>
      </c>
      <c r="E98" s="5" t="s">
        <v>80</v>
      </c>
      <c r="F98" s="5" t="s">
        <v>340</v>
      </c>
      <c r="G98" s="17">
        <v>44874.453472222223</v>
      </c>
      <c r="H98" s="5" t="s">
        <v>88</v>
      </c>
      <c r="I98" s="5" t="s">
        <v>89</v>
      </c>
      <c r="J98" s="5" t="s">
        <v>84</v>
      </c>
      <c r="K98" s="19">
        <f ca="1">NOW()-Tabela4[[#This Row],[Data de abertura]]</f>
        <v>55.334443402774923</v>
      </c>
      <c r="L98" s="16">
        <f t="shared" ref="L98:L129" ca="1" si="3">NOW()-G98</f>
        <v>13.412915624998277</v>
      </c>
    </row>
    <row r="99" spans="1:12" x14ac:dyDescent="0.25">
      <c r="A99" s="5" t="s">
        <v>463</v>
      </c>
      <c r="B99" s="5" t="s">
        <v>151</v>
      </c>
      <c r="C99" s="5" t="s">
        <v>92</v>
      </c>
      <c r="D99" s="17">
        <v>44823.686805555553</v>
      </c>
      <c r="E99" s="5" t="s">
        <v>80</v>
      </c>
      <c r="F99" s="5" t="s">
        <v>340</v>
      </c>
      <c r="G99" s="17">
        <v>44874.453472222223</v>
      </c>
      <c r="H99" s="5" t="s">
        <v>82</v>
      </c>
      <c r="I99" s="5" t="s">
        <v>93</v>
      </c>
      <c r="J99" s="5" t="s">
        <v>84</v>
      </c>
      <c r="K99" s="19">
        <f ca="1">NOW()-Tabela4[[#This Row],[Data de abertura]]</f>
        <v>64.179582291668339</v>
      </c>
      <c r="L99" s="16">
        <f t="shared" ca="1" si="3"/>
        <v>13.412915624998277</v>
      </c>
    </row>
    <row r="100" spans="1:12" x14ac:dyDescent="0.25">
      <c r="A100" s="5" t="s">
        <v>464</v>
      </c>
      <c r="B100" s="5" t="s">
        <v>465</v>
      </c>
      <c r="C100" s="5" t="s">
        <v>87</v>
      </c>
      <c r="D100" s="17">
        <v>44874.427777777775</v>
      </c>
      <c r="E100" s="5" t="s">
        <v>80</v>
      </c>
      <c r="F100" s="5" t="s">
        <v>340</v>
      </c>
      <c r="G100" s="17">
        <v>44874.427777777775</v>
      </c>
      <c r="H100" s="5" t="s">
        <v>82</v>
      </c>
      <c r="I100" s="5" t="s">
        <v>89</v>
      </c>
      <c r="J100" s="5" t="s">
        <v>84</v>
      </c>
      <c r="K100" s="19">
        <f ca="1">NOW()-Tabela4[[#This Row],[Data de abertura]]</f>
        <v>13.43861006944644</v>
      </c>
      <c r="L100" s="16">
        <f t="shared" ca="1" si="3"/>
        <v>13.43861006944644</v>
      </c>
    </row>
    <row r="101" spans="1:12" x14ac:dyDescent="0.25">
      <c r="A101" s="5" t="s">
        <v>466</v>
      </c>
      <c r="B101" s="5" t="s">
        <v>208</v>
      </c>
      <c r="C101" s="5" t="s">
        <v>79</v>
      </c>
      <c r="D101" s="17">
        <v>44872.384722222225</v>
      </c>
      <c r="E101" s="5" t="s">
        <v>80</v>
      </c>
      <c r="F101" s="5" t="s">
        <v>340</v>
      </c>
      <c r="G101" s="17">
        <v>44874.419444444444</v>
      </c>
      <c r="H101" s="5" t="s">
        <v>82</v>
      </c>
      <c r="I101" s="5" t="s">
        <v>93</v>
      </c>
      <c r="J101" s="5" t="s">
        <v>84</v>
      </c>
      <c r="K101" s="19">
        <f ca="1">NOW()-Tabela4[[#This Row],[Data de abertura]]</f>
        <v>15.481665624996822</v>
      </c>
      <c r="L101" s="16">
        <f t="shared" ca="1" si="3"/>
        <v>13.446943402777833</v>
      </c>
    </row>
    <row r="102" spans="1:12" x14ac:dyDescent="0.25">
      <c r="A102" s="5" t="s">
        <v>467</v>
      </c>
      <c r="B102" s="5" t="s">
        <v>468</v>
      </c>
      <c r="C102" s="5" t="s">
        <v>87</v>
      </c>
      <c r="D102" s="17">
        <v>44874.365277777775</v>
      </c>
      <c r="E102" s="5" t="s">
        <v>80</v>
      </c>
      <c r="F102" s="5" t="s">
        <v>340</v>
      </c>
      <c r="G102" s="17">
        <v>44874.365277777775</v>
      </c>
      <c r="H102" s="5" t="s">
        <v>88</v>
      </c>
      <c r="I102" s="5" t="s">
        <v>89</v>
      </c>
      <c r="J102" s="5" t="s">
        <v>84</v>
      </c>
      <c r="K102" s="19">
        <f ca="1">NOW()-Tabela4[[#This Row],[Data de abertura]]</f>
        <v>13.50111006944644</v>
      </c>
      <c r="L102" s="16">
        <f t="shared" ca="1" si="3"/>
        <v>13.50111006944644</v>
      </c>
    </row>
    <row r="103" spans="1:12" x14ac:dyDescent="0.25">
      <c r="A103" s="5" t="s">
        <v>469</v>
      </c>
      <c r="B103" s="5" t="s">
        <v>208</v>
      </c>
      <c r="C103" s="5" t="s">
        <v>79</v>
      </c>
      <c r="D103" s="17">
        <v>44874.301388888889</v>
      </c>
      <c r="E103" s="5" t="s">
        <v>80</v>
      </c>
      <c r="F103" s="5" t="s">
        <v>340</v>
      </c>
      <c r="G103" s="17">
        <v>44874.301388888889</v>
      </c>
      <c r="H103" s="5" t="s">
        <v>82</v>
      </c>
      <c r="I103" s="5" t="s">
        <v>89</v>
      </c>
      <c r="J103" s="5" t="s">
        <v>84</v>
      </c>
      <c r="K103" s="19">
        <f ca="1">NOW()-Tabela4[[#This Row],[Data de abertura]]</f>
        <v>13.564998958332581</v>
      </c>
      <c r="L103" s="16">
        <f t="shared" ca="1" si="3"/>
        <v>13.564998958332581</v>
      </c>
    </row>
    <row r="104" spans="1:12" x14ac:dyDescent="0.25">
      <c r="A104" s="5" t="s">
        <v>470</v>
      </c>
      <c r="B104" s="5" t="s">
        <v>358</v>
      </c>
      <c r="C104" s="5" t="s">
        <v>92</v>
      </c>
      <c r="D104" s="17">
        <v>44844.652083333334</v>
      </c>
      <c r="E104" s="5" t="s">
        <v>80</v>
      </c>
      <c r="F104" s="5" t="s">
        <v>340</v>
      </c>
      <c r="G104" s="17">
        <v>44874.3</v>
      </c>
      <c r="H104" s="5" t="s">
        <v>82</v>
      </c>
      <c r="I104" s="5" t="s">
        <v>89</v>
      </c>
      <c r="J104" s="5" t="s">
        <v>84</v>
      </c>
      <c r="K104" s="19">
        <f ca="1">NOW()-Tabela4[[#This Row],[Data de abertura]]</f>
        <v>43.214304513887328</v>
      </c>
      <c r="L104" s="16">
        <f t="shared" ca="1" si="3"/>
        <v>13.566387847218721</v>
      </c>
    </row>
    <row r="105" spans="1:12" x14ac:dyDescent="0.25">
      <c r="A105" s="5" t="s">
        <v>471</v>
      </c>
      <c r="B105" s="5" t="s">
        <v>370</v>
      </c>
      <c r="C105" s="5" t="s">
        <v>92</v>
      </c>
      <c r="D105" s="17">
        <v>44830.337500000001</v>
      </c>
      <c r="E105" s="5" t="s">
        <v>80</v>
      </c>
      <c r="F105" s="5" t="s">
        <v>340</v>
      </c>
      <c r="G105" s="17">
        <v>44873.705555555556</v>
      </c>
      <c r="H105" s="5" t="s">
        <v>88</v>
      </c>
      <c r="I105" s="5" t="s">
        <v>89</v>
      </c>
      <c r="J105" s="5" t="s">
        <v>84</v>
      </c>
      <c r="K105" s="19">
        <f ca="1">NOW()-Tabela4[[#This Row],[Data de abertura]]</f>
        <v>57.528887847220176</v>
      </c>
      <c r="L105" s="16">
        <f t="shared" ca="1" si="3"/>
        <v>14.160832291665429</v>
      </c>
    </row>
    <row r="106" spans="1:12" x14ac:dyDescent="0.25">
      <c r="A106" s="5" t="s">
        <v>472</v>
      </c>
      <c r="B106" s="5" t="s">
        <v>370</v>
      </c>
      <c r="C106" s="5" t="s">
        <v>92</v>
      </c>
      <c r="D106" s="17">
        <v>44873.640972222223</v>
      </c>
      <c r="E106" s="5" t="s">
        <v>80</v>
      </c>
      <c r="F106" s="5" t="s">
        <v>340</v>
      </c>
      <c r="G106" s="17">
        <v>44873.704861111109</v>
      </c>
      <c r="H106" s="5" t="s">
        <v>88</v>
      </c>
      <c r="I106" s="5" t="s">
        <v>89</v>
      </c>
      <c r="J106" s="5" t="s">
        <v>84</v>
      </c>
      <c r="K106" s="19">
        <f ca="1">NOW()-Tabela4[[#This Row],[Data de abertura]]</f>
        <v>14.225415624998277</v>
      </c>
      <c r="L106" s="16">
        <f t="shared" ca="1" si="3"/>
        <v>14.161526736112137</v>
      </c>
    </row>
    <row r="107" spans="1:12" x14ac:dyDescent="0.25">
      <c r="A107" s="5" t="s">
        <v>473</v>
      </c>
      <c r="B107" s="5" t="s">
        <v>370</v>
      </c>
      <c r="C107" s="5" t="s">
        <v>92</v>
      </c>
      <c r="D107" s="17">
        <v>44830.728472222225</v>
      </c>
      <c r="E107" s="5" t="s">
        <v>80</v>
      </c>
      <c r="F107" s="5" t="s">
        <v>340</v>
      </c>
      <c r="G107" s="17">
        <v>44873.649305555555</v>
      </c>
      <c r="H107" s="5" t="s">
        <v>88</v>
      </c>
      <c r="I107" s="5" t="s">
        <v>89</v>
      </c>
      <c r="J107" s="5" t="s">
        <v>84</v>
      </c>
      <c r="K107" s="19">
        <f ca="1">NOW()-Tabela4[[#This Row],[Data de abertura]]</f>
        <v>57.137915624996822</v>
      </c>
      <c r="L107" s="16">
        <f t="shared" ca="1" si="3"/>
        <v>14.217082291666884</v>
      </c>
    </row>
    <row r="108" spans="1:12" x14ac:dyDescent="0.25">
      <c r="A108" s="5" t="s">
        <v>474</v>
      </c>
      <c r="B108" s="5" t="s">
        <v>475</v>
      </c>
      <c r="C108" s="5" t="s">
        <v>87</v>
      </c>
      <c r="D108" s="17">
        <v>44873.503472222219</v>
      </c>
      <c r="E108" s="5" t="s">
        <v>80</v>
      </c>
      <c r="F108" s="5" t="s">
        <v>340</v>
      </c>
      <c r="G108" s="17">
        <v>44873.503472222219</v>
      </c>
      <c r="H108" s="5" t="s">
        <v>82</v>
      </c>
      <c r="I108" s="5" t="s">
        <v>89</v>
      </c>
      <c r="J108" s="5" t="s">
        <v>84</v>
      </c>
      <c r="K108" s="19">
        <f ca="1">NOW()-Tabela4[[#This Row],[Data de abertura]]</f>
        <v>14.362915625002643</v>
      </c>
      <c r="L108" s="16">
        <f t="shared" ca="1" si="3"/>
        <v>14.362915625002643</v>
      </c>
    </row>
    <row r="109" spans="1:12" x14ac:dyDescent="0.25">
      <c r="A109" s="5" t="s">
        <v>476</v>
      </c>
      <c r="B109" s="5" t="s">
        <v>351</v>
      </c>
      <c r="C109" s="5" t="s">
        <v>87</v>
      </c>
      <c r="D109" s="17">
        <v>44872.708333333336</v>
      </c>
      <c r="E109" s="5" t="s">
        <v>80</v>
      </c>
      <c r="F109" s="5" t="s">
        <v>340</v>
      </c>
      <c r="G109" s="17">
        <v>44873.301388888889</v>
      </c>
      <c r="H109" s="5" t="s">
        <v>82</v>
      </c>
      <c r="I109" s="5" t="s">
        <v>89</v>
      </c>
      <c r="J109" s="5" t="s">
        <v>84</v>
      </c>
      <c r="K109" s="19">
        <f ca="1">NOW()-Tabela4[[#This Row],[Data de abertura]]</f>
        <v>15.158054513885872</v>
      </c>
      <c r="L109" s="16">
        <f t="shared" ca="1" si="3"/>
        <v>14.564998958332581</v>
      </c>
    </row>
    <row r="110" spans="1:12" x14ac:dyDescent="0.25">
      <c r="A110" s="5" t="s">
        <v>477</v>
      </c>
      <c r="B110" s="5" t="s">
        <v>370</v>
      </c>
      <c r="C110" s="5" t="s">
        <v>87</v>
      </c>
      <c r="D110" s="17">
        <v>44872.754166666666</v>
      </c>
      <c r="E110" s="5" t="s">
        <v>80</v>
      </c>
      <c r="F110" s="5" t="s">
        <v>340</v>
      </c>
      <c r="G110" s="17">
        <v>44872.754166666666</v>
      </c>
      <c r="H110" s="5" t="s">
        <v>88</v>
      </c>
      <c r="I110" s="5" t="s">
        <v>89</v>
      </c>
      <c r="J110" s="5" t="s">
        <v>84</v>
      </c>
      <c r="K110" s="19">
        <f ca="1">NOW()-Tabela4[[#This Row],[Data de abertura]]</f>
        <v>15.112221180555935</v>
      </c>
      <c r="L110" s="16">
        <f t="shared" ca="1" si="3"/>
        <v>15.112221180555935</v>
      </c>
    </row>
    <row r="111" spans="1:12" x14ac:dyDescent="0.25">
      <c r="A111" s="5" t="s">
        <v>478</v>
      </c>
      <c r="B111" s="5" t="s">
        <v>339</v>
      </c>
      <c r="C111" s="5" t="s">
        <v>92</v>
      </c>
      <c r="D111" s="17">
        <v>44872.618055555555</v>
      </c>
      <c r="E111" s="5" t="s">
        <v>80</v>
      </c>
      <c r="F111" s="5" t="s">
        <v>340</v>
      </c>
      <c r="G111" s="17">
        <v>44872.694444444445</v>
      </c>
      <c r="H111" s="5" t="s">
        <v>82</v>
      </c>
      <c r="I111" s="5" t="s">
        <v>89</v>
      </c>
      <c r="J111" s="5" t="s">
        <v>84</v>
      </c>
      <c r="K111" s="19">
        <f ca="1">NOW()-Tabela4[[#This Row],[Data de abertura]]</f>
        <v>15.248332291666884</v>
      </c>
      <c r="L111" s="16">
        <f t="shared" ca="1" si="3"/>
        <v>15.171943402776378</v>
      </c>
    </row>
    <row r="112" spans="1:12" x14ac:dyDescent="0.25">
      <c r="A112" s="5" t="s">
        <v>479</v>
      </c>
      <c r="B112" s="5" t="s">
        <v>339</v>
      </c>
      <c r="C112" s="5" t="s">
        <v>92</v>
      </c>
      <c r="D112" s="17">
        <v>44872.617361111108</v>
      </c>
      <c r="E112" s="5" t="s">
        <v>80</v>
      </c>
      <c r="F112" s="5" t="s">
        <v>340</v>
      </c>
      <c r="G112" s="17">
        <v>44872.693749999999</v>
      </c>
      <c r="H112" s="5" t="s">
        <v>82</v>
      </c>
      <c r="I112" s="5" t="s">
        <v>89</v>
      </c>
      <c r="J112" s="5" t="s">
        <v>84</v>
      </c>
      <c r="K112" s="19">
        <f ca="1">NOW()-Tabela4[[#This Row],[Data de abertura]]</f>
        <v>15.249026736113592</v>
      </c>
      <c r="L112" s="16">
        <f t="shared" ca="1" si="3"/>
        <v>15.172637847223086</v>
      </c>
    </row>
    <row r="113" spans="1:12" x14ac:dyDescent="0.25">
      <c r="A113" s="5" t="s">
        <v>480</v>
      </c>
      <c r="B113" s="5" t="s">
        <v>358</v>
      </c>
      <c r="C113" s="5" t="s">
        <v>87</v>
      </c>
      <c r="D113" s="17">
        <v>44872.63958333333</v>
      </c>
      <c r="E113" s="5" t="s">
        <v>80</v>
      </c>
      <c r="F113" s="5" t="s">
        <v>340</v>
      </c>
      <c r="G113" s="17">
        <v>44872.63958333333</v>
      </c>
      <c r="H113" s="5" t="s">
        <v>82</v>
      </c>
      <c r="I113" s="5" t="s">
        <v>89</v>
      </c>
      <c r="J113" s="5" t="s">
        <v>84</v>
      </c>
      <c r="K113" s="19">
        <f ca="1">NOW()-Tabela4[[#This Row],[Data de abertura]]</f>
        <v>15.226804513891693</v>
      </c>
      <c r="L113" s="16">
        <f t="shared" ca="1" si="3"/>
        <v>15.226804513891693</v>
      </c>
    </row>
    <row r="114" spans="1:12" ht="30" x14ac:dyDescent="0.25">
      <c r="A114" s="5" t="s">
        <v>481</v>
      </c>
      <c r="B114" s="5" t="s">
        <v>397</v>
      </c>
      <c r="C114" s="5" t="s">
        <v>92</v>
      </c>
      <c r="D114" s="17">
        <v>44859.673611111109</v>
      </c>
      <c r="E114" s="18" t="s">
        <v>482</v>
      </c>
      <c r="F114" s="5" t="s">
        <v>340</v>
      </c>
      <c r="G114" s="17">
        <v>44872.586111111108</v>
      </c>
      <c r="H114" s="5" t="s">
        <v>82</v>
      </c>
      <c r="I114" s="5" t="s">
        <v>89</v>
      </c>
      <c r="J114" s="5" t="s">
        <v>84</v>
      </c>
      <c r="K114" s="19">
        <f ca="1">NOW()-Tabela4[[#This Row],[Data de abertura]]</f>
        <v>28.192776736112137</v>
      </c>
      <c r="L114" s="16">
        <f t="shared" ca="1" si="3"/>
        <v>15.280276736113592</v>
      </c>
    </row>
    <row r="115" spans="1:12" x14ac:dyDescent="0.25">
      <c r="A115" s="5" t="s">
        <v>483</v>
      </c>
      <c r="B115" s="5" t="s">
        <v>358</v>
      </c>
      <c r="C115" s="5" t="s">
        <v>87</v>
      </c>
      <c r="D115" s="17">
        <v>44872.461805555555</v>
      </c>
      <c r="E115" s="5" t="s">
        <v>80</v>
      </c>
      <c r="F115" s="5" t="s">
        <v>340</v>
      </c>
      <c r="G115" s="17">
        <v>44872.461805555555</v>
      </c>
      <c r="H115" s="5" t="s">
        <v>82</v>
      </c>
      <c r="I115" s="5" t="s">
        <v>89</v>
      </c>
      <c r="J115" s="5" t="s">
        <v>84</v>
      </c>
      <c r="K115" s="19">
        <f ca="1">NOW()-Tabela4[[#This Row],[Data de abertura]]</f>
        <v>15.404582291666884</v>
      </c>
      <c r="L115" s="16">
        <f t="shared" ca="1" si="3"/>
        <v>15.404582291666884</v>
      </c>
    </row>
    <row r="116" spans="1:12" ht="30" x14ac:dyDescent="0.25">
      <c r="A116" s="5" t="s">
        <v>484</v>
      </c>
      <c r="B116" s="5" t="s">
        <v>339</v>
      </c>
      <c r="C116" s="5" t="s">
        <v>87</v>
      </c>
      <c r="D116" s="17">
        <v>44872.417361111111</v>
      </c>
      <c r="E116" s="18" t="s">
        <v>173</v>
      </c>
      <c r="F116" s="5" t="s">
        <v>340</v>
      </c>
      <c r="G116" s="17">
        <v>44872.417361111111</v>
      </c>
      <c r="H116" s="5" t="s">
        <v>82</v>
      </c>
      <c r="I116" s="5" t="s">
        <v>89</v>
      </c>
      <c r="J116" s="5" t="s">
        <v>84</v>
      </c>
      <c r="K116" s="19">
        <f ca="1">NOW()-Tabela4[[#This Row],[Data de abertura]]</f>
        <v>15.449026736110682</v>
      </c>
      <c r="L116" s="16">
        <f t="shared" ca="1" si="3"/>
        <v>15.449026736110682</v>
      </c>
    </row>
    <row r="117" spans="1:12" x14ac:dyDescent="0.25">
      <c r="A117" s="5" t="s">
        <v>485</v>
      </c>
      <c r="B117" s="5" t="s">
        <v>358</v>
      </c>
      <c r="C117" s="5" t="s">
        <v>92</v>
      </c>
      <c r="D117" s="17">
        <v>44859.615277777775</v>
      </c>
      <c r="E117" s="5" t="s">
        <v>80</v>
      </c>
      <c r="F117" s="5" t="s">
        <v>340</v>
      </c>
      <c r="G117" s="17">
        <v>44872.383333333331</v>
      </c>
      <c r="H117" s="5" t="s">
        <v>82</v>
      </c>
      <c r="I117" s="5" t="s">
        <v>89</v>
      </c>
      <c r="J117" s="5" t="s">
        <v>84</v>
      </c>
      <c r="K117" s="19">
        <f ca="1">NOW()-Tabela4[[#This Row],[Data de abertura]]</f>
        <v>28.25111006944644</v>
      </c>
      <c r="L117" s="16">
        <f t="shared" ca="1" si="3"/>
        <v>15.483054513890238</v>
      </c>
    </row>
    <row r="118" spans="1:12" x14ac:dyDescent="0.25">
      <c r="A118" s="5" t="s">
        <v>486</v>
      </c>
      <c r="B118" s="5" t="s">
        <v>360</v>
      </c>
      <c r="C118" s="5" t="s">
        <v>87</v>
      </c>
      <c r="D118" s="17">
        <v>44872.37222222222</v>
      </c>
      <c r="E118" s="5" t="s">
        <v>80</v>
      </c>
      <c r="F118" s="5" t="s">
        <v>340</v>
      </c>
      <c r="G118" s="17">
        <v>44872.37222222222</v>
      </c>
      <c r="H118" s="5" t="s">
        <v>82</v>
      </c>
      <c r="I118" s="5" t="s">
        <v>89</v>
      </c>
      <c r="J118" s="5" t="s">
        <v>84</v>
      </c>
      <c r="K118" s="19">
        <f ca="1">NOW()-Tabela4[[#This Row],[Data de abertura]]</f>
        <v>15.494165625001187</v>
      </c>
      <c r="L118" s="16">
        <f t="shared" ca="1" si="3"/>
        <v>15.494165625001187</v>
      </c>
    </row>
    <row r="119" spans="1:12" x14ac:dyDescent="0.25">
      <c r="A119" s="5" t="s">
        <v>487</v>
      </c>
      <c r="B119" s="5" t="s">
        <v>370</v>
      </c>
      <c r="C119" s="5" t="s">
        <v>92</v>
      </c>
      <c r="D119" s="17">
        <v>44868.732638888891</v>
      </c>
      <c r="E119" s="5" t="s">
        <v>80</v>
      </c>
      <c r="F119" s="5" t="s">
        <v>340</v>
      </c>
      <c r="G119" s="17">
        <v>44870.70416666667</v>
      </c>
      <c r="H119" s="5" t="s">
        <v>88</v>
      </c>
      <c r="I119" s="5" t="s">
        <v>89</v>
      </c>
      <c r="J119" s="5" t="s">
        <v>84</v>
      </c>
      <c r="K119" s="19">
        <f ca="1">NOW()-Tabela4[[#This Row],[Data de abertura]]</f>
        <v>19.133748958331125</v>
      </c>
      <c r="L119" s="16">
        <f t="shared" ca="1" si="3"/>
        <v>17.162221180551569</v>
      </c>
    </row>
    <row r="120" spans="1:12" x14ac:dyDescent="0.25">
      <c r="A120" s="5" t="s">
        <v>488</v>
      </c>
      <c r="B120" s="5" t="s">
        <v>372</v>
      </c>
      <c r="C120" s="5" t="s">
        <v>92</v>
      </c>
      <c r="D120" s="17">
        <v>44845.397916666669</v>
      </c>
      <c r="E120" s="5" t="s">
        <v>80</v>
      </c>
      <c r="F120" s="5" t="s">
        <v>340</v>
      </c>
      <c r="G120" s="17">
        <v>44870.70416666667</v>
      </c>
      <c r="H120" s="5" t="s">
        <v>88</v>
      </c>
      <c r="I120" s="5" t="s">
        <v>89</v>
      </c>
      <c r="J120" s="5" t="s">
        <v>84</v>
      </c>
      <c r="K120" s="19">
        <f ca="1">NOW()-Tabela4[[#This Row],[Data de abertura]]</f>
        <v>42.468471180553024</v>
      </c>
      <c r="L120" s="16">
        <f t="shared" ca="1" si="3"/>
        <v>17.162221180551569</v>
      </c>
    </row>
    <row r="121" spans="1:12" x14ac:dyDescent="0.25">
      <c r="A121" s="5" t="s">
        <v>489</v>
      </c>
      <c r="B121" s="5" t="s">
        <v>370</v>
      </c>
      <c r="C121" s="5" t="s">
        <v>92</v>
      </c>
      <c r="D121" s="17">
        <v>44834.681944444441</v>
      </c>
      <c r="E121" s="5" t="s">
        <v>80</v>
      </c>
      <c r="F121" s="5" t="s">
        <v>340</v>
      </c>
      <c r="G121" s="17">
        <v>44870.703472222223</v>
      </c>
      <c r="H121" s="5" t="s">
        <v>88</v>
      </c>
      <c r="I121" s="5" t="s">
        <v>89</v>
      </c>
      <c r="J121" s="5" t="s">
        <v>84</v>
      </c>
      <c r="K121" s="19">
        <f ca="1">NOW()-Tabela4[[#This Row],[Data de abertura]]</f>
        <v>53.184443402780744</v>
      </c>
      <c r="L121" s="16">
        <f t="shared" ca="1" si="3"/>
        <v>17.162915624998277</v>
      </c>
    </row>
    <row r="122" spans="1:12" x14ac:dyDescent="0.25">
      <c r="A122" s="5" t="s">
        <v>490</v>
      </c>
      <c r="B122" s="5" t="s">
        <v>411</v>
      </c>
      <c r="C122" s="5" t="s">
        <v>92</v>
      </c>
      <c r="D122" s="17">
        <v>44834.336805555555</v>
      </c>
      <c r="E122" s="5" t="s">
        <v>80</v>
      </c>
      <c r="F122" s="5" t="s">
        <v>340</v>
      </c>
      <c r="G122" s="17">
        <v>44870.703472222223</v>
      </c>
      <c r="H122" s="5" t="s">
        <v>82</v>
      </c>
      <c r="I122" s="5" t="s">
        <v>89</v>
      </c>
      <c r="J122" s="5" t="s">
        <v>84</v>
      </c>
      <c r="K122" s="19">
        <f ca="1">NOW()-Tabela4[[#This Row],[Data de abertura]]</f>
        <v>53.529582291666884</v>
      </c>
      <c r="L122" s="16">
        <f t="shared" ca="1" si="3"/>
        <v>17.162915624998277</v>
      </c>
    </row>
    <row r="123" spans="1:12" x14ac:dyDescent="0.25">
      <c r="A123" s="5" t="s">
        <v>491</v>
      </c>
      <c r="B123" s="5" t="s">
        <v>370</v>
      </c>
      <c r="C123" s="5" t="s">
        <v>92</v>
      </c>
      <c r="D123" s="17">
        <v>44856.426388888889</v>
      </c>
      <c r="E123" s="5" t="s">
        <v>80</v>
      </c>
      <c r="F123" s="5" t="s">
        <v>340</v>
      </c>
      <c r="G123" s="17">
        <v>44870.70208333333</v>
      </c>
      <c r="H123" s="5" t="s">
        <v>88</v>
      </c>
      <c r="I123" s="5" t="s">
        <v>89</v>
      </c>
      <c r="J123" s="5" t="s">
        <v>84</v>
      </c>
      <c r="K123" s="19">
        <f ca="1">NOW()-Tabela4[[#This Row],[Data de abertura]]</f>
        <v>31.439998958332581</v>
      </c>
      <c r="L123" s="16">
        <f t="shared" ca="1" si="3"/>
        <v>17.164304513891693</v>
      </c>
    </row>
    <row r="124" spans="1:12" x14ac:dyDescent="0.25">
      <c r="A124" s="5" t="s">
        <v>492</v>
      </c>
      <c r="B124" s="5" t="s">
        <v>370</v>
      </c>
      <c r="C124" s="5" t="s">
        <v>92</v>
      </c>
      <c r="D124" s="17">
        <v>44845.441666666666</v>
      </c>
      <c r="E124" s="5" t="s">
        <v>80</v>
      </c>
      <c r="F124" s="5" t="s">
        <v>340</v>
      </c>
      <c r="G124" s="17">
        <v>44870.701388888891</v>
      </c>
      <c r="H124" s="5" t="s">
        <v>88</v>
      </c>
      <c r="I124" s="5" t="s">
        <v>89</v>
      </c>
      <c r="J124" s="5" t="s">
        <v>84</v>
      </c>
      <c r="K124" s="19">
        <f ca="1">NOW()-Tabela4[[#This Row],[Data de abertura]]</f>
        <v>42.424721180555935</v>
      </c>
      <c r="L124" s="16">
        <f t="shared" ca="1" si="3"/>
        <v>17.164998958331125</v>
      </c>
    </row>
    <row r="125" spans="1:12" x14ac:dyDescent="0.25">
      <c r="A125" s="5" t="s">
        <v>493</v>
      </c>
      <c r="B125" s="5" t="s">
        <v>370</v>
      </c>
      <c r="C125" s="5" t="s">
        <v>92</v>
      </c>
      <c r="D125" s="17">
        <v>44831.465277777781</v>
      </c>
      <c r="E125" s="5" t="s">
        <v>80</v>
      </c>
      <c r="F125" s="5" t="s">
        <v>340</v>
      </c>
      <c r="G125" s="17">
        <v>44870.701388888891</v>
      </c>
      <c r="H125" s="5" t="s">
        <v>88</v>
      </c>
      <c r="I125" s="5" t="s">
        <v>89</v>
      </c>
      <c r="J125" s="5" t="s">
        <v>84</v>
      </c>
      <c r="K125" s="19">
        <f ca="1">NOW()-Tabela4[[#This Row],[Data de abertura]]</f>
        <v>56.40111006944062</v>
      </c>
      <c r="L125" s="16">
        <f t="shared" ca="1" si="3"/>
        <v>17.164998958331125</v>
      </c>
    </row>
    <row r="126" spans="1:12" x14ac:dyDescent="0.25">
      <c r="A126" s="5" t="s">
        <v>494</v>
      </c>
      <c r="B126" s="5" t="s">
        <v>347</v>
      </c>
      <c r="C126" s="5" t="s">
        <v>92</v>
      </c>
      <c r="D126" s="17">
        <v>44860.379166666666</v>
      </c>
      <c r="E126" s="5" t="s">
        <v>80</v>
      </c>
      <c r="F126" s="5" t="s">
        <v>340</v>
      </c>
      <c r="G126" s="17">
        <v>44869.84097222222</v>
      </c>
      <c r="H126" s="5" t="s">
        <v>82</v>
      </c>
      <c r="I126" s="5" t="s">
        <v>89</v>
      </c>
      <c r="J126" s="5" t="s">
        <v>84</v>
      </c>
      <c r="K126" s="19">
        <f ca="1">NOW()-Tabela4[[#This Row],[Data de abertura]]</f>
        <v>27.487221180555935</v>
      </c>
      <c r="L126" s="16">
        <f t="shared" ca="1" si="3"/>
        <v>18.025415625001187</v>
      </c>
    </row>
    <row r="127" spans="1:12" x14ac:dyDescent="0.25">
      <c r="A127" s="5" t="s">
        <v>495</v>
      </c>
      <c r="B127" s="5" t="s">
        <v>347</v>
      </c>
      <c r="C127" s="5" t="s">
        <v>92</v>
      </c>
      <c r="D127" s="17">
        <v>44855.681944444441</v>
      </c>
      <c r="E127" s="5" t="s">
        <v>80</v>
      </c>
      <c r="F127" s="5" t="s">
        <v>340</v>
      </c>
      <c r="G127" s="17">
        <v>44869.84097222222</v>
      </c>
      <c r="H127" s="5" t="s">
        <v>82</v>
      </c>
      <c r="I127" s="5" t="s">
        <v>89</v>
      </c>
      <c r="J127" s="5" t="s">
        <v>84</v>
      </c>
      <c r="K127" s="19">
        <f ca="1">NOW()-Tabela4[[#This Row],[Data de abertura]]</f>
        <v>32.184443402780744</v>
      </c>
      <c r="L127" s="16">
        <f t="shared" ca="1" si="3"/>
        <v>18.025415625001187</v>
      </c>
    </row>
    <row r="128" spans="1:12" x14ac:dyDescent="0.25">
      <c r="A128" s="5" t="s">
        <v>496</v>
      </c>
      <c r="B128" s="5" t="s">
        <v>347</v>
      </c>
      <c r="C128" s="5" t="s">
        <v>92</v>
      </c>
      <c r="D128" s="17">
        <v>44859.681250000001</v>
      </c>
      <c r="E128" s="5" t="s">
        <v>80</v>
      </c>
      <c r="F128" s="5" t="s">
        <v>340</v>
      </c>
      <c r="G128" s="17">
        <v>44869.840277777781</v>
      </c>
      <c r="H128" s="5" t="s">
        <v>82</v>
      </c>
      <c r="I128" s="5" t="s">
        <v>89</v>
      </c>
      <c r="J128" s="5" t="s">
        <v>84</v>
      </c>
      <c r="K128" s="19">
        <f ca="1">NOW()-Tabela4[[#This Row],[Data de abertura]]</f>
        <v>28.185137847220176</v>
      </c>
      <c r="L128" s="16">
        <f t="shared" ca="1" si="3"/>
        <v>18.02611006944062</v>
      </c>
    </row>
    <row r="129" spans="1:12" x14ac:dyDescent="0.25">
      <c r="A129" s="5" t="s">
        <v>497</v>
      </c>
      <c r="B129" s="5" t="s">
        <v>349</v>
      </c>
      <c r="C129" s="5" t="s">
        <v>87</v>
      </c>
      <c r="D129" s="17">
        <v>44861.461805555555</v>
      </c>
      <c r="E129" s="5" t="s">
        <v>80</v>
      </c>
      <c r="F129" s="5" t="s">
        <v>340</v>
      </c>
      <c r="G129" s="17">
        <v>44869.662499999999</v>
      </c>
      <c r="H129" s="5" t="s">
        <v>88</v>
      </c>
      <c r="I129" s="5" t="s">
        <v>89</v>
      </c>
      <c r="J129" s="5" t="s">
        <v>84</v>
      </c>
      <c r="K129" s="19">
        <f ca="1">NOW()-Tabela4[[#This Row],[Data de abertura]]</f>
        <v>26.404582291666884</v>
      </c>
      <c r="L129" s="16">
        <f t="shared" ca="1" si="3"/>
        <v>18.203887847223086</v>
      </c>
    </row>
    <row r="130" spans="1:12" x14ac:dyDescent="0.25">
      <c r="A130" s="5" t="s">
        <v>498</v>
      </c>
      <c r="B130" s="5" t="s">
        <v>347</v>
      </c>
      <c r="C130" s="5" t="s">
        <v>92</v>
      </c>
      <c r="D130" s="17">
        <v>44860.455555555556</v>
      </c>
      <c r="E130" s="5" t="s">
        <v>80</v>
      </c>
      <c r="F130" s="5" t="s">
        <v>340</v>
      </c>
      <c r="G130" s="17">
        <v>44869.574305555558</v>
      </c>
      <c r="H130" s="5" t="s">
        <v>82</v>
      </c>
      <c r="I130" s="5" t="s">
        <v>89</v>
      </c>
      <c r="J130" s="5" t="s">
        <v>84</v>
      </c>
      <c r="K130" s="19">
        <f ca="1">NOW()-Tabela4[[#This Row],[Data de abertura]]</f>
        <v>27.410832291665429</v>
      </c>
      <c r="L130" s="16">
        <f t="shared" ref="L130:L161" ca="1" si="4">NOW()-G130</f>
        <v>18.292082291663974</v>
      </c>
    </row>
    <row r="131" spans="1:12" x14ac:dyDescent="0.25">
      <c r="A131" s="5" t="s">
        <v>499</v>
      </c>
      <c r="B131" s="5" t="s">
        <v>468</v>
      </c>
      <c r="C131" s="5" t="s">
        <v>87</v>
      </c>
      <c r="D131" s="17">
        <v>44832.410416666666</v>
      </c>
      <c r="E131" s="5" t="s">
        <v>80</v>
      </c>
      <c r="F131" s="5" t="s">
        <v>340</v>
      </c>
      <c r="G131" s="17">
        <v>44869.441666666666</v>
      </c>
      <c r="H131" s="5" t="s">
        <v>88</v>
      </c>
      <c r="I131" s="5" t="s">
        <v>89</v>
      </c>
      <c r="J131" s="5" t="s">
        <v>84</v>
      </c>
      <c r="K131" s="19">
        <f ca="1">NOW()-Tabela4[[#This Row],[Data de abertura]]</f>
        <v>55.455971180555935</v>
      </c>
      <c r="L131" s="16">
        <f t="shared" ca="1" si="4"/>
        <v>18.424721180555935</v>
      </c>
    </row>
    <row r="132" spans="1:12" x14ac:dyDescent="0.25">
      <c r="A132" s="5" t="s">
        <v>500</v>
      </c>
      <c r="B132" s="5" t="s">
        <v>347</v>
      </c>
      <c r="C132" s="5" t="s">
        <v>92</v>
      </c>
      <c r="D132" s="17">
        <v>44809.70208333333</v>
      </c>
      <c r="E132" s="5" t="s">
        <v>80</v>
      </c>
      <c r="F132" s="5" t="s">
        <v>340</v>
      </c>
      <c r="G132" s="17">
        <v>44869.4375</v>
      </c>
      <c r="H132" s="5" t="s">
        <v>82</v>
      </c>
      <c r="I132" s="5" t="s">
        <v>89</v>
      </c>
      <c r="J132" s="5" t="s">
        <v>84</v>
      </c>
      <c r="K132" s="19">
        <f ca="1">NOW()-Tabela4[[#This Row],[Data de abertura]]</f>
        <v>78.164304513891693</v>
      </c>
      <c r="L132" s="16">
        <f t="shared" ca="1" si="4"/>
        <v>18.428887847221631</v>
      </c>
    </row>
    <row r="133" spans="1:12" x14ac:dyDescent="0.25">
      <c r="A133" s="5" t="s">
        <v>501</v>
      </c>
      <c r="B133" s="5" t="s">
        <v>349</v>
      </c>
      <c r="C133" s="5" t="s">
        <v>92</v>
      </c>
      <c r="D133" s="17">
        <v>44830.658333333333</v>
      </c>
      <c r="E133" s="5" t="s">
        <v>80</v>
      </c>
      <c r="F133" s="5" t="s">
        <v>340</v>
      </c>
      <c r="G133" s="17">
        <v>44869.413888888892</v>
      </c>
      <c r="H133" s="5" t="s">
        <v>88</v>
      </c>
      <c r="I133" s="5" t="s">
        <v>89</v>
      </c>
      <c r="J133" s="5" t="s">
        <v>84</v>
      </c>
      <c r="K133" s="19">
        <f ca="1">NOW()-Tabela4[[#This Row],[Data de abertura]]</f>
        <v>57.208054513888783</v>
      </c>
      <c r="L133" s="16">
        <f t="shared" ca="1" si="4"/>
        <v>18.45249895832967</v>
      </c>
    </row>
    <row r="134" spans="1:12" x14ac:dyDescent="0.25">
      <c r="A134" s="5" t="s">
        <v>502</v>
      </c>
      <c r="B134" s="5" t="s">
        <v>339</v>
      </c>
      <c r="C134" s="5" t="s">
        <v>92</v>
      </c>
      <c r="D134" s="17">
        <v>44761.378472222219</v>
      </c>
      <c r="E134" s="5" t="s">
        <v>80</v>
      </c>
      <c r="F134" s="5" t="s">
        <v>340</v>
      </c>
      <c r="G134" s="17">
        <v>44869.39166666667</v>
      </c>
      <c r="H134" s="5" t="s">
        <v>82</v>
      </c>
      <c r="I134" s="5" t="s">
        <v>89</v>
      </c>
      <c r="J134" s="5" t="s">
        <v>84</v>
      </c>
      <c r="K134" s="19">
        <f ca="1">NOW()-Tabela4[[#This Row],[Data de abertura]]</f>
        <v>126.48791562500264</v>
      </c>
      <c r="L134" s="16">
        <f t="shared" ca="1" si="4"/>
        <v>18.474721180551569</v>
      </c>
    </row>
    <row r="135" spans="1:12" x14ac:dyDescent="0.25">
      <c r="A135" s="5" t="s">
        <v>503</v>
      </c>
      <c r="B135" s="5" t="s">
        <v>347</v>
      </c>
      <c r="C135" s="5" t="s">
        <v>92</v>
      </c>
      <c r="D135" s="17">
        <v>44831.683333333334</v>
      </c>
      <c r="E135" s="5" t="s">
        <v>80</v>
      </c>
      <c r="F135" s="5" t="s">
        <v>340</v>
      </c>
      <c r="G135" s="17">
        <v>44869.379166666666</v>
      </c>
      <c r="H135" s="5" t="s">
        <v>82</v>
      </c>
      <c r="I135" s="5" t="s">
        <v>89</v>
      </c>
      <c r="J135" s="5" t="s">
        <v>84</v>
      </c>
      <c r="K135" s="19">
        <f ca="1">NOW()-Tabela4[[#This Row],[Data de abertura]]</f>
        <v>56.183054513887328</v>
      </c>
      <c r="L135" s="16">
        <f t="shared" ca="1" si="4"/>
        <v>18.487221180555935</v>
      </c>
    </row>
    <row r="136" spans="1:12" x14ac:dyDescent="0.25">
      <c r="A136" s="5" t="s">
        <v>504</v>
      </c>
      <c r="B136" s="5" t="s">
        <v>339</v>
      </c>
      <c r="C136" s="5" t="s">
        <v>87</v>
      </c>
      <c r="D136" s="17">
        <v>44869.366666666669</v>
      </c>
      <c r="E136" s="5" t="s">
        <v>80</v>
      </c>
      <c r="F136" s="5" t="s">
        <v>340</v>
      </c>
      <c r="G136" s="17">
        <v>44869.366666666669</v>
      </c>
      <c r="H136" s="5" t="s">
        <v>82</v>
      </c>
      <c r="I136" s="5" t="s">
        <v>89</v>
      </c>
      <c r="J136" s="5" t="s">
        <v>84</v>
      </c>
      <c r="K136" s="19">
        <f ca="1">NOW()-Tabela4[[#This Row],[Data de abertura]]</f>
        <v>18.499721180553024</v>
      </c>
      <c r="L136" s="16">
        <f t="shared" ca="1" si="4"/>
        <v>18.499721180553024</v>
      </c>
    </row>
    <row r="137" spans="1:12" x14ac:dyDescent="0.25">
      <c r="A137" s="5" t="s">
        <v>505</v>
      </c>
      <c r="B137" s="5" t="s">
        <v>232</v>
      </c>
      <c r="C137" s="5" t="s">
        <v>92</v>
      </c>
      <c r="D137" s="17">
        <v>44866.481249999997</v>
      </c>
      <c r="E137" s="5" t="s">
        <v>80</v>
      </c>
      <c r="F137" s="5" t="s">
        <v>340</v>
      </c>
      <c r="G137" s="17">
        <v>44869.351388888892</v>
      </c>
      <c r="H137" s="5" t="s">
        <v>88</v>
      </c>
      <c r="I137" s="5" t="s">
        <v>89</v>
      </c>
      <c r="J137" s="5" t="s">
        <v>84</v>
      </c>
      <c r="K137" s="19">
        <f ca="1">NOW()-Tabela4[[#This Row],[Data de abertura]]</f>
        <v>21.385137847224541</v>
      </c>
      <c r="L137" s="16">
        <f t="shared" ca="1" si="4"/>
        <v>18.51499895832967</v>
      </c>
    </row>
    <row r="138" spans="1:12" x14ac:dyDescent="0.25">
      <c r="A138" s="5" t="s">
        <v>506</v>
      </c>
      <c r="B138" s="5" t="s">
        <v>372</v>
      </c>
      <c r="C138" s="5" t="s">
        <v>87</v>
      </c>
      <c r="D138" s="17">
        <v>44869.337500000001</v>
      </c>
      <c r="E138" s="5" t="s">
        <v>80</v>
      </c>
      <c r="F138" s="5" t="s">
        <v>340</v>
      </c>
      <c r="G138" s="17">
        <v>44869.337500000001</v>
      </c>
      <c r="H138" s="5" t="s">
        <v>88</v>
      </c>
      <c r="I138" s="5" t="s">
        <v>89</v>
      </c>
      <c r="J138" s="5" t="s">
        <v>84</v>
      </c>
      <c r="K138" s="19">
        <f ca="1">NOW()-Tabela4[[#This Row],[Data de abertura]]</f>
        <v>18.528887847220176</v>
      </c>
      <c r="L138" s="16">
        <f t="shared" ca="1" si="4"/>
        <v>18.528887847220176</v>
      </c>
    </row>
    <row r="139" spans="1:12" x14ac:dyDescent="0.25">
      <c r="A139" s="5" t="s">
        <v>507</v>
      </c>
      <c r="B139" s="5" t="s">
        <v>370</v>
      </c>
      <c r="C139" s="5" t="s">
        <v>87</v>
      </c>
      <c r="D139" s="17">
        <v>44868.684027777781</v>
      </c>
      <c r="E139" s="5" t="s">
        <v>80</v>
      </c>
      <c r="F139" s="5" t="s">
        <v>340</v>
      </c>
      <c r="G139" s="17">
        <v>44868.684027777781</v>
      </c>
      <c r="H139" s="5" t="s">
        <v>88</v>
      </c>
      <c r="I139" s="5" t="s">
        <v>89</v>
      </c>
      <c r="J139" s="5" t="s">
        <v>84</v>
      </c>
      <c r="K139" s="19">
        <f ca="1">NOW()-Tabela4[[#This Row],[Data de abertura]]</f>
        <v>19.18236006944062</v>
      </c>
      <c r="L139" s="16">
        <f t="shared" ca="1" si="4"/>
        <v>19.18236006944062</v>
      </c>
    </row>
    <row r="140" spans="1:12" x14ac:dyDescent="0.25">
      <c r="A140" s="5" t="s">
        <v>508</v>
      </c>
      <c r="B140" s="5" t="s">
        <v>509</v>
      </c>
      <c r="C140" s="5" t="s">
        <v>87</v>
      </c>
      <c r="D140" s="17">
        <v>44868.661805555559</v>
      </c>
      <c r="E140" s="5" t="s">
        <v>80</v>
      </c>
      <c r="F140" s="5" t="s">
        <v>340</v>
      </c>
      <c r="G140" s="17">
        <v>44868.661805555559</v>
      </c>
      <c r="H140" s="5" t="s">
        <v>82</v>
      </c>
      <c r="I140" s="5" t="s">
        <v>89</v>
      </c>
      <c r="J140" s="5" t="s">
        <v>84</v>
      </c>
      <c r="K140" s="19">
        <f ca="1">NOW()-Tabela4[[#This Row],[Data de abertura]]</f>
        <v>19.204582291662518</v>
      </c>
      <c r="L140" s="16">
        <f t="shared" ca="1" si="4"/>
        <v>19.204582291662518</v>
      </c>
    </row>
    <row r="141" spans="1:12" x14ac:dyDescent="0.25">
      <c r="A141" s="5" t="s">
        <v>510</v>
      </c>
      <c r="B141" s="5" t="s">
        <v>372</v>
      </c>
      <c r="C141" s="5" t="s">
        <v>87</v>
      </c>
      <c r="D141" s="17">
        <v>44868.474305555559</v>
      </c>
      <c r="E141" s="5" t="s">
        <v>80</v>
      </c>
      <c r="F141" s="5" t="s">
        <v>340</v>
      </c>
      <c r="G141" s="17">
        <v>44868.474305555559</v>
      </c>
      <c r="H141" s="5" t="s">
        <v>88</v>
      </c>
      <c r="I141" s="5" t="s">
        <v>89</v>
      </c>
      <c r="J141" s="5" t="s">
        <v>84</v>
      </c>
      <c r="K141" s="19">
        <f ca="1">NOW()-Tabela4[[#This Row],[Data de abertura]]</f>
        <v>19.392082291662518</v>
      </c>
      <c r="L141" s="16">
        <f t="shared" ca="1" si="4"/>
        <v>19.392082291662518</v>
      </c>
    </row>
    <row r="142" spans="1:12" x14ac:dyDescent="0.25">
      <c r="A142" s="5" t="s">
        <v>511</v>
      </c>
      <c r="B142" s="5" t="s">
        <v>358</v>
      </c>
      <c r="C142" s="5" t="s">
        <v>87</v>
      </c>
      <c r="D142" s="17">
        <v>44868.462500000001</v>
      </c>
      <c r="E142" s="5" t="s">
        <v>80</v>
      </c>
      <c r="F142" s="5" t="s">
        <v>340</v>
      </c>
      <c r="G142" s="17">
        <v>44868.462500000001</v>
      </c>
      <c r="H142" s="5" t="s">
        <v>82</v>
      </c>
      <c r="I142" s="5" t="s">
        <v>89</v>
      </c>
      <c r="J142" s="5" t="s">
        <v>84</v>
      </c>
      <c r="K142" s="19">
        <f ca="1">NOW()-Tabela4[[#This Row],[Data de abertura]]</f>
        <v>19.403887847220176</v>
      </c>
      <c r="L142" s="16">
        <f t="shared" ca="1" si="4"/>
        <v>19.403887847220176</v>
      </c>
    </row>
    <row r="143" spans="1:12" x14ac:dyDescent="0.25">
      <c r="A143" s="5" t="s">
        <v>512</v>
      </c>
      <c r="B143" s="5" t="s">
        <v>411</v>
      </c>
      <c r="C143" s="5" t="s">
        <v>92</v>
      </c>
      <c r="D143" s="17">
        <v>44853.625694444447</v>
      </c>
      <c r="E143" s="5" t="s">
        <v>80</v>
      </c>
      <c r="F143" s="5" t="s">
        <v>340</v>
      </c>
      <c r="G143" s="17">
        <v>44868.451388888891</v>
      </c>
      <c r="H143" s="5" t="s">
        <v>82</v>
      </c>
      <c r="I143" s="5" t="s">
        <v>89</v>
      </c>
      <c r="J143" s="5" t="s">
        <v>84</v>
      </c>
      <c r="K143" s="19">
        <f ca="1">NOW()-Tabela4[[#This Row],[Data de abertura]]</f>
        <v>34.240693402774923</v>
      </c>
      <c r="L143" s="16">
        <f t="shared" ca="1" si="4"/>
        <v>19.414998958331125</v>
      </c>
    </row>
    <row r="144" spans="1:12" x14ac:dyDescent="0.25">
      <c r="A144" s="5" t="s">
        <v>513</v>
      </c>
      <c r="B144" s="5" t="s">
        <v>475</v>
      </c>
      <c r="C144" s="5" t="s">
        <v>87</v>
      </c>
      <c r="D144" s="17">
        <v>44868.375694444447</v>
      </c>
      <c r="E144" s="5" t="s">
        <v>80</v>
      </c>
      <c r="F144" s="5" t="s">
        <v>340</v>
      </c>
      <c r="G144" s="17">
        <v>44868.375694444447</v>
      </c>
      <c r="H144" s="5" t="s">
        <v>82</v>
      </c>
      <c r="I144" s="5" t="s">
        <v>89</v>
      </c>
      <c r="J144" s="5" t="s">
        <v>84</v>
      </c>
      <c r="K144" s="19">
        <f ca="1">NOW()-Tabela4[[#This Row],[Data de abertura]]</f>
        <v>19.490693402774923</v>
      </c>
      <c r="L144" s="16">
        <f t="shared" ca="1" si="4"/>
        <v>19.490693402774923</v>
      </c>
    </row>
    <row r="145" spans="1:12" x14ac:dyDescent="0.25">
      <c r="A145" s="5" t="s">
        <v>514</v>
      </c>
      <c r="B145" s="5" t="s">
        <v>358</v>
      </c>
      <c r="C145" s="5" t="s">
        <v>87</v>
      </c>
      <c r="D145" s="17">
        <v>44868.356944444444</v>
      </c>
      <c r="E145" s="5" t="s">
        <v>80</v>
      </c>
      <c r="F145" s="5" t="s">
        <v>340</v>
      </c>
      <c r="G145" s="17">
        <v>44868.356944444444</v>
      </c>
      <c r="H145" s="5" t="s">
        <v>82</v>
      </c>
      <c r="I145" s="5" t="s">
        <v>89</v>
      </c>
      <c r="J145" s="5" t="s">
        <v>84</v>
      </c>
      <c r="K145" s="19">
        <f ca="1">NOW()-Tabela4[[#This Row],[Data de abertura]]</f>
        <v>19.509443402777833</v>
      </c>
      <c r="L145" s="16">
        <f t="shared" ca="1" si="4"/>
        <v>19.509443402777833</v>
      </c>
    </row>
    <row r="146" spans="1:12" x14ac:dyDescent="0.25">
      <c r="A146" s="5" t="s">
        <v>515</v>
      </c>
      <c r="B146" s="5" t="s">
        <v>435</v>
      </c>
      <c r="C146" s="5" t="s">
        <v>87</v>
      </c>
      <c r="D146" s="17">
        <v>44868.322222222225</v>
      </c>
      <c r="E146" s="5" t="s">
        <v>80</v>
      </c>
      <c r="F146" s="5" t="s">
        <v>340</v>
      </c>
      <c r="G146" s="17">
        <v>44868.322222222225</v>
      </c>
      <c r="H146" s="5" t="s">
        <v>88</v>
      </c>
      <c r="I146" s="5" t="s">
        <v>89</v>
      </c>
      <c r="J146" s="5" t="s">
        <v>84</v>
      </c>
      <c r="K146" s="19">
        <f ca="1">NOW()-Tabela4[[#This Row],[Data de abertura]]</f>
        <v>19.544165624996822</v>
      </c>
      <c r="L146" s="16">
        <f t="shared" ca="1" si="4"/>
        <v>19.544165624996822</v>
      </c>
    </row>
    <row r="147" spans="1:12" x14ac:dyDescent="0.25">
      <c r="A147" s="5" t="s">
        <v>516</v>
      </c>
      <c r="B147" s="5" t="s">
        <v>517</v>
      </c>
      <c r="C147" s="5" t="s">
        <v>87</v>
      </c>
      <c r="D147" s="17">
        <v>44861.588194444441</v>
      </c>
      <c r="E147" s="5" t="s">
        <v>80</v>
      </c>
      <c r="F147" s="5" t="s">
        <v>340</v>
      </c>
      <c r="G147" s="17">
        <v>44866.620138888888</v>
      </c>
      <c r="H147" s="5" t="s">
        <v>82</v>
      </c>
      <c r="I147" s="5" t="s">
        <v>89</v>
      </c>
      <c r="J147" s="5" t="s">
        <v>84</v>
      </c>
      <c r="K147" s="19">
        <f ca="1">NOW()-Tabela4[[#This Row],[Data de abertura]]</f>
        <v>26.278193402780744</v>
      </c>
      <c r="L147" s="16">
        <f t="shared" ca="1" si="4"/>
        <v>21.246248958334036</v>
      </c>
    </row>
    <row r="148" spans="1:12" x14ac:dyDescent="0.25">
      <c r="A148" s="5" t="s">
        <v>518</v>
      </c>
      <c r="B148" s="5" t="s">
        <v>339</v>
      </c>
      <c r="C148" s="5" t="s">
        <v>87</v>
      </c>
      <c r="D148" s="17">
        <v>44866.379166666666</v>
      </c>
      <c r="E148" s="5" t="s">
        <v>80</v>
      </c>
      <c r="F148" s="5" t="s">
        <v>340</v>
      </c>
      <c r="G148" s="17">
        <v>44866.379166666666</v>
      </c>
      <c r="H148" s="5" t="s">
        <v>82</v>
      </c>
      <c r="I148" s="5" t="s">
        <v>89</v>
      </c>
      <c r="J148" s="5" t="s">
        <v>84</v>
      </c>
      <c r="K148" s="19">
        <f ca="1">NOW()-Tabela4[[#This Row],[Data de abertura]]</f>
        <v>21.487221180555935</v>
      </c>
      <c r="L148" s="16">
        <f t="shared" ca="1" si="4"/>
        <v>21.487221180555935</v>
      </c>
    </row>
    <row r="149" spans="1:12" x14ac:dyDescent="0.25">
      <c r="A149" s="5" t="s">
        <v>519</v>
      </c>
      <c r="B149" s="5" t="s">
        <v>339</v>
      </c>
      <c r="C149" s="5" t="s">
        <v>87</v>
      </c>
      <c r="D149" s="17">
        <v>44865.476388888892</v>
      </c>
      <c r="E149" s="5" t="s">
        <v>80</v>
      </c>
      <c r="F149" s="5" t="s">
        <v>340</v>
      </c>
      <c r="G149" s="17">
        <v>44865.476388888892</v>
      </c>
      <c r="H149" s="5" t="s">
        <v>82</v>
      </c>
      <c r="I149" s="5" t="s">
        <v>89</v>
      </c>
      <c r="J149" s="5" t="s">
        <v>84</v>
      </c>
      <c r="K149" s="19">
        <f ca="1">NOW()-Tabela4[[#This Row],[Data de abertura]]</f>
        <v>22.38999895832967</v>
      </c>
      <c r="L149" s="16">
        <f t="shared" ca="1" si="4"/>
        <v>22.38999895832967</v>
      </c>
    </row>
    <row r="150" spans="1:12" x14ac:dyDescent="0.25">
      <c r="A150" s="5" t="s">
        <v>520</v>
      </c>
      <c r="B150" s="5" t="s">
        <v>358</v>
      </c>
      <c r="C150" s="5" t="s">
        <v>87</v>
      </c>
      <c r="D150" s="17">
        <v>44862.424305555556</v>
      </c>
      <c r="E150" s="5" t="s">
        <v>80</v>
      </c>
      <c r="F150" s="5" t="s">
        <v>340</v>
      </c>
      <c r="G150" s="17">
        <v>44862.424305555556</v>
      </c>
      <c r="H150" s="5" t="s">
        <v>82</v>
      </c>
      <c r="I150" s="5" t="s">
        <v>89</v>
      </c>
      <c r="J150" s="5" t="s">
        <v>84</v>
      </c>
      <c r="K150" s="19">
        <f ca="1">NOW()-Tabela4[[#This Row],[Data de abertura]]</f>
        <v>25.442082291665429</v>
      </c>
      <c r="L150" s="16">
        <f t="shared" ca="1" si="4"/>
        <v>25.442082291665429</v>
      </c>
    </row>
    <row r="151" spans="1:12" x14ac:dyDescent="0.25">
      <c r="A151" s="5" t="s">
        <v>521</v>
      </c>
      <c r="B151" s="5" t="s">
        <v>411</v>
      </c>
      <c r="C151" s="5" t="s">
        <v>87</v>
      </c>
      <c r="D151" s="17">
        <v>44862.35</v>
      </c>
      <c r="E151" s="5" t="s">
        <v>80</v>
      </c>
      <c r="F151" s="5" t="s">
        <v>340</v>
      </c>
      <c r="G151" s="17">
        <v>44862.35</v>
      </c>
      <c r="H151" s="5" t="s">
        <v>82</v>
      </c>
      <c r="I151" s="5" t="s">
        <v>89</v>
      </c>
      <c r="J151" s="5" t="s">
        <v>84</v>
      </c>
      <c r="K151" s="19">
        <f ca="1">NOW()-Tabela4[[#This Row],[Data de abertura]]</f>
        <v>25.516387847223086</v>
      </c>
      <c r="L151" s="16">
        <f t="shared" ca="1" si="4"/>
        <v>25.516387847223086</v>
      </c>
    </row>
    <row r="152" spans="1:12" x14ac:dyDescent="0.25">
      <c r="A152" s="5" t="s">
        <v>522</v>
      </c>
      <c r="B152" s="5" t="s">
        <v>358</v>
      </c>
      <c r="C152" s="5" t="s">
        <v>87</v>
      </c>
      <c r="D152" s="17">
        <v>44862.326388888891</v>
      </c>
      <c r="E152" s="5" t="s">
        <v>80</v>
      </c>
      <c r="F152" s="5" t="s">
        <v>340</v>
      </c>
      <c r="G152" s="17">
        <v>44862.326388888891</v>
      </c>
      <c r="H152" s="5" t="s">
        <v>82</v>
      </c>
      <c r="I152" s="5" t="s">
        <v>89</v>
      </c>
      <c r="J152" s="5" t="s">
        <v>84</v>
      </c>
      <c r="K152" s="19">
        <f ca="1">NOW()-Tabela4[[#This Row],[Data de abertura]]</f>
        <v>25.539998958331125</v>
      </c>
      <c r="L152" s="16">
        <f t="shared" ca="1" si="4"/>
        <v>25.539998958331125</v>
      </c>
    </row>
    <row r="153" spans="1:12" x14ac:dyDescent="0.25">
      <c r="A153" s="5" t="s">
        <v>523</v>
      </c>
      <c r="B153" s="5" t="s">
        <v>358</v>
      </c>
      <c r="C153" s="5" t="s">
        <v>87</v>
      </c>
      <c r="D153" s="17">
        <v>44861.734722222223</v>
      </c>
      <c r="E153" s="5" t="s">
        <v>80</v>
      </c>
      <c r="F153" s="5" t="s">
        <v>340</v>
      </c>
      <c r="G153" s="17">
        <v>44861.734722222223</v>
      </c>
      <c r="H153" s="5" t="s">
        <v>82</v>
      </c>
      <c r="I153" s="5" t="s">
        <v>89</v>
      </c>
      <c r="J153" s="5" t="s">
        <v>84</v>
      </c>
      <c r="K153" s="19">
        <f ca="1">NOW()-Tabela4[[#This Row],[Data de abertura]]</f>
        <v>26.131665624998277</v>
      </c>
      <c r="L153" s="16">
        <f t="shared" ca="1" si="4"/>
        <v>26.131665624998277</v>
      </c>
    </row>
    <row r="154" spans="1:12" x14ac:dyDescent="0.25">
      <c r="A154" s="5" t="s">
        <v>524</v>
      </c>
      <c r="B154" s="5" t="s">
        <v>283</v>
      </c>
      <c r="C154" s="5" t="s">
        <v>92</v>
      </c>
      <c r="D154" s="17">
        <v>44861.509027777778</v>
      </c>
      <c r="E154" s="5" t="s">
        <v>80</v>
      </c>
      <c r="F154" s="5" t="s">
        <v>340</v>
      </c>
      <c r="G154" s="17">
        <v>44861.537499999999</v>
      </c>
      <c r="H154" s="5" t="s">
        <v>82</v>
      </c>
      <c r="I154" s="5" t="s">
        <v>93</v>
      </c>
      <c r="J154" s="5" t="s">
        <v>84</v>
      </c>
      <c r="K154" s="19">
        <f ca="1">NOW()-Tabela4[[#This Row],[Data de abertura]]</f>
        <v>26.35736006944353</v>
      </c>
      <c r="L154" s="16">
        <f t="shared" ca="1" si="4"/>
        <v>26.328887847223086</v>
      </c>
    </row>
    <row r="155" spans="1:12" x14ac:dyDescent="0.25">
      <c r="A155" s="5" t="s">
        <v>525</v>
      </c>
      <c r="B155" s="5" t="s">
        <v>151</v>
      </c>
      <c r="C155" s="5" t="s">
        <v>92</v>
      </c>
      <c r="D155" s="17">
        <v>44861.342361111114</v>
      </c>
      <c r="E155" s="5" t="s">
        <v>80</v>
      </c>
      <c r="F155" s="5" t="s">
        <v>340</v>
      </c>
      <c r="G155" s="17">
        <v>44861.433333333334</v>
      </c>
      <c r="H155" s="5" t="s">
        <v>82</v>
      </c>
      <c r="I155" s="5" t="s">
        <v>93</v>
      </c>
      <c r="J155" s="5" t="s">
        <v>84</v>
      </c>
      <c r="K155" s="19">
        <f ca="1">NOW()-Tabela4[[#This Row],[Data de abertura]]</f>
        <v>26.524026736107771</v>
      </c>
      <c r="L155" s="16">
        <f t="shared" ca="1" si="4"/>
        <v>26.433054513887328</v>
      </c>
    </row>
    <row r="156" spans="1:12" x14ac:dyDescent="0.25">
      <c r="A156" s="5" t="s">
        <v>526</v>
      </c>
      <c r="B156" s="5" t="s">
        <v>339</v>
      </c>
      <c r="C156" s="5" t="s">
        <v>87</v>
      </c>
      <c r="D156" s="17">
        <v>44861.357638888891</v>
      </c>
      <c r="E156" s="5" t="s">
        <v>80</v>
      </c>
      <c r="F156" s="5" t="s">
        <v>340</v>
      </c>
      <c r="G156" s="17">
        <v>44861.357638888891</v>
      </c>
      <c r="H156" s="5" t="s">
        <v>82</v>
      </c>
      <c r="I156" s="5" t="s">
        <v>89</v>
      </c>
      <c r="J156" s="5" t="s">
        <v>84</v>
      </c>
      <c r="K156" s="19">
        <f ca="1">NOW()-Tabela4[[#This Row],[Data de abertura]]</f>
        <v>26.508748958331125</v>
      </c>
      <c r="L156" s="16">
        <f t="shared" ca="1" si="4"/>
        <v>26.508748958331125</v>
      </c>
    </row>
    <row r="157" spans="1:12" x14ac:dyDescent="0.25">
      <c r="A157" s="5" t="s">
        <v>527</v>
      </c>
      <c r="B157" s="5" t="s">
        <v>151</v>
      </c>
      <c r="C157" s="5" t="s">
        <v>92</v>
      </c>
      <c r="D157" s="17">
        <v>44832.626388888886</v>
      </c>
      <c r="E157" s="5" t="s">
        <v>80</v>
      </c>
      <c r="F157" s="5" t="s">
        <v>340</v>
      </c>
      <c r="G157" s="17">
        <v>44861.336805555555</v>
      </c>
      <c r="H157" s="5" t="s">
        <v>82</v>
      </c>
      <c r="I157" s="5" t="s">
        <v>93</v>
      </c>
      <c r="J157" s="5" t="s">
        <v>84</v>
      </c>
      <c r="K157" s="19">
        <f ca="1">NOW()-Tabela4[[#This Row],[Data de abertura]]</f>
        <v>55.239998958335491</v>
      </c>
      <c r="L157" s="16">
        <f t="shared" ca="1" si="4"/>
        <v>26.529582291666884</v>
      </c>
    </row>
    <row r="158" spans="1:12" ht="30" x14ac:dyDescent="0.25">
      <c r="A158" s="5" t="s">
        <v>528</v>
      </c>
      <c r="B158" s="5" t="s">
        <v>358</v>
      </c>
      <c r="C158" s="5" t="s">
        <v>87</v>
      </c>
      <c r="D158" s="17">
        <v>44860.599305555559</v>
      </c>
      <c r="E158" s="18" t="s">
        <v>179</v>
      </c>
      <c r="F158" s="5" t="s">
        <v>340</v>
      </c>
      <c r="G158" s="17">
        <v>44860.599305555559</v>
      </c>
      <c r="H158" s="5" t="s">
        <v>82</v>
      </c>
      <c r="I158" s="5" t="s">
        <v>89</v>
      </c>
      <c r="J158" s="5" t="s">
        <v>84</v>
      </c>
      <c r="K158" s="19">
        <f ca="1">NOW()-Tabela4[[#This Row],[Data de abertura]]</f>
        <v>27.267082291662518</v>
      </c>
      <c r="L158" s="16">
        <f t="shared" ca="1" si="4"/>
        <v>27.267082291662518</v>
      </c>
    </row>
    <row r="159" spans="1:12" x14ac:dyDescent="0.25">
      <c r="A159" s="5" t="s">
        <v>529</v>
      </c>
      <c r="B159" s="5" t="s">
        <v>397</v>
      </c>
      <c r="C159" s="5" t="s">
        <v>87</v>
      </c>
      <c r="D159" s="17">
        <v>44860.565972222219</v>
      </c>
      <c r="E159" s="5" t="s">
        <v>80</v>
      </c>
      <c r="F159" s="5" t="s">
        <v>340</v>
      </c>
      <c r="G159" s="17">
        <v>44860.565972222219</v>
      </c>
      <c r="H159" s="5" t="s">
        <v>82</v>
      </c>
      <c r="I159" s="5" t="s">
        <v>89</v>
      </c>
      <c r="J159" s="5" t="s">
        <v>84</v>
      </c>
      <c r="K159" s="19">
        <f ca="1">NOW()-Tabela4[[#This Row],[Data de abertura]]</f>
        <v>27.300415625002643</v>
      </c>
      <c r="L159" s="16">
        <f t="shared" ca="1" si="4"/>
        <v>27.300415625002643</v>
      </c>
    </row>
    <row r="160" spans="1:12" x14ac:dyDescent="0.25">
      <c r="A160" s="5" t="s">
        <v>530</v>
      </c>
      <c r="B160" s="5" t="s">
        <v>208</v>
      </c>
      <c r="C160" s="5" t="s">
        <v>79</v>
      </c>
      <c r="D160" s="17">
        <v>44859.395138888889</v>
      </c>
      <c r="E160" s="5" t="s">
        <v>80</v>
      </c>
      <c r="F160" s="5" t="s">
        <v>340</v>
      </c>
      <c r="G160" s="17">
        <v>44859.395138888889</v>
      </c>
      <c r="H160" s="5" t="s">
        <v>82</v>
      </c>
      <c r="I160" s="5" t="s">
        <v>83</v>
      </c>
      <c r="J160" s="5" t="s">
        <v>84</v>
      </c>
      <c r="K160" s="19">
        <f ca="1">NOW()-Tabela4[[#This Row],[Data de abertura]]</f>
        <v>28.471248958332581</v>
      </c>
      <c r="L160" s="16">
        <f t="shared" ca="1" si="4"/>
        <v>28.471248958332581</v>
      </c>
    </row>
    <row r="161" spans="1:12" x14ac:dyDescent="0.25">
      <c r="A161" s="5" t="s">
        <v>531</v>
      </c>
      <c r="B161" s="5" t="s">
        <v>156</v>
      </c>
      <c r="C161" s="5" t="s">
        <v>92</v>
      </c>
      <c r="D161" s="17">
        <v>44854.488888888889</v>
      </c>
      <c r="E161" s="5" t="s">
        <v>80</v>
      </c>
      <c r="F161" s="5" t="s">
        <v>340</v>
      </c>
      <c r="G161" s="17">
        <v>44854.700694444444</v>
      </c>
      <c r="H161" s="5" t="s">
        <v>88</v>
      </c>
      <c r="I161" s="5" t="s">
        <v>89</v>
      </c>
      <c r="J161" s="5" t="s">
        <v>84</v>
      </c>
      <c r="K161" s="19">
        <f ca="1">NOW()-Tabela4[[#This Row],[Data de abertura]]</f>
        <v>33.377498958332581</v>
      </c>
      <c r="L161" s="16">
        <f t="shared" ca="1" si="4"/>
        <v>33.165693402777833</v>
      </c>
    </row>
    <row r="162" spans="1:12" x14ac:dyDescent="0.25">
      <c r="A162" s="5" t="s">
        <v>532</v>
      </c>
      <c r="B162" s="5" t="s">
        <v>367</v>
      </c>
      <c r="C162" s="5" t="s">
        <v>87</v>
      </c>
      <c r="D162" s="17">
        <v>44854.366666666669</v>
      </c>
      <c r="E162" s="5" t="s">
        <v>80</v>
      </c>
      <c r="F162" s="5" t="s">
        <v>340</v>
      </c>
      <c r="G162" s="17">
        <v>44854.366666666669</v>
      </c>
      <c r="H162" s="5" t="s">
        <v>82</v>
      </c>
      <c r="I162" s="5" t="s">
        <v>89</v>
      </c>
      <c r="J162" s="5" t="s">
        <v>84</v>
      </c>
      <c r="K162" s="19">
        <f ca="1">NOW()-Tabela4[[#This Row],[Data de abertura]]</f>
        <v>33.499721180553024</v>
      </c>
      <c r="L162" s="16">
        <f t="shared" ref="L162:L180" ca="1" si="5">NOW()-G162</f>
        <v>33.499721180553024</v>
      </c>
    </row>
    <row r="163" spans="1:12" x14ac:dyDescent="0.25">
      <c r="A163" s="5" t="s">
        <v>533</v>
      </c>
      <c r="B163" s="5" t="s">
        <v>509</v>
      </c>
      <c r="C163" s="5" t="s">
        <v>87</v>
      </c>
      <c r="D163" s="17">
        <v>44853.697222222225</v>
      </c>
      <c r="E163" s="5" t="s">
        <v>80</v>
      </c>
      <c r="F163" s="5" t="s">
        <v>340</v>
      </c>
      <c r="G163" s="17">
        <v>44853.697222222225</v>
      </c>
      <c r="H163" s="5" t="s">
        <v>82</v>
      </c>
      <c r="I163" s="5" t="s">
        <v>89</v>
      </c>
      <c r="J163" s="5" t="s">
        <v>84</v>
      </c>
      <c r="K163" s="19">
        <f ca="1">NOW()-Tabela4[[#This Row],[Data de abertura]]</f>
        <v>34.169165624996822</v>
      </c>
      <c r="L163" s="16">
        <f t="shared" ca="1" si="5"/>
        <v>34.169165624996822</v>
      </c>
    </row>
    <row r="164" spans="1:12" x14ac:dyDescent="0.25">
      <c r="A164" s="5" t="s">
        <v>534</v>
      </c>
      <c r="B164" s="5" t="s">
        <v>370</v>
      </c>
      <c r="C164" s="5" t="s">
        <v>87</v>
      </c>
      <c r="D164" s="17">
        <v>44853.682638888888</v>
      </c>
      <c r="E164" s="5" t="s">
        <v>80</v>
      </c>
      <c r="F164" s="5" t="s">
        <v>340</v>
      </c>
      <c r="G164" s="17">
        <v>44853.682638888888</v>
      </c>
      <c r="H164" s="5" t="s">
        <v>88</v>
      </c>
      <c r="I164" s="5" t="s">
        <v>89</v>
      </c>
      <c r="J164" s="5" t="s">
        <v>84</v>
      </c>
      <c r="K164" s="19">
        <f ca="1">NOW()-Tabela4[[#This Row],[Data de abertura]]</f>
        <v>34.183748958334036</v>
      </c>
      <c r="L164" s="16">
        <f t="shared" ca="1" si="5"/>
        <v>34.183748958334036</v>
      </c>
    </row>
    <row r="165" spans="1:12" x14ac:dyDescent="0.25">
      <c r="A165" s="5" t="s">
        <v>535</v>
      </c>
      <c r="B165" s="5" t="s">
        <v>358</v>
      </c>
      <c r="C165" s="5" t="s">
        <v>87</v>
      </c>
      <c r="D165" s="17">
        <v>44852.472222222219</v>
      </c>
      <c r="E165" s="5" t="s">
        <v>80</v>
      </c>
      <c r="F165" s="5" t="s">
        <v>340</v>
      </c>
      <c r="G165" s="17">
        <v>44852.472222222219</v>
      </c>
      <c r="H165" s="5" t="s">
        <v>82</v>
      </c>
      <c r="I165" s="5" t="s">
        <v>89</v>
      </c>
      <c r="J165" s="5" t="s">
        <v>84</v>
      </c>
      <c r="K165" s="19">
        <f ca="1">NOW()-Tabela4[[#This Row],[Data de abertura]]</f>
        <v>35.394165625002643</v>
      </c>
      <c r="L165" s="16">
        <f t="shared" ca="1" si="5"/>
        <v>35.394165625002643</v>
      </c>
    </row>
    <row r="166" spans="1:12" x14ac:dyDescent="0.25">
      <c r="A166" s="5" t="s">
        <v>536</v>
      </c>
      <c r="B166" s="5" t="s">
        <v>370</v>
      </c>
      <c r="C166" s="5" t="s">
        <v>87</v>
      </c>
      <c r="D166" s="17">
        <v>44852.460416666669</v>
      </c>
      <c r="E166" s="5" t="s">
        <v>80</v>
      </c>
      <c r="F166" s="5" t="s">
        <v>340</v>
      </c>
      <c r="G166" s="17">
        <v>44852.460416666669</v>
      </c>
      <c r="H166" s="5" t="s">
        <v>88</v>
      </c>
      <c r="I166" s="5" t="s">
        <v>89</v>
      </c>
      <c r="J166" s="5" t="s">
        <v>84</v>
      </c>
      <c r="K166" s="19">
        <f ca="1">NOW()-Tabela4[[#This Row],[Data de abertura]]</f>
        <v>35.405971180553024</v>
      </c>
      <c r="L166" s="16">
        <f t="shared" ca="1" si="5"/>
        <v>35.405971180553024</v>
      </c>
    </row>
    <row r="167" spans="1:12" ht="45" x14ac:dyDescent="0.25">
      <c r="A167" s="5" t="s">
        <v>537</v>
      </c>
      <c r="B167" s="5" t="s">
        <v>370</v>
      </c>
      <c r="C167" s="5" t="s">
        <v>87</v>
      </c>
      <c r="D167" s="17">
        <v>44851.597222222219</v>
      </c>
      <c r="E167" s="18" t="s">
        <v>265</v>
      </c>
      <c r="F167" s="5" t="s">
        <v>340</v>
      </c>
      <c r="G167" s="17">
        <v>44851.597222222219</v>
      </c>
      <c r="H167" s="5" t="s">
        <v>88</v>
      </c>
      <c r="I167" s="5" t="s">
        <v>89</v>
      </c>
      <c r="J167" s="5" t="s">
        <v>84</v>
      </c>
      <c r="K167" s="19">
        <f ca="1">NOW()-Tabela4[[#This Row],[Data de abertura]]</f>
        <v>36.269165625002643</v>
      </c>
      <c r="L167" s="16">
        <f t="shared" ca="1" si="5"/>
        <v>36.269165625002643</v>
      </c>
    </row>
    <row r="168" spans="1:12" x14ac:dyDescent="0.25">
      <c r="A168" s="5" t="s">
        <v>538</v>
      </c>
      <c r="B168" s="5" t="s">
        <v>358</v>
      </c>
      <c r="C168" s="5" t="s">
        <v>87</v>
      </c>
      <c r="D168" s="17">
        <v>44848.62222222222</v>
      </c>
      <c r="E168" s="5" t="s">
        <v>80</v>
      </c>
      <c r="F168" s="5" t="s">
        <v>340</v>
      </c>
      <c r="G168" s="17">
        <v>44848.62222222222</v>
      </c>
      <c r="H168" s="5" t="s">
        <v>82</v>
      </c>
      <c r="I168" s="5" t="s">
        <v>89</v>
      </c>
      <c r="J168" s="5" t="s">
        <v>84</v>
      </c>
      <c r="K168" s="19">
        <f ca="1">NOW()-Tabela4[[#This Row],[Data de abertura]]</f>
        <v>39.244165625001187</v>
      </c>
      <c r="L168" s="16">
        <f t="shared" ca="1" si="5"/>
        <v>39.244165625001187</v>
      </c>
    </row>
    <row r="169" spans="1:12" x14ac:dyDescent="0.25">
      <c r="A169" s="5" t="s">
        <v>539</v>
      </c>
      <c r="B169" s="5" t="s">
        <v>540</v>
      </c>
      <c r="C169" s="5" t="s">
        <v>87</v>
      </c>
      <c r="D169" s="17">
        <v>44848.381249999999</v>
      </c>
      <c r="E169" s="5" t="s">
        <v>80</v>
      </c>
      <c r="F169" s="5" t="s">
        <v>340</v>
      </c>
      <c r="G169" s="17">
        <v>44848.381249999999</v>
      </c>
      <c r="H169" s="5" t="s">
        <v>82</v>
      </c>
      <c r="I169" s="5" t="s">
        <v>89</v>
      </c>
      <c r="J169" s="5" t="s">
        <v>84</v>
      </c>
      <c r="K169" s="19">
        <f ca="1">NOW()-Tabela4[[#This Row],[Data de abertura]]</f>
        <v>39.485137847223086</v>
      </c>
      <c r="L169" s="16">
        <f t="shared" ca="1" si="5"/>
        <v>39.485137847223086</v>
      </c>
    </row>
    <row r="170" spans="1:12" x14ac:dyDescent="0.25">
      <c r="A170" s="5" t="s">
        <v>541</v>
      </c>
      <c r="B170" s="5" t="s">
        <v>339</v>
      </c>
      <c r="C170" s="5" t="s">
        <v>92</v>
      </c>
      <c r="D170" s="17">
        <v>44838.463194444441</v>
      </c>
      <c r="E170" s="5" t="s">
        <v>80</v>
      </c>
      <c r="F170" s="5" t="s">
        <v>340</v>
      </c>
      <c r="G170" s="17">
        <v>44847.673611111109</v>
      </c>
      <c r="H170" s="5" t="s">
        <v>82</v>
      </c>
      <c r="I170" s="5" t="s">
        <v>89</v>
      </c>
      <c r="J170" s="5" t="s">
        <v>84</v>
      </c>
      <c r="K170" s="19">
        <f ca="1">NOW()-Tabela4[[#This Row],[Data de abertura]]</f>
        <v>49.403193402780744</v>
      </c>
      <c r="L170" s="16">
        <f t="shared" ca="1" si="5"/>
        <v>40.192776736112137</v>
      </c>
    </row>
    <row r="171" spans="1:12" x14ac:dyDescent="0.25">
      <c r="A171" s="5" t="s">
        <v>542</v>
      </c>
      <c r="B171" s="5" t="s">
        <v>151</v>
      </c>
      <c r="C171" s="5" t="s">
        <v>92</v>
      </c>
      <c r="D171" s="17">
        <v>44847.396527777775</v>
      </c>
      <c r="E171" s="5" t="s">
        <v>80</v>
      </c>
      <c r="F171" s="5" t="s">
        <v>340</v>
      </c>
      <c r="G171" s="17">
        <v>44847.406944444447</v>
      </c>
      <c r="H171" s="5" t="s">
        <v>82</v>
      </c>
      <c r="I171" s="5" t="s">
        <v>89</v>
      </c>
      <c r="J171" s="5" t="s">
        <v>84</v>
      </c>
      <c r="K171" s="19">
        <f ca="1">NOW()-Tabela4[[#This Row],[Data de abertura]]</f>
        <v>40.46986006944644</v>
      </c>
      <c r="L171" s="16">
        <f t="shared" ca="1" si="5"/>
        <v>40.459443402774923</v>
      </c>
    </row>
    <row r="172" spans="1:12" x14ac:dyDescent="0.25">
      <c r="A172" s="5" t="s">
        <v>543</v>
      </c>
      <c r="B172" s="5" t="s">
        <v>370</v>
      </c>
      <c r="C172" s="5" t="s">
        <v>87</v>
      </c>
      <c r="D172" s="17">
        <v>44845.756249999999</v>
      </c>
      <c r="E172" s="5" t="s">
        <v>80</v>
      </c>
      <c r="F172" s="5" t="s">
        <v>340</v>
      </c>
      <c r="G172" s="17">
        <v>44845.756249999999</v>
      </c>
      <c r="H172" s="5" t="s">
        <v>88</v>
      </c>
      <c r="I172" s="5" t="s">
        <v>89</v>
      </c>
      <c r="J172" s="5" t="s">
        <v>84</v>
      </c>
      <c r="K172" s="19">
        <f ca="1">NOW()-Tabela4[[#This Row],[Data de abertura]]</f>
        <v>42.110137847223086</v>
      </c>
      <c r="L172" s="16">
        <f t="shared" ca="1" si="5"/>
        <v>42.110137847223086</v>
      </c>
    </row>
    <row r="173" spans="1:12" x14ac:dyDescent="0.25">
      <c r="A173" s="5" t="s">
        <v>544</v>
      </c>
      <c r="B173" s="5" t="s">
        <v>370</v>
      </c>
      <c r="C173" s="5" t="s">
        <v>87</v>
      </c>
      <c r="D173" s="17">
        <v>44844.680555555555</v>
      </c>
      <c r="E173" s="5" t="s">
        <v>80</v>
      </c>
      <c r="F173" s="5" t="s">
        <v>340</v>
      </c>
      <c r="G173" s="17">
        <v>44844.680555555555</v>
      </c>
      <c r="H173" s="5" t="s">
        <v>88</v>
      </c>
      <c r="I173" s="5" t="s">
        <v>89</v>
      </c>
      <c r="J173" s="5" t="s">
        <v>84</v>
      </c>
      <c r="K173" s="19">
        <f ca="1">NOW()-Tabela4[[#This Row],[Data de abertura]]</f>
        <v>43.185832291666884</v>
      </c>
      <c r="L173" s="16">
        <f t="shared" ca="1" si="5"/>
        <v>43.185832291666884</v>
      </c>
    </row>
    <row r="174" spans="1:12" ht="30" x14ac:dyDescent="0.25">
      <c r="A174" s="5" t="s">
        <v>545</v>
      </c>
      <c r="B174" s="5" t="s">
        <v>546</v>
      </c>
      <c r="C174" s="5" t="s">
        <v>92</v>
      </c>
      <c r="D174" s="17">
        <v>44825.767361111109</v>
      </c>
      <c r="E174" s="18" t="s">
        <v>173</v>
      </c>
      <c r="F174" s="5" t="s">
        <v>340</v>
      </c>
      <c r="G174" s="17">
        <v>44838.643750000003</v>
      </c>
      <c r="H174" s="5" t="s">
        <v>88</v>
      </c>
      <c r="I174" s="5" t="s">
        <v>89</v>
      </c>
      <c r="J174" s="5" t="s">
        <v>84</v>
      </c>
      <c r="K174" s="19">
        <f ca="1">NOW()-Tabela4[[#This Row],[Data de abertura]]</f>
        <v>62.099026736112137</v>
      </c>
      <c r="L174" s="16">
        <f t="shared" ca="1" si="5"/>
        <v>49.222637847218721</v>
      </c>
    </row>
    <row r="175" spans="1:12" x14ac:dyDescent="0.25">
      <c r="A175" s="5" t="s">
        <v>547</v>
      </c>
      <c r="B175" s="5" t="s">
        <v>358</v>
      </c>
      <c r="C175" s="5" t="s">
        <v>92</v>
      </c>
      <c r="D175" s="17">
        <v>44663.481944444444</v>
      </c>
      <c r="E175" s="5" t="s">
        <v>80</v>
      </c>
      <c r="F175" s="5" t="s">
        <v>340</v>
      </c>
      <c r="G175" s="17">
        <v>44838.640972222223</v>
      </c>
      <c r="H175" s="5" t="s">
        <v>82</v>
      </c>
      <c r="I175" s="5" t="s">
        <v>89</v>
      </c>
      <c r="J175" s="5" t="s">
        <v>84</v>
      </c>
      <c r="K175" s="19">
        <f ca="1">NOW()-Tabela4[[#This Row],[Data de abertura]]</f>
        <v>224.38444340277783</v>
      </c>
      <c r="L175" s="16">
        <f t="shared" ca="1" si="5"/>
        <v>49.225415624998277</v>
      </c>
    </row>
    <row r="176" spans="1:12" x14ac:dyDescent="0.25">
      <c r="A176" s="5" t="s">
        <v>548</v>
      </c>
      <c r="B176" s="5" t="s">
        <v>416</v>
      </c>
      <c r="C176" s="5" t="s">
        <v>92</v>
      </c>
      <c r="D176" s="17">
        <v>44832.62222222222</v>
      </c>
      <c r="E176" s="5" t="s">
        <v>80</v>
      </c>
      <c r="F176" s="5" t="s">
        <v>340</v>
      </c>
      <c r="G176" s="17">
        <v>44838.63958333333</v>
      </c>
      <c r="H176" s="5" t="s">
        <v>82</v>
      </c>
      <c r="I176" s="5" t="s">
        <v>89</v>
      </c>
      <c r="J176" s="5" t="s">
        <v>84</v>
      </c>
      <c r="K176" s="19">
        <f ca="1">NOW()-Tabela4[[#This Row],[Data de abertura]]</f>
        <v>55.244165625001187</v>
      </c>
      <c r="L176" s="16">
        <f t="shared" ca="1" si="5"/>
        <v>49.226804513891693</v>
      </c>
    </row>
    <row r="177" spans="1:12" x14ac:dyDescent="0.25">
      <c r="A177" s="5" t="s">
        <v>549</v>
      </c>
      <c r="B177" s="5" t="s">
        <v>339</v>
      </c>
      <c r="C177" s="5" t="s">
        <v>92</v>
      </c>
      <c r="D177" s="17">
        <v>44713.656944444447</v>
      </c>
      <c r="E177" s="5" t="s">
        <v>80</v>
      </c>
      <c r="F177" s="5" t="s">
        <v>340</v>
      </c>
      <c r="G177" s="17">
        <v>44830.525694444441</v>
      </c>
      <c r="H177" s="5" t="s">
        <v>82</v>
      </c>
      <c r="I177" s="5" t="s">
        <v>89</v>
      </c>
      <c r="J177" s="5" t="s">
        <v>84</v>
      </c>
      <c r="K177" s="19">
        <f ca="1">NOW()-Tabela4[[#This Row],[Data de abertura]]</f>
        <v>174.20944340277492</v>
      </c>
      <c r="L177" s="16">
        <f t="shared" ca="1" si="5"/>
        <v>57.340693402780744</v>
      </c>
    </row>
    <row r="178" spans="1:12" ht="45" x14ac:dyDescent="0.25">
      <c r="A178" s="5" t="s">
        <v>550</v>
      </c>
      <c r="B178" s="5" t="s">
        <v>551</v>
      </c>
      <c r="C178" s="5" t="s">
        <v>92</v>
      </c>
      <c r="D178" s="17">
        <v>44817.543055555558</v>
      </c>
      <c r="E178" s="18" t="s">
        <v>265</v>
      </c>
      <c r="F178" s="5" t="s">
        <v>340</v>
      </c>
      <c r="G178" s="17">
        <v>44823.375694444447</v>
      </c>
      <c r="H178" s="5" t="s">
        <v>82</v>
      </c>
      <c r="I178" s="5" t="s">
        <v>89</v>
      </c>
      <c r="J178" s="5" t="s">
        <v>84</v>
      </c>
      <c r="K178" s="19">
        <f ca="1">NOW()-Tabela4[[#This Row],[Data de abertura]]</f>
        <v>70.323332291663974</v>
      </c>
      <c r="L178" s="16">
        <f t="shared" ca="1" si="5"/>
        <v>64.490693402774923</v>
      </c>
    </row>
    <row r="179" spans="1:12" ht="45" x14ac:dyDescent="0.25">
      <c r="A179" s="5" t="s">
        <v>552</v>
      </c>
      <c r="B179" s="5" t="s">
        <v>551</v>
      </c>
      <c r="C179" s="5" t="s">
        <v>92</v>
      </c>
      <c r="D179" s="17">
        <v>44817.54583333333</v>
      </c>
      <c r="E179" s="18" t="s">
        <v>265</v>
      </c>
      <c r="F179" s="5" t="s">
        <v>340</v>
      </c>
      <c r="G179" s="17">
        <v>44823.375694444447</v>
      </c>
      <c r="H179" s="5" t="s">
        <v>82</v>
      </c>
      <c r="I179" s="5" t="s">
        <v>89</v>
      </c>
      <c r="J179" s="5" t="s">
        <v>84</v>
      </c>
      <c r="K179" s="19">
        <f ca="1">NOW()-Tabela4[[#This Row],[Data de abertura]]</f>
        <v>70.320554513891693</v>
      </c>
      <c r="L179" s="16">
        <f t="shared" ca="1" si="5"/>
        <v>64.490693402774923</v>
      </c>
    </row>
    <row r="180" spans="1:12" ht="45" x14ac:dyDescent="0.25">
      <c r="A180" s="5" t="s">
        <v>553</v>
      </c>
      <c r="B180" s="5" t="s">
        <v>551</v>
      </c>
      <c r="C180" s="5" t="s">
        <v>92</v>
      </c>
      <c r="D180" s="17">
        <v>44776.556944444441</v>
      </c>
      <c r="E180" s="18" t="s">
        <v>265</v>
      </c>
      <c r="F180" s="5" t="s">
        <v>340</v>
      </c>
      <c r="G180" s="17">
        <v>44803.625694444447</v>
      </c>
      <c r="H180" s="5" t="s">
        <v>82</v>
      </c>
      <c r="I180" s="5" t="s">
        <v>89</v>
      </c>
      <c r="J180" s="5" t="s">
        <v>84</v>
      </c>
      <c r="K180" s="19">
        <f ca="1">NOW()-Tabela4[[#This Row],[Data de abertura]]</f>
        <v>111.30944340278074</v>
      </c>
      <c r="L180" s="16">
        <f t="shared" ca="1" si="5"/>
        <v>84.240693402774923</v>
      </c>
    </row>
    <row r="182" spans="1:12" x14ac:dyDescent="0.25">
      <c r="A182" s="3" t="s">
        <v>554</v>
      </c>
    </row>
    <row r="183" spans="1:12" x14ac:dyDescent="0.25">
      <c r="A183" s="3" t="s">
        <v>34</v>
      </c>
    </row>
    <row r="184" spans="1:12" x14ac:dyDescent="0.25">
      <c r="A184" s="4">
        <v>44693</v>
      </c>
    </row>
  </sheetData>
  <sheetProtection algorithmName="SHA-512" hashValue="hRFjlwC9udlUINFHrRU4tMUm9U3Ga2R51ZYV7g+flDXn9ZEOeQihG8dF7sv+T+tfgU61tEoaLridIFm90hIDHQ==" saltValue="cM3XASrSL5ZGRZjUVIpA3g==" spinCount="100000" sheet="1" objects="1" scenarios="1" insertColumns="0" insertRows="0" insertHyperlinks="0" deleteColumns="0" deleteRows="0" selectLockedCell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Q57"/>
  <sheetViews>
    <sheetView showGridLines="0" tabSelected="1" zoomScaleNormal="100" workbookViewId="0"/>
  </sheetViews>
  <sheetFormatPr defaultRowHeight="15" x14ac:dyDescent="0.25"/>
  <cols>
    <col min="1" max="1" width="85.85546875" style="5" bestFit="1" customWidth="1"/>
    <col min="2" max="2" width="30.5703125" style="5" customWidth="1"/>
    <col min="3" max="3" width="18.5703125" style="5" customWidth="1"/>
    <col min="4" max="4" width="25.140625" style="5" customWidth="1"/>
    <col min="5" max="6" width="1.7109375" style="5" customWidth="1"/>
    <col min="7" max="7" width="69.7109375" style="5" bestFit="1" customWidth="1"/>
    <col min="8" max="8" width="25.85546875" style="5" customWidth="1"/>
    <col min="9" max="9" width="18.5703125" style="5" customWidth="1"/>
    <col min="10" max="10" width="25.140625" style="5" customWidth="1"/>
    <col min="11" max="11" width="1.7109375" style="5" customWidth="1"/>
    <col min="12" max="12" width="65.85546875" style="5" bestFit="1" customWidth="1"/>
    <col min="13" max="13" width="25.85546875" style="5" customWidth="1"/>
    <col min="14" max="14" width="18.5703125" style="5" customWidth="1"/>
    <col min="15" max="15" width="25.140625" style="5" customWidth="1"/>
    <col min="16" max="16" width="9.140625" style="5"/>
    <col min="17" max="17" width="16.7109375" style="5" bestFit="1" customWidth="1"/>
    <col min="18" max="16384" width="9.140625" style="5"/>
  </cols>
  <sheetData>
    <row r="2" spans="1:17" x14ac:dyDescent="0.25">
      <c r="A2" s="23" t="s">
        <v>22</v>
      </c>
      <c r="B2" s="24" t="s">
        <v>20</v>
      </c>
      <c r="C2" s="24" t="s">
        <v>19</v>
      </c>
      <c r="D2" s="24" t="s">
        <v>21</v>
      </c>
      <c r="G2" s="23" t="s">
        <v>24</v>
      </c>
      <c r="H2" s="24" t="s">
        <v>23</v>
      </c>
      <c r="I2" s="24" t="s">
        <v>19</v>
      </c>
      <c r="J2" s="24" t="s">
        <v>21</v>
      </c>
      <c r="L2" s="23" t="s">
        <v>25</v>
      </c>
      <c r="M2" s="24" t="s">
        <v>23</v>
      </c>
      <c r="N2" s="24" t="s">
        <v>19</v>
      </c>
      <c r="O2" s="24" t="s">
        <v>21</v>
      </c>
    </row>
    <row r="3" spans="1:17" x14ac:dyDescent="0.25">
      <c r="A3" s="20" t="s">
        <v>71</v>
      </c>
      <c r="B3" s="21">
        <v>9</v>
      </c>
      <c r="C3" s="22">
        <v>734.85803240740745</v>
      </c>
      <c r="D3" s="22">
        <v>43.858032407407407</v>
      </c>
      <c r="G3" s="20" t="s">
        <v>134</v>
      </c>
      <c r="H3" s="21">
        <v>12</v>
      </c>
      <c r="I3" s="22">
        <v>61.199004629629627</v>
      </c>
      <c r="J3" s="22">
        <v>39.091365740740741</v>
      </c>
      <c r="L3" s="20" t="s">
        <v>358</v>
      </c>
      <c r="M3" s="21">
        <v>25</v>
      </c>
      <c r="N3" s="22">
        <v>224.37608796296297</v>
      </c>
      <c r="O3" s="22">
        <v>49.217060185185183</v>
      </c>
      <c r="Q3" s="3" t="s">
        <v>554</v>
      </c>
    </row>
    <row r="4" spans="1:17" x14ac:dyDescent="0.25">
      <c r="A4" s="20" t="s">
        <v>30</v>
      </c>
      <c r="B4" s="21">
        <v>43</v>
      </c>
      <c r="C4" s="22">
        <v>103.85803240740741</v>
      </c>
      <c r="D4" s="22">
        <v>71.858032407407407</v>
      </c>
      <c r="G4" s="20" t="s">
        <v>121</v>
      </c>
      <c r="H4" s="21">
        <v>2</v>
      </c>
      <c r="I4" s="22">
        <v>57.390671296296297</v>
      </c>
      <c r="J4" s="22">
        <v>11.196226851851852</v>
      </c>
      <c r="L4" s="20" t="s">
        <v>339</v>
      </c>
      <c r="M4" s="21">
        <v>22</v>
      </c>
      <c r="N4" s="22">
        <v>174.20108796296296</v>
      </c>
      <c r="O4" s="22">
        <v>57.33233796296296</v>
      </c>
      <c r="Q4" s="3" t="s">
        <v>34</v>
      </c>
    </row>
    <row r="5" spans="1:17" x14ac:dyDescent="0.25">
      <c r="A5" s="20" t="s">
        <v>18</v>
      </c>
      <c r="B5" s="21">
        <v>52</v>
      </c>
      <c r="C5" s="22">
        <v>734.85803240740745</v>
      </c>
      <c r="D5" s="22">
        <v>71.858032407407407</v>
      </c>
      <c r="G5" s="20" t="s">
        <v>86</v>
      </c>
      <c r="H5" s="21">
        <v>10</v>
      </c>
      <c r="I5" s="22">
        <v>53.481643518518517</v>
      </c>
      <c r="J5" s="22">
        <v>49.371226851851851</v>
      </c>
      <c r="L5" s="20" t="s">
        <v>372</v>
      </c>
      <c r="M5" s="21">
        <v>7</v>
      </c>
      <c r="N5" s="22">
        <v>144.49831018518518</v>
      </c>
      <c r="O5" s="22">
        <v>19.383726851851851</v>
      </c>
      <c r="Q5" s="4">
        <v>44693</v>
      </c>
    </row>
    <row r="6" spans="1:17" x14ac:dyDescent="0.25">
      <c r="G6" s="20" t="s">
        <v>208</v>
      </c>
      <c r="H6" s="21">
        <v>1</v>
      </c>
      <c r="I6" s="22">
        <v>49.187199074074073</v>
      </c>
      <c r="J6" s="22">
        <v>3.4024768518518518</v>
      </c>
      <c r="L6" s="20" t="s">
        <v>551</v>
      </c>
      <c r="M6" s="21">
        <v>3</v>
      </c>
      <c r="N6" s="22">
        <v>111.30108796296297</v>
      </c>
      <c r="O6" s="22">
        <v>84.232337962962958</v>
      </c>
    </row>
    <row r="7" spans="1:17" x14ac:dyDescent="0.25">
      <c r="G7" s="20" t="s">
        <v>220</v>
      </c>
      <c r="H7" s="21">
        <v>1</v>
      </c>
      <c r="I7" s="22">
        <v>47.425393518518518</v>
      </c>
      <c r="J7" s="22">
        <v>4.5413657407407406</v>
      </c>
      <c r="L7" s="20" t="s">
        <v>347</v>
      </c>
      <c r="M7" s="21">
        <v>9</v>
      </c>
      <c r="N7" s="22">
        <v>78.155949074074073</v>
      </c>
      <c r="O7" s="22">
        <v>18.478865740740741</v>
      </c>
    </row>
    <row r="8" spans="1:17" x14ac:dyDescent="0.25">
      <c r="G8" s="20" t="s">
        <v>335</v>
      </c>
      <c r="H8" s="21">
        <v>1</v>
      </c>
      <c r="I8" s="22">
        <v>35.445532407407406</v>
      </c>
      <c r="J8" s="22">
        <v>35.174004629629628</v>
      </c>
      <c r="L8" s="20" t="s">
        <v>151</v>
      </c>
      <c r="M8" s="21">
        <v>7</v>
      </c>
      <c r="N8" s="22">
        <v>64.171226851851856</v>
      </c>
      <c r="O8" s="22">
        <v>40.451087962962966</v>
      </c>
    </row>
    <row r="9" spans="1:17" x14ac:dyDescent="0.25">
      <c r="G9" s="20" t="s">
        <v>151</v>
      </c>
      <c r="H9" s="21">
        <v>21</v>
      </c>
      <c r="I9" s="22">
        <v>34.219143518518521</v>
      </c>
      <c r="J9" s="22">
        <v>28.444837962962964</v>
      </c>
      <c r="L9" s="20" t="s">
        <v>349</v>
      </c>
      <c r="M9" s="21">
        <v>8</v>
      </c>
      <c r="N9" s="22">
        <v>62.316365740740743</v>
      </c>
      <c r="O9" s="22">
        <v>18.444143518518519</v>
      </c>
    </row>
    <row r="10" spans="1:17" x14ac:dyDescent="0.25">
      <c r="G10" s="20" t="s">
        <v>328</v>
      </c>
      <c r="H10" s="21">
        <v>1</v>
      </c>
      <c r="I10" s="22">
        <v>25.250393518518518</v>
      </c>
      <c r="J10" s="22">
        <v>22.271226851851853</v>
      </c>
      <c r="L10" s="20" t="s">
        <v>546</v>
      </c>
      <c r="M10" s="21">
        <v>1</v>
      </c>
      <c r="N10" s="22">
        <v>62.090671296296293</v>
      </c>
      <c r="O10" s="22">
        <v>49.21428240740741</v>
      </c>
    </row>
    <row r="11" spans="1:17" x14ac:dyDescent="0.25">
      <c r="G11" s="20" t="s">
        <v>325</v>
      </c>
      <c r="H11" s="21">
        <v>1</v>
      </c>
      <c r="I11" s="22">
        <v>25.219143518518518</v>
      </c>
      <c r="J11" s="22">
        <v>21.386504629629631</v>
      </c>
      <c r="L11" s="20" t="s">
        <v>370</v>
      </c>
      <c r="M11" s="21">
        <v>23</v>
      </c>
      <c r="N11" s="22">
        <v>57.520532407407408</v>
      </c>
      <c r="O11" s="22">
        <v>43.17747685185185</v>
      </c>
    </row>
    <row r="12" spans="1:17" x14ac:dyDescent="0.25">
      <c r="G12" s="20" t="s">
        <v>243</v>
      </c>
      <c r="H12" s="21">
        <v>6</v>
      </c>
      <c r="I12" s="22">
        <v>22.17886574074074</v>
      </c>
      <c r="J12" s="22">
        <v>6.1628935185185183</v>
      </c>
      <c r="L12" s="20" t="s">
        <v>468</v>
      </c>
      <c r="M12" s="21">
        <v>2</v>
      </c>
      <c r="N12" s="22">
        <v>55.447615740740744</v>
      </c>
      <c r="O12" s="22">
        <v>18.416365740740741</v>
      </c>
    </row>
    <row r="13" spans="1:17" x14ac:dyDescent="0.25">
      <c r="G13" s="20" t="s">
        <v>322</v>
      </c>
      <c r="H13" s="21">
        <v>1</v>
      </c>
      <c r="I13" s="22">
        <v>21.246226851851851</v>
      </c>
      <c r="J13" s="22">
        <v>21.246226851851851</v>
      </c>
      <c r="L13" s="20" t="s">
        <v>86</v>
      </c>
      <c r="M13" s="21">
        <v>1</v>
      </c>
      <c r="N13" s="22">
        <v>55.326087962962966</v>
      </c>
      <c r="O13" s="22">
        <v>13.404560185185185</v>
      </c>
    </row>
    <row r="14" spans="1:17" x14ac:dyDescent="0.25">
      <c r="G14" s="20" t="s">
        <v>283</v>
      </c>
      <c r="H14" s="21">
        <v>1</v>
      </c>
      <c r="I14" s="22">
        <v>19.224004629629629</v>
      </c>
      <c r="J14" s="22">
        <v>12.271921296296297</v>
      </c>
      <c r="L14" s="20" t="s">
        <v>416</v>
      </c>
      <c r="M14" s="21">
        <v>2</v>
      </c>
      <c r="N14" s="22">
        <v>55.235810185185187</v>
      </c>
      <c r="O14" s="22">
        <v>49.218449074074073</v>
      </c>
    </row>
    <row r="15" spans="1:17" x14ac:dyDescent="0.25">
      <c r="G15" s="20" t="s">
        <v>224</v>
      </c>
      <c r="H15" s="21">
        <v>3</v>
      </c>
      <c r="I15" s="22">
        <v>19.190671296296298</v>
      </c>
      <c r="J15" s="22">
        <v>19.096226851851853</v>
      </c>
      <c r="L15" s="20" t="s">
        <v>411</v>
      </c>
      <c r="M15" s="21">
        <v>4</v>
      </c>
      <c r="N15" s="22">
        <v>53.52122685185185</v>
      </c>
      <c r="O15" s="22">
        <v>25.508032407407406</v>
      </c>
    </row>
    <row r="16" spans="1:17" x14ac:dyDescent="0.25">
      <c r="G16" s="20" t="s">
        <v>146</v>
      </c>
      <c r="H16" s="21">
        <v>10</v>
      </c>
      <c r="I16" s="22">
        <v>19.14900462962963</v>
      </c>
      <c r="J16" s="22">
        <v>19.14900462962963</v>
      </c>
      <c r="L16" s="20" t="s">
        <v>363</v>
      </c>
      <c r="M16" s="21">
        <v>2</v>
      </c>
      <c r="N16" s="22">
        <v>42.526087962962961</v>
      </c>
      <c r="O16" s="22">
        <v>6.2524768518518519</v>
      </c>
    </row>
    <row r="17" spans="7:15" x14ac:dyDescent="0.25">
      <c r="G17" s="20" t="s">
        <v>107</v>
      </c>
      <c r="H17" s="21">
        <v>13</v>
      </c>
      <c r="I17" s="22">
        <v>18.373310185185186</v>
      </c>
      <c r="J17" s="22">
        <v>12.271921296296297</v>
      </c>
      <c r="L17" s="20" t="s">
        <v>406</v>
      </c>
      <c r="M17" s="21">
        <v>3</v>
      </c>
      <c r="N17" s="22">
        <v>42.36775462962963</v>
      </c>
      <c r="O17" s="22">
        <v>12.275393518518518</v>
      </c>
    </row>
    <row r="18" spans="7:15" x14ac:dyDescent="0.25">
      <c r="G18" s="20" t="s">
        <v>259</v>
      </c>
      <c r="H18" s="21">
        <v>3</v>
      </c>
      <c r="I18" s="22">
        <v>15.521226851851852</v>
      </c>
      <c r="J18" s="22">
        <v>15.521226851851852</v>
      </c>
      <c r="L18" s="20" t="s">
        <v>540</v>
      </c>
      <c r="M18" s="21">
        <v>1</v>
      </c>
      <c r="N18" s="22">
        <v>39.476782407407406</v>
      </c>
      <c r="O18" s="22">
        <v>39.476782407407406</v>
      </c>
    </row>
    <row r="19" spans="7:15" x14ac:dyDescent="0.25">
      <c r="G19" s="20" t="s">
        <v>309</v>
      </c>
      <c r="H19" s="21">
        <v>1</v>
      </c>
      <c r="I19" s="22">
        <v>15.373310185185185</v>
      </c>
      <c r="J19" s="22">
        <v>15.02400462962963</v>
      </c>
      <c r="L19" s="20" t="s">
        <v>509</v>
      </c>
      <c r="M19" s="21">
        <v>2</v>
      </c>
      <c r="N19" s="22">
        <v>34.160810185185184</v>
      </c>
      <c r="O19" s="22">
        <v>34.160810185185184</v>
      </c>
    </row>
    <row r="20" spans="7:15" x14ac:dyDescent="0.25">
      <c r="G20" s="20" t="s">
        <v>110</v>
      </c>
      <c r="H20" s="21">
        <v>11</v>
      </c>
      <c r="I20" s="22">
        <v>15.287893518518519</v>
      </c>
      <c r="J20" s="22">
        <v>10.403865740740741</v>
      </c>
      <c r="L20" s="20" t="s">
        <v>367</v>
      </c>
      <c r="M20" s="21">
        <v>6</v>
      </c>
      <c r="N20" s="22">
        <v>33.49136574074074</v>
      </c>
      <c r="O20" s="22">
        <v>33.49136574074074</v>
      </c>
    </row>
    <row r="21" spans="7:15" x14ac:dyDescent="0.25">
      <c r="G21" s="20" t="s">
        <v>142</v>
      </c>
      <c r="H21" s="21">
        <v>3</v>
      </c>
      <c r="I21" s="22">
        <v>15.264282407407407</v>
      </c>
      <c r="J21" s="22">
        <v>0.48372685185185182</v>
      </c>
      <c r="L21" s="20" t="s">
        <v>156</v>
      </c>
      <c r="M21" s="21">
        <v>1</v>
      </c>
      <c r="N21" s="22">
        <v>33.36914351851852</v>
      </c>
      <c r="O21" s="22">
        <v>33.157337962962963</v>
      </c>
    </row>
    <row r="22" spans="7:15" x14ac:dyDescent="0.25">
      <c r="G22" s="20" t="s">
        <v>196</v>
      </c>
      <c r="H22" s="21">
        <v>2</v>
      </c>
      <c r="I22" s="22">
        <v>15.228865740740741</v>
      </c>
      <c r="J22" s="22">
        <v>15.21150462962963</v>
      </c>
      <c r="L22" s="20" t="s">
        <v>447</v>
      </c>
      <c r="M22" s="21">
        <v>1</v>
      </c>
      <c r="N22" s="22">
        <v>29.383726851851851</v>
      </c>
      <c r="O22" s="22">
        <v>11.433726851851851</v>
      </c>
    </row>
    <row r="23" spans="7:15" x14ac:dyDescent="0.25">
      <c r="G23" s="20" t="s">
        <v>172</v>
      </c>
      <c r="H23" s="21">
        <v>3</v>
      </c>
      <c r="I23" s="22">
        <v>15.199004629629629</v>
      </c>
      <c r="J23" s="22">
        <v>15.199004629629629</v>
      </c>
      <c r="L23" s="20" t="s">
        <v>208</v>
      </c>
      <c r="M23" s="21">
        <v>4</v>
      </c>
      <c r="N23" s="22">
        <v>28.46289351851852</v>
      </c>
      <c r="O23" s="22">
        <v>28.46289351851852</v>
      </c>
    </row>
    <row r="24" spans="7:15" x14ac:dyDescent="0.25">
      <c r="G24" s="20" t="s">
        <v>232</v>
      </c>
      <c r="H24" s="21">
        <v>4</v>
      </c>
      <c r="I24" s="22">
        <v>15.151782407407408</v>
      </c>
      <c r="J24" s="22">
        <v>13.473310185185186</v>
      </c>
      <c r="L24" s="20" t="s">
        <v>397</v>
      </c>
      <c r="M24" s="21">
        <v>3</v>
      </c>
      <c r="N24" s="22">
        <v>28.184421296296296</v>
      </c>
      <c r="O24" s="22">
        <v>27.292060185185186</v>
      </c>
    </row>
    <row r="25" spans="7:15" x14ac:dyDescent="0.25">
      <c r="G25" s="20" t="s">
        <v>211</v>
      </c>
      <c r="H25" s="21">
        <v>3</v>
      </c>
      <c r="I25" s="22">
        <v>14.455949074074073</v>
      </c>
      <c r="J25" s="22">
        <v>14.454560185185185</v>
      </c>
      <c r="L25" s="20" t="s">
        <v>283</v>
      </c>
      <c r="M25" s="21">
        <v>1</v>
      </c>
      <c r="N25" s="22">
        <v>26.349004629629629</v>
      </c>
      <c r="O25" s="22">
        <v>26.320532407407406</v>
      </c>
    </row>
    <row r="26" spans="7:15" x14ac:dyDescent="0.25">
      <c r="G26" s="20" t="s">
        <v>95</v>
      </c>
      <c r="H26" s="21">
        <v>2</v>
      </c>
      <c r="I26" s="22">
        <v>14.442060185185186</v>
      </c>
      <c r="J26" s="22">
        <v>14.439976851851853</v>
      </c>
      <c r="L26" s="20" t="s">
        <v>517</v>
      </c>
      <c r="M26" s="21">
        <v>1</v>
      </c>
      <c r="N26" s="22">
        <v>26.269837962962963</v>
      </c>
      <c r="O26" s="22">
        <v>21.237893518518518</v>
      </c>
    </row>
    <row r="27" spans="7:15" x14ac:dyDescent="0.25">
      <c r="G27" s="20" t="s">
        <v>103</v>
      </c>
      <c r="H27" s="21">
        <v>9</v>
      </c>
      <c r="I27" s="22">
        <v>14.304560185185185</v>
      </c>
      <c r="J27" s="22">
        <v>1.5212268518518517</v>
      </c>
      <c r="L27" s="20" t="s">
        <v>335</v>
      </c>
      <c r="M27" s="21">
        <v>1</v>
      </c>
      <c r="N27" s="22">
        <v>21.517754629629628</v>
      </c>
      <c r="O27" s="22">
        <v>4.4392824074074078</v>
      </c>
    </row>
    <row r="28" spans="7:15" x14ac:dyDescent="0.25">
      <c r="G28" s="20" t="s">
        <v>295</v>
      </c>
      <c r="H28" s="21">
        <v>1</v>
      </c>
      <c r="I28" s="22">
        <v>13.487893518518518</v>
      </c>
      <c r="J28" s="22">
        <v>13.444143518518519</v>
      </c>
      <c r="L28" s="20" t="s">
        <v>232</v>
      </c>
      <c r="M28" s="21">
        <v>1</v>
      </c>
      <c r="N28" s="22">
        <v>21.376782407407408</v>
      </c>
      <c r="O28" s="22">
        <v>18.506643518518519</v>
      </c>
    </row>
    <row r="29" spans="7:15" x14ac:dyDescent="0.25">
      <c r="G29" s="20" t="s">
        <v>218</v>
      </c>
      <c r="H29" s="21">
        <v>2</v>
      </c>
      <c r="I29" s="22">
        <v>13.142060185185185</v>
      </c>
      <c r="J29" s="22">
        <v>12.17261574074074</v>
      </c>
      <c r="L29" s="20" t="s">
        <v>435</v>
      </c>
      <c r="M29" s="21">
        <v>3</v>
      </c>
      <c r="N29" s="22">
        <v>19.535810185185184</v>
      </c>
      <c r="O29" s="22">
        <v>19.535810185185184</v>
      </c>
    </row>
    <row r="30" spans="7:15" x14ac:dyDescent="0.25">
      <c r="G30" s="20" t="s">
        <v>97</v>
      </c>
      <c r="H30" s="21">
        <v>2</v>
      </c>
      <c r="I30" s="22">
        <v>12.429560185185185</v>
      </c>
      <c r="J30" s="22">
        <v>0.21775462962962963</v>
      </c>
      <c r="L30" s="20" t="s">
        <v>475</v>
      </c>
      <c r="M30" s="21">
        <v>2</v>
      </c>
      <c r="N30" s="22">
        <v>19.482337962962962</v>
      </c>
      <c r="O30" s="22">
        <v>19.482337962962962</v>
      </c>
    </row>
    <row r="31" spans="7:15" x14ac:dyDescent="0.25">
      <c r="G31" s="20" t="s">
        <v>138</v>
      </c>
      <c r="H31" s="21">
        <v>3</v>
      </c>
      <c r="I31" s="22">
        <v>12.383726851851852</v>
      </c>
      <c r="J31" s="22">
        <v>12.383726851851852</v>
      </c>
      <c r="L31" s="20" t="s">
        <v>351</v>
      </c>
      <c r="M31" s="21">
        <v>3</v>
      </c>
      <c r="N31" s="22">
        <v>18.231643518518517</v>
      </c>
      <c r="O31" s="22">
        <v>14.556643518518518</v>
      </c>
    </row>
    <row r="32" spans="7:15" x14ac:dyDescent="0.25">
      <c r="G32" s="20" t="s">
        <v>116</v>
      </c>
      <c r="H32" s="21">
        <v>2</v>
      </c>
      <c r="I32" s="22">
        <v>12.190671296296296</v>
      </c>
      <c r="J32" s="22">
        <v>6.5267824074074072</v>
      </c>
      <c r="L32" s="20" t="s">
        <v>360</v>
      </c>
      <c r="M32" s="21">
        <v>2</v>
      </c>
      <c r="N32" s="22">
        <v>15.485810185185185</v>
      </c>
      <c r="O32" s="22">
        <v>15.485810185185185</v>
      </c>
    </row>
    <row r="33" spans="7:15" x14ac:dyDescent="0.25">
      <c r="G33" s="20" t="s">
        <v>78</v>
      </c>
      <c r="H33" s="21">
        <v>9</v>
      </c>
      <c r="I33" s="22">
        <v>11.506643518518519</v>
      </c>
      <c r="J33" s="22">
        <v>11.146226851851852</v>
      </c>
      <c r="L33" s="20" t="s">
        <v>134</v>
      </c>
      <c r="M33" s="21">
        <v>1</v>
      </c>
      <c r="N33" s="22">
        <v>15.163587962962962</v>
      </c>
      <c r="O33" s="22">
        <v>4.274699074074074</v>
      </c>
    </row>
    <row r="34" spans="7:15" x14ac:dyDescent="0.25">
      <c r="G34" s="20" t="s">
        <v>112</v>
      </c>
      <c r="H34" s="21">
        <v>3</v>
      </c>
      <c r="I34" s="22">
        <v>11.480949074074074</v>
      </c>
      <c r="J34" s="22">
        <v>11.296921296296297</v>
      </c>
      <c r="L34" s="20" t="s">
        <v>175</v>
      </c>
      <c r="M34" s="21">
        <v>2</v>
      </c>
      <c r="N34" s="22">
        <v>15.119143518518518</v>
      </c>
      <c r="O34" s="22">
        <v>11.492060185185185</v>
      </c>
    </row>
    <row r="35" spans="7:15" x14ac:dyDescent="0.25">
      <c r="G35" s="20" t="s">
        <v>263</v>
      </c>
      <c r="H35" s="21">
        <v>1</v>
      </c>
      <c r="I35" s="22">
        <v>11.14900462962963</v>
      </c>
      <c r="J35" s="22">
        <v>8.5128935185185188</v>
      </c>
      <c r="L35" s="20" t="s">
        <v>181</v>
      </c>
      <c r="M35" s="21">
        <v>1</v>
      </c>
      <c r="N35" s="22">
        <v>14.417060185185186</v>
      </c>
      <c r="O35" s="22">
        <v>5.5052546296296292</v>
      </c>
    </row>
    <row r="36" spans="7:15" x14ac:dyDescent="0.25">
      <c r="G36" s="20" t="s">
        <v>185</v>
      </c>
      <c r="H36" s="21">
        <v>2</v>
      </c>
      <c r="I36" s="22">
        <v>6.5010879629629628</v>
      </c>
      <c r="J36" s="22">
        <v>6.4073379629629628</v>
      </c>
      <c r="L36" s="20" t="s">
        <v>356</v>
      </c>
      <c r="M36" s="21">
        <v>7</v>
      </c>
      <c r="N36" s="22">
        <v>14.40525462962963</v>
      </c>
      <c r="O36" s="22">
        <v>1.4240046296296296</v>
      </c>
    </row>
    <row r="37" spans="7:15" x14ac:dyDescent="0.25">
      <c r="G37" s="20" t="s">
        <v>118</v>
      </c>
      <c r="H37" s="21">
        <v>5</v>
      </c>
      <c r="I37" s="22">
        <v>6.3608101851851853</v>
      </c>
      <c r="J37" s="22">
        <v>6.3608101851851853</v>
      </c>
      <c r="L37" s="20" t="s">
        <v>380</v>
      </c>
      <c r="M37" s="21">
        <v>2</v>
      </c>
      <c r="N37" s="22">
        <v>14.396226851851852</v>
      </c>
      <c r="O37" s="22">
        <v>4.1427546296296294</v>
      </c>
    </row>
    <row r="38" spans="7:15" x14ac:dyDescent="0.25">
      <c r="G38" s="20" t="s">
        <v>250</v>
      </c>
      <c r="H38" s="21">
        <v>1</v>
      </c>
      <c r="I38" s="22">
        <v>6.1948379629629633</v>
      </c>
      <c r="J38" s="22">
        <v>6.1948379629629633</v>
      </c>
      <c r="L38" s="20" t="s">
        <v>354</v>
      </c>
      <c r="M38" s="21">
        <v>3</v>
      </c>
      <c r="N38" s="22">
        <v>14.113587962962963</v>
      </c>
      <c r="O38" s="22">
        <v>11.514282407407407</v>
      </c>
    </row>
    <row r="39" spans="7:15" x14ac:dyDescent="0.25">
      <c r="G39" s="20" t="s">
        <v>193</v>
      </c>
      <c r="H39" s="21">
        <v>1</v>
      </c>
      <c r="I39" s="22">
        <v>6.1587268518518519</v>
      </c>
      <c r="J39" s="22">
        <v>1.4226157407407407</v>
      </c>
      <c r="L39" s="20" t="s">
        <v>465</v>
      </c>
      <c r="M39" s="21">
        <v>1</v>
      </c>
      <c r="N39" s="22">
        <v>13.43025462962963</v>
      </c>
      <c r="O39" s="22">
        <v>13.43025462962963</v>
      </c>
    </row>
    <row r="40" spans="7:15" x14ac:dyDescent="0.25">
      <c r="G40" s="20" t="s">
        <v>190</v>
      </c>
      <c r="H40" s="21">
        <v>2</v>
      </c>
      <c r="I40" s="22">
        <v>6.1330324074074074</v>
      </c>
      <c r="J40" s="22">
        <v>6.1233101851851854</v>
      </c>
      <c r="L40" s="20" t="s">
        <v>382</v>
      </c>
      <c r="M40" s="21">
        <v>4</v>
      </c>
      <c r="N40" s="22">
        <v>13.133726851851852</v>
      </c>
      <c r="O40" s="22">
        <v>1.4191435185185186</v>
      </c>
    </row>
    <row r="41" spans="7:15" x14ac:dyDescent="0.25">
      <c r="G41" s="20" t="s">
        <v>227</v>
      </c>
      <c r="H41" s="21">
        <v>1</v>
      </c>
      <c r="I41" s="22">
        <v>5.3503935185185183</v>
      </c>
      <c r="J41" s="22">
        <v>5.3503935185185183</v>
      </c>
      <c r="L41" s="20" t="s">
        <v>309</v>
      </c>
      <c r="M41" s="21">
        <v>1</v>
      </c>
      <c r="N41" s="22">
        <v>12.510115740740741</v>
      </c>
      <c r="O41" s="22">
        <v>8.1871990740740745</v>
      </c>
    </row>
    <row r="42" spans="7:15" x14ac:dyDescent="0.25">
      <c r="G42" s="20" t="s">
        <v>170</v>
      </c>
      <c r="H42" s="21">
        <v>1</v>
      </c>
      <c r="I42" s="22">
        <v>5.1816435185185181</v>
      </c>
      <c r="J42" s="22">
        <v>1.1545601851851852</v>
      </c>
      <c r="L42" s="20" t="s">
        <v>433</v>
      </c>
      <c r="M42" s="21">
        <v>1</v>
      </c>
      <c r="N42" s="22">
        <v>8.4816435185185188</v>
      </c>
      <c r="O42" s="22">
        <v>8.139282407407407</v>
      </c>
    </row>
    <row r="43" spans="7:15" x14ac:dyDescent="0.25">
      <c r="G43" s="20" t="s">
        <v>175</v>
      </c>
      <c r="H43" s="21">
        <v>3</v>
      </c>
      <c r="I43" s="22">
        <v>4.4281712962962967</v>
      </c>
      <c r="J43" s="22">
        <v>4.4281712962962967</v>
      </c>
      <c r="L43" s="20" t="s">
        <v>414</v>
      </c>
      <c r="M43" s="21">
        <v>1</v>
      </c>
      <c r="N43" s="22">
        <v>8.1844212962962963</v>
      </c>
      <c r="O43" s="22">
        <v>5.285115740740741</v>
      </c>
    </row>
    <row r="44" spans="7:15" x14ac:dyDescent="0.25">
      <c r="G44" s="20" t="s">
        <v>202</v>
      </c>
      <c r="H44" s="21">
        <v>1</v>
      </c>
      <c r="I44" s="22">
        <v>1.477476851851852</v>
      </c>
      <c r="J44" s="22">
        <v>1.4691435185185184</v>
      </c>
      <c r="L44" s="20" t="s">
        <v>427</v>
      </c>
      <c r="M44" s="21">
        <v>1</v>
      </c>
      <c r="N44" s="22">
        <v>6.4156712962962965</v>
      </c>
      <c r="O44" s="22">
        <v>6.358032407407407</v>
      </c>
    </row>
    <row r="45" spans="7:15" x14ac:dyDescent="0.25">
      <c r="G45" s="20" t="s">
        <v>181</v>
      </c>
      <c r="H45" s="21">
        <v>1</v>
      </c>
      <c r="I45" s="22">
        <v>1.3990046296296297</v>
      </c>
      <c r="J45" s="22">
        <v>1.3330324074074074</v>
      </c>
      <c r="L45" s="20" t="s">
        <v>418</v>
      </c>
      <c r="M45" s="21">
        <v>1</v>
      </c>
      <c r="N45" s="22">
        <v>5.4566435185185185</v>
      </c>
      <c r="O45" s="22">
        <v>5.3309490740740744</v>
      </c>
    </row>
    <row r="46" spans="7:15" x14ac:dyDescent="0.25">
      <c r="G46" s="20" t="s">
        <v>188</v>
      </c>
      <c r="H46" s="21">
        <v>1</v>
      </c>
      <c r="I46" s="22">
        <v>1.3962268518518519</v>
      </c>
      <c r="J46" s="22">
        <v>1.3962268518518519</v>
      </c>
      <c r="L46" s="20" t="s">
        <v>394</v>
      </c>
      <c r="M46" s="21">
        <v>1</v>
      </c>
      <c r="N46" s="22">
        <v>1.493449074074074</v>
      </c>
      <c r="O46" s="22">
        <v>1.493449074074074</v>
      </c>
    </row>
    <row r="47" spans="7:15" x14ac:dyDescent="0.25">
      <c r="G47" s="20" t="s">
        <v>168</v>
      </c>
      <c r="H47" s="21">
        <v>1</v>
      </c>
      <c r="I47" s="22">
        <v>1.2392824074074074</v>
      </c>
      <c r="J47" s="22">
        <v>1.1538657407407407</v>
      </c>
      <c r="L47" s="20" t="s">
        <v>390</v>
      </c>
      <c r="M47" s="21">
        <v>1</v>
      </c>
      <c r="N47" s="22">
        <v>1.4406712962962962</v>
      </c>
      <c r="O47" s="22">
        <v>1.4406712962962962</v>
      </c>
    </row>
    <row r="48" spans="7:15" x14ac:dyDescent="0.25">
      <c r="G48" s="20" t="s">
        <v>165</v>
      </c>
      <c r="H48" s="21">
        <v>1</v>
      </c>
      <c r="I48" s="22">
        <v>1.1413657407407407</v>
      </c>
      <c r="J48" s="22">
        <v>1.1371990740740741</v>
      </c>
      <c r="L48" s="20" t="s">
        <v>18</v>
      </c>
      <c r="M48" s="21">
        <v>179</v>
      </c>
      <c r="N48" s="22">
        <v>224.37608796296297</v>
      </c>
      <c r="O48" s="22">
        <v>84.232337962962958</v>
      </c>
    </row>
    <row r="49" spans="7:10" x14ac:dyDescent="0.25">
      <c r="G49" s="20" t="s">
        <v>91</v>
      </c>
      <c r="H49" s="21">
        <v>7</v>
      </c>
      <c r="I49" s="22">
        <v>1.0962268518518519</v>
      </c>
      <c r="J49" s="22">
        <v>0.38928240740740744</v>
      </c>
    </row>
    <row r="50" spans="7:10" x14ac:dyDescent="0.25">
      <c r="G50" s="20" t="s">
        <v>144</v>
      </c>
      <c r="H50" s="21">
        <v>2</v>
      </c>
      <c r="I50" s="22">
        <v>0.50525462962962964</v>
      </c>
      <c r="J50" s="22">
        <v>0.50525462962962964</v>
      </c>
    </row>
    <row r="51" spans="7:10" x14ac:dyDescent="0.25">
      <c r="G51" s="20" t="s">
        <v>156</v>
      </c>
      <c r="H51" s="21">
        <v>1</v>
      </c>
      <c r="I51" s="22">
        <v>0.4906712962962963</v>
      </c>
      <c r="J51" s="22">
        <v>0.4906712962962963</v>
      </c>
    </row>
    <row r="52" spans="7:10" x14ac:dyDescent="0.25">
      <c r="G52" s="20" t="s">
        <v>132</v>
      </c>
      <c r="H52" s="21">
        <v>1</v>
      </c>
      <c r="I52" s="22">
        <v>0.35803240740740744</v>
      </c>
      <c r="J52" s="22">
        <v>0.35803240740740744</v>
      </c>
    </row>
    <row r="53" spans="7:10" x14ac:dyDescent="0.25">
      <c r="G53" s="20" t="s">
        <v>101</v>
      </c>
      <c r="H53" s="21">
        <v>2</v>
      </c>
      <c r="I53" s="22">
        <v>0.34483796296296299</v>
      </c>
      <c r="J53" s="22">
        <v>0.34483796296296299</v>
      </c>
    </row>
    <row r="54" spans="7:10" x14ac:dyDescent="0.25">
      <c r="G54" s="20" t="s">
        <v>127</v>
      </c>
      <c r="H54" s="21">
        <v>1</v>
      </c>
      <c r="I54" s="22">
        <v>0.30386574074074074</v>
      </c>
      <c r="J54" s="22">
        <v>0.30386574074074074</v>
      </c>
    </row>
    <row r="55" spans="7:10" x14ac:dyDescent="0.25">
      <c r="G55" s="20" t="s">
        <v>99</v>
      </c>
      <c r="H55" s="21">
        <v>1</v>
      </c>
      <c r="I55" s="22">
        <v>0.17192129629629629</v>
      </c>
      <c r="J55" s="22">
        <v>0.17192129629629629</v>
      </c>
    </row>
    <row r="56" spans="7:10" x14ac:dyDescent="0.25">
      <c r="G56" s="20" t="s">
        <v>10</v>
      </c>
      <c r="H56" s="21">
        <v>1</v>
      </c>
      <c r="I56" s="22" t="e">
        <v>#VALUE!</v>
      </c>
      <c r="J56" s="22" t="e">
        <v>#VALUE!</v>
      </c>
    </row>
    <row r="57" spans="7:10" x14ac:dyDescent="0.25">
      <c r="G57" s="20" t="s">
        <v>18</v>
      </c>
      <c r="H57" s="21">
        <v>185</v>
      </c>
      <c r="I57" s="22" t="e">
        <v>#VALUE!</v>
      </c>
      <c r="J57" s="22" t="e">
        <v>#VALUE!</v>
      </c>
    </row>
  </sheetData>
  <sheetProtection algorithmName="SHA-512" hashValue="yQafTfmV1lb6bCXs4/xEdkRTe7QybbnOcfktjWpAuNlbBXcx2y3v6f99i6DShddgX97PrEHFOpTR62xUfMcLgA==" saltValue="dAZdFrkp475RiS+QSxZ43w==" spinCount="100000" sheet="1" objects="1" scenarios="1" insertColumns="0" insertRows="0" insertHyperlinks="0" deleteColumns="0" deleteRows="0" selectLockedCells="1" pivotTables="0"/>
  <conditionalFormatting pivot="1" sqref="C3:C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3:D4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3:B4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4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4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4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4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3:B4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3:C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3:D4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4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4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 I12 I14 I16:I17 I21 I24 I26:I27 I30 I33 I35 I37 I40 I43:I44 I49:I50 I54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 H12 H14 H16:H17 H21 H24 H26:H27 H30 H33 H35 H37 H40 H43:H44 H49:H50 H54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 J12 J14 J16:J17 J21 J24 J26:J27 J30 J33 J35 J37 J40 J43:J44 J49:J50 J54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8 N25 N28 N33:N34 N42:N4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8 M25 M28 M33:M34 M42:M4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8 O25 O28 O33:O34 O42:O4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9 H3 H14 H17 H21 H24 H26:H27 H30 H35 H37 H40 H43:H44 H49 H5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9 I3 I14 I17 I21 I24 I26:I27 I30 I35 I37 I40 I43:I44 I49 I54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9 J3 J14 J17 J21 J24 J26:J27 J30 J35 J37 J40 J43:J44 J49 J5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6 M28:M31 M33 M36 M38 M40:M43 M46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6 N28:N31 N33 N36 N38 N40:N43 N4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6 O28:O31 O33 O36 O38 O40:O43 O46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9 H3 H14 H16:H17 H21 H24:H27 H30 H35 H40 H43:H44 H49 H54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9 I3 I14 I16:I17 I21 I24:I27 I30 I35 I40 I43:I44 I49 I54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9 J3 J14 J16:J17 J21 J24:J27 J30 J35 J40 J43:J44 J49 J54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9 H3 H14 H16:H17 H21 H24:H27 H30 H35 H40 H43:H44 H49 H54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9 I3 I14 I16:I17 I21 I24:I27 I30 I35 I40 I43:I44 I49 I5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9 J3 J14 J16:J17 J21 J24:J27 J30 J35 J40 J43:J44 J49 J54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6 M28:M31 M33 M36 M38 M40:M43 M4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6 N28:N31 N33 N36 N38 N40:N43 N46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6 O28:O31 O33 O36 O38 O40:O43 O4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:H25 H27 H30 H35 H37 H40 H43 H49:H50 H54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6 I3 I9 I14 I16:I17 I20:I21 I24:I25 I27 I30 I35 I37 I40 I43 I49:I50 I54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6 J3 J9 J14 J16:J17 J20:J21 J24:J25 J27 J30 J35 J37 J40 J43 J49:J50 J54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6 M28:M31 M33 M36 M38 M40:M43 M46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6 N28:N31 N33 N36 N38 N40:N43 N46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6 O28:O31 O33 O36 O38 O40:O43 O46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 H27 H30 H35 H40 H43 H46 H48:H50 H54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6 I3 I9 I14 I16:I17 I20:I21 I24 I27 I30 I35 I40 I43 I46 I48:I50 I54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6 J3 J9 J14 J16:J17 J20:J21 J24 J27 J30 J35 J40 J43 J46 J48:J50 J54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:H27 H30 H35:H37 H40 H43 H46 H48:H50 H54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6 I3 I9 I14 I16:I17 I20:I21 I24:I27 I30 I35:I37 I40 I43 I46 I48:I50 I54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6 J3 J9 J14 J16:J17 J20:J21 J24:J27 J30 J35:J37 J40 J43 J46 J48:J50 J54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 H26:H27 H30 H35:H36 H40 H43 H46 H48:H50 H5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6 I3 I9 I14 I16:I17 I20:I21 I24 I26:I27 I30 I35:I36 I40 I43 I46 I48:I50 I54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6 J3 J9 J14 J16:J17 J20:J21 J24 J26:J27 J30 J35:J36 J40 J43 J46 J48:J50 J5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3:C4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D3:D4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3:B4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 H26:H27 H30 H35:H36 H40 H43 H46 H48:H50 H54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6 I3 I9 I14 I16:I17 I20:I21 I24 I26:I27 I30 I35:I36 I40 I43 I46 I48:I50 I54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6 J3 J9 J14 J16:J17 J20:J21 J24 J26:J27 J30 J35:J36 J40 J43 J46 J48:J50 J54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6 M28:M31 M33 M36 M38 M41:M43 M46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6 N28:N31 N33 N36 N38 N41:N43 N46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6 O28:O31 O33 O36 O38 O41:O43 O46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3:H14 H16:H17 H20:H21 H24:H27 H30 H33 H35:H37 H40 H43:H44 H46 H48:H49 H5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3:I14 I16:I17 I20:I21 I24:I27 I30 I33 I35:I37 I40 I43:I44 I46 I48:I49 I54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3:J14 J16:J17 J20:J21 J24:J27 J30 J33 J35:J37 J40 J43:J44 J46 J48:J49 J54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6:H17 H20:H21 H24 H26:H27 H29:H30 H35:H36 H40 H43:H44 H46 H48:H49 H51 H54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6 I3 I9 I14 I16:I17 I20:I21 I24 I26:I27 I29:I30 I35:I36 I40 I43:I44 I46 I48:I49 I51 I54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6 J3 J9 J14 J16:J17 J20:J21 J24 J26:J27 J29:J30 J35:J36 J40 J43:J44 J46 J48:J49 J51 J54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5 M7:M12 M14:M26 M28:M31 M33 M36 M38:M39 M41:M43 M46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5 N7:N12 N14:N26 N28:N31 N33 N36 N38:N39 N41:N43 N46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5 O7:O12 O14:O26 O28:O31 O33 O36 O38:O39 O41:O43 O46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6:H17 H20:H21 H24 H27 H30 H33 H35:H36 H43:H44 H46 H48:H50 H54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6:I17 I20:I21 I24 I27 I30 I33 I35:I36 I43:I44 I46 I48:I50 I5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6:J17 J20:J21 J24 J27 J30 J33 J35:J36 J43:J44 J46 J48:J50 J54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6:H17 H20:H21 H24 H26:H27 H30 H33 H35:H36 H40 H43:H44 H46 H48:H50 H54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6:I17 I20:I21 I24 I26:I27 I30 I33 I35:I36 I40 I43:I44 I46 I48:I50 I54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6:J17 J20:J21 J24 J26:J27 J30 J33 J35:J36 J40 J43:J44 J46 J48:J50 J54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6:H17 H20:H22 H24 H26:H27 H30 H33 H35:H36 H40 H43:H44 H46 H48:H50 H54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6:I17 I20:I22 I24 I26:I27 I30 I33 I35:I36 I40 I43:I44 I46 I48:I50 I54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8 M11 M23 M28 M33:M34 M38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8 N11 N23 N28 N33:N34 N38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8 O11 O23 O28 O33:O34 O3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5 O7:O12 O14:O26 O28:O31 O33 O36 O38:O39 O41:O44 O4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5 N7:N12 N14:N26 N28:N31 N33 N36 N38:N39 N41:N44 N4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5 M7:M12 M14:M26 M28:M31 M33 M36 M38:M39 M41:M44 M46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6:J17 J20:J22 J24 J26:J27 J30 J33 J35:J36 J40 J43:J44 J46 J48:J50 J54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 H15:H17 H20:H22 H24:H27 H30 H33 H35:H36 H43:H44 H46 H48:H51 H54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 I15:I17 I20:I22 I24:I27 I30 I33 I35:I36 I43:I44 I46 I48:I51 I54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 J15:J17 J20:J22 J24:J27 J30 J33 J35:J36 J43:J44 J46 J48:J51 J5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5:J17 J20:J22 J24:J27 J30 J33 J35:J36 J43:J44 J46 J48:J51 J54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5:I17 I20:I22 I24:I27 I30 I33 I35:I36 I43:I44 I46 I48:I51 I5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5:H17 H20:H22 H24:H27 H30 H33 H35:H36 H43:H44 H46 H48:H51 H54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5:J17 J20:J22 J24:J27 J30 J33 J35:J36 J43:J44 J46 J48:J51 J54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5:I17 I20:I22 I24:I27 I30 I33 I35:I36 I43:I44 I46 I48:I51 I54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5:H17 H20:H22 H24:H27 H30 H33 H35:H36 H43:H44 H46 H48:H51 H54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4:H17 H20:H22 H24:H27 H30 H33 H35:H36 H43:H44 H46 H49:H51 H54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4:I17 I20:I22 I24:I27 I30 I33 I35:I36 I43:I44 I46 I49:I51 I54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4:J17 J20:J22 J24:J27 J30 J33 J35:J36 J43:J44 J46 J49:J51 J54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2 H14:H17 H20:H22 H24:H27 H29:H30 H33 H35:H36 H39 H43:H44 H46 H49:H51 H5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2 I14:I17 I20:I22 I24:I27 I29:I30 I33 I35:I36 I39 I43:I44 I46 I49:I51 I54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2 J14:J17 J20:J22 J24:J27 J29:J30 J33 J35:J36 J39 J43:J44 J46 J49:J51 J5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5 O7:O12 O14:O21 O23:O26 O28:O31 O33 O36:O39 O41:O44 O4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5 N7:N12 N14:N21 N23:N26 N28:N31 N33 N36:N39 N41:N44 N4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5 M7:M12 M14:M21 M23:M26 M28:M31 M33 M36:M39 M41:M44 M4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5:J17 J20:J22 J24:J27 J29:J30 J33 J35:J36 J43:J44 J46 J49:J51 J54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5:I17 I20:I22 I24:I27 I29:I30 I33 I35:I36 I43:I44 I46 I49:I51 I54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5:H17 H20:H22 H24:H27 H29:H30 H33 H35:H36 H43:H44 H46 H49:H51 H5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3 H15:H17 H20:H22 H24:H27 H29:H30 H33 H35:H36 H43:H46 H49:H51 H5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3 I15:I17 I20:I22 I24:I27 I29:I30 I33 I35:I36 I43:I46 I49:I51 I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3 J15:J17 J20:J22 J24:J27 J29:J30 J33 J35:J36 J43:J46 J49:J51 J54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2:H13 H15:H17 H20:H22 H24:H27 H29:H30 H33 H35:H36 H43:H44 H46 H48:H51 H5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2:I13 I15:I17 I20:I22 I24:I27 I29:I30 I33 I35:I36 I43:I44 I46 I48:I51 I54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2:J13 J15:J17 J20:J22 J24:J27 J29:J30 J33 J35:J36 J43:J44 J46 J48:J51 J54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8 O11 O15 O21 O23 O28 O33:O34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8 N11 N15 N21 N23 N28 N33:N34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8 M11 M15 M21 M23 M28 M33:M34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2 I15:I17 I20:I22 I24 I26:I27 I30 I33 I35:I37 I43:I44 I46:I51 I5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2 J15:J17 J20:J22 J24 J26:J27 J30 J33 J35:J37 J43:J44 J46:J51 J5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6 H3 H9 H14 H19 H24 H46 H48 H5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6 I3 I9 I14 I19 I24 I46 I48 I5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6 J3 J9 J14 J19 J24 J46 J48 J51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8 M15 M21:M23 M28 M33:M34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8 N15 N21:N23 N28 N33:N34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8 O15 O21:O23 O28 O33:O34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6 J9:J10 J12 J14:J17 J20:J22 J24 J26:J27 J30 J33 J35:J37 J43:J44 J46:J47 J49:J51 J54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6 I9:I10 I12 I14:I17 I20:I22 I24 I26:I27 I30 I33 I35:I37 I43:I44 I46:I47 I49:I51 I54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2 H14:H17 H20:H22 H24 H26:H27 H30 H33 H35:H37 H43:H44 H46:H47 H49:H51 H54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6 H9:H10 H12 H14:H17 H20:H22 H24 H26:H27 H30 H33 H35:H37 H40 H43:H47 H49:H50 H5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2 J14 J16:J17 J20:J22 J24 J26:J27 J30 J33 J35:J37 J40 J43 J46:J47 J49:J51 J54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2 I14 I16:I17 I20:I22 I24 I26:I27 I30 I33 I35:I37 I40 I43 I46:I47 I49:I51 I5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2 H14 H16:H17 H20:H22 H24 H26:H27 H30 H33 H35:H37 H40 H43:H44 H46:H47 H49:H51 H54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2 H14 H16:H17 H20:H22 H24 H26:H27 H30 H33 H36:H37 H40 H43:H44 H46:H47 H49:H51 H54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2 I14 I16:I17 I20:I22 I24 I26:I27 I30 I33 I36:I37 I40 I43:I44 I46:I47 I49:I51 I54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2 J14 J16:J17 J20:J22 J24 J26:J27 J30 J33 J36:J37 J40 J43:J44 J46:J47 J49:J51 J54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1 M23:M26 M28:M31 M33 M36 M38:M39 M41:M44 M4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1 N23:N26 N28:N31 N33 N36 N38:N39 N41:N44 N4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1 O23:O26 O28:O31 O33 O36 O38:O39 O41:O44 O4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:H10 H14 H16:H17 H20:H22 H24 H26:H27 H30 H33 H36:H37 H40 H43:H44 H46:H47 H49:H51 H54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:I10 I14 I16:I17 I20:I22 I24 I26:I27 I30 I33 I36:I37 I40 I43:I44 I46:I47 I49:I51 I5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:J10 J14 J16:J17 J20:J22 J24 J26:J27 J30 J33 J36:J37 J40 J43:J44 J46:J47 J49:J51 J54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14 H16:H17 H20:H21 H24:H27 H30:H31 H33 H36:H37 H40 H43:H44 H46:H47 H49:H51 H54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 I14 I16:I17 I20:I21 I24:I27 I30:I31 I33 I36:I37 I40 I43:I44 I46:I47 I49:I51 I54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 J14 J16:J17 J20:J21 J24:J27 J30:J31 J33 J36:J37 J40 J43:J44 J46:J47 J49:J51 J54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2 M14:M21 M23:M26 M28:M31 M33 M36 M38:M43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2 N14:N21 N23:N26 N28:N31 N33 N36 N38:N4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2 O14:O21 O23:O26 O28:O31 O33 O36 O38:O4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 H9 H11 H14:H17 H20:H21 H24:H27 H29:H31 H33 H37 H40 H43:H44 H46 H49:H51 H5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 I9 I11 I14:I17 I20:I21 I24:I27 I29:I31 I33 I37 I40 I43:I44 I46 I49:I51 I54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 J9 J11 J14:J17 J20:J21 J24:J27 J29:J31 J33 J37 J40 J43:J44 J46 J49:J51 J5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11 M14:M21 M23:M24 M26 M28:M33 M36 M38:M39 M42:M44 M4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11 N14:N21 N23:N24 N26 N28:N33 N36 N38:N39 N42:N44 N4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11 O14:O21 O23:O24 O26 O28:O33 O36 O38:O39 O42:O44 O4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5 H9 H14:H18 H20:H21 H25:H27 H29:H30 H32:H34 H38 H42:H44 H48:H51 H5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5 I9 I14:I18 I20:I21 I25:I27 I29:I30 I32:I34 I38 I42:I44 I48:I51 I5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5 J9 J14:J18 J20:J21 J25:J27 J29:J30 J32:J34 J38 J42:J44 J48:J51 J53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21 M23:M26 M28:M30 M32 M34 M36:M39 M43:M4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21 N23:N26 N28:N30 N32 N34 N36:N39 N43:N4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21 O23:O26 O28:O30 O32 O34 O36:O39 O43:O4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5 H9 H14 H16:H18 H20:H21 H25:H28 H30 H32:H34 H38 H42:H44 H48:H5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5 I9 I14 I16:I18 I20:I21 I25:I28 I30 I32:I34 I38 I42:I44 I48:I5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5 J9 J14 J16:J18 J20:J21 J25:J28 J30 J32:J34 J38 J42:J44 J48:J5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9 H12 H14:H18 H20:H21 H24:H27 H30 H32:H34 H36:H38 H40 H42:H44 H49 H5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9 I12 I14:I18 I20:I21 I24:I27 I30 I32:I34 I36:I38 I40 I42:I44 I49 I5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9 J12 J14:J18 J20:J21 J24:J27 J30 J32:J34 J36:J38 J40 J42:J44 J49 J5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21 M23 M25:M26 M28:M30 M32 M34 M36:M37 M40 M43:M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21 N23 N25:N26 N28:N30 N32 N34 N36:N37 N40 N43:N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21 O23 O25:O26 O28:O30 O32 O34 O36:O37 O40 O43:O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27 H30 H32:H33 H35 H37 H42:H45 H49:H50 H52 H5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27 I30 I32:I33 I35 I37 I42:I45 I49:I50 I52 I5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27 J30 J32:J33 J35 J37 J42:J45 J49:J50 J52 J5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21 M23:M32 M36:M38 M40:M41 M4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21 N23:N32 N36:N38 N40:N41 N4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21 O23:O32 O36:O38 O40:O41 O4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30 H32:H33 H35 H37 H42:H45 H49:H50 H52:H5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30 I32:I33 I35 I37 I42:I45 I49:I50 I52:I5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30 J32:J33 J35 J37 J42:J45 J49:J50 J52:J5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32 H35 H37 H42:H45 H49:H50 H52:H5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32 I35 I37 I42:I45 I49:I50 I52:I5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32 J35 J37 J42:J45 J49:J50 J52:J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J3:J43 J50:J51 J5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43 I50:I51 I5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43 H50:H51 H5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M3:M4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N3:N4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O3:O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H3:H5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3:I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Sydle-Seed</vt:lpstr>
      <vt:lpstr>GLPI-CSTI</vt:lpstr>
      <vt:lpstr>GLPI-M.I</vt:lpstr>
      <vt:lpstr>Backlog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 Fernandes</dc:creator>
  <cp:lastModifiedBy>Vitor Fernandes</cp:lastModifiedBy>
  <dcterms:created xsi:type="dcterms:W3CDTF">2022-05-17T10:34:49Z</dcterms:created>
  <dcterms:modified xsi:type="dcterms:W3CDTF">2022-11-22T23:49:29Z</dcterms:modified>
</cp:coreProperties>
</file>