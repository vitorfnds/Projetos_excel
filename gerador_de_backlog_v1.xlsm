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vitor.fernandes\Desktop\CSTI\"/>
    </mc:Choice>
  </mc:AlternateContent>
  <bookViews>
    <workbookView xWindow="0" yWindow="0" windowWidth="28800" windowHeight="12330" activeTab="4"/>
  </bookViews>
  <sheets>
    <sheet name="SAE" sheetId="1" r:id="rId1"/>
    <sheet name="Sydle-Seed" sheetId="2" r:id="rId2"/>
    <sheet name="GLPI-CSTI" sheetId="3" r:id="rId3"/>
    <sheet name="GLPI-M.I" sheetId="4" r:id="rId4"/>
    <sheet name="Backlog" sheetId="5" r:id="rId5"/>
  </sheets>
  <calcPr calcId="162913"/>
  <pivotCaches>
    <pivotCache cacheId="18" r:id="rId6"/>
    <pivotCache cacheId="21" r:id="rId7"/>
    <pivotCache cacheId="24" r:id="rId8"/>
    <pivotCache cacheId="2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<sst xmlns="http://schemas.openxmlformats.org/spreadsheetml/2006/main" count="78" uniqueCount="48">
  <si>
    <t>Solicitação</t>
  </si>
  <si>
    <t>Polo</t>
  </si>
  <si>
    <t>Aluno</t>
  </si>
  <si>
    <t>Curso</t>
  </si>
  <si>
    <t>CPF</t>
  </si>
  <si>
    <t>Nome</t>
  </si>
  <si>
    <t>Qtde Sae</t>
  </si>
  <si>
    <t>Email</t>
  </si>
  <si>
    <t>Fila</t>
  </si>
  <si>
    <t>Área</t>
  </si>
  <si>
    <t>Assunto</t>
  </si>
  <si>
    <t>Status</t>
  </si>
  <si>
    <t>Data Solicitação</t>
  </si>
  <si>
    <t>Atualização</t>
  </si>
  <si>
    <t>Previsão</t>
  </si>
  <si>
    <t>Data do Atendimento</t>
  </si>
  <si>
    <t>Atendente</t>
  </si>
  <si>
    <t>Aging</t>
  </si>
  <si>
    <t>Atividade</t>
  </si>
  <si>
    <t>seed</t>
  </si>
  <si>
    <t>polo</t>
  </si>
  <si>
    <t>Data de criação</t>
  </si>
  <si>
    <t>Usuário executor</t>
  </si>
  <si>
    <t>Data de última atualização</t>
  </si>
  <si>
    <t>Quantidade de Seeds</t>
  </si>
  <si>
    <t>Aging Mod</t>
  </si>
  <si>
    <t>ID</t>
  </si>
  <si>
    <t>Título</t>
  </si>
  <si>
    <t>Data de abertura</t>
  </si>
  <si>
    <t>Requerente - Requerente</t>
  </si>
  <si>
    <t>Requerente - Grupo requerente</t>
  </si>
  <si>
    <t>Atribuído para - Técnico</t>
  </si>
  <si>
    <t>Atribuído para - Grupo técnico</t>
  </si>
  <si>
    <t>Última atualização</t>
  </si>
  <si>
    <t>Tipo</t>
  </si>
  <si>
    <t>Aprovação - Aprovação</t>
  </si>
  <si>
    <t>Prioridade</t>
  </si>
  <si>
    <t>Total Geral</t>
  </si>
  <si>
    <t>Contagem de Assunto</t>
  </si>
  <si>
    <t>Máx de Aging</t>
  </si>
  <si>
    <t>SAE</t>
  </si>
  <si>
    <t>Contagem de Atividade</t>
  </si>
  <si>
    <t>Máx de Aging Mod</t>
  </si>
  <si>
    <t>Sydle - Seed</t>
  </si>
  <si>
    <t>Contagem de Título</t>
  </si>
  <si>
    <t>CSTI - Suporte Remoto</t>
  </si>
  <si>
    <t>M.I - Suporte Campo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</si>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</sst>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/d/yyyy\ h:mm"/>
    <numFmt numFmtId="165" formatCode="m/d/yyyy"/>
  </numFmts>
  <fonts count="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/>
    <xf numFmtId="0" fontId="1" fillId="0" borderId="2" xfId="0" applyFont="1" applyFill="1" applyBorder="1" applyAlignment="1">
      <alignment horizontal="center"/>
    </xf>
    <xf numFmtId="22" fontId="0" fillId="0" borderId="0" xfId="0" applyNumberFormat="1"/>
    <xf numFmtId="0" fontId="1" fillId="0" borderId="3" xfId="0" applyFont="1" applyBorder="1" applyAlignment="1">
      <alignment horizontal="center"/>
    </xf>
    <xf numFmtId="0" fontId="0" fillId="0" borderId="4" xfId="0" pivotButton="1" applyBorder="1"/>
    <xf numFmtId="0" fontId="0" fillId="0" borderId="4" xfId="0" applyBorder="1"/>
    <xf numFmtId="0" fontId="0" fillId="0" borderId="4" xfId="0" applyBorder="1" applyAlignment="1">
      <alignment horizontal="left"/>
    </xf>
    <xf numFmtId="0" fontId="0" fillId="0" borderId="4" xfId="0" applyNumberFormat="1" applyBorder="1"/>
    <xf numFmtId="1" fontId="0" fillId="0" borderId="4" xfId="0" applyNumberForma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14" fontId="0" fillId="0" borderId="0" xfId="0" applyNumberFormat="1"/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wrapText="1"/>
    </xf>
    <xf numFmtId="22" fontId="2" fillId="0" borderId="1" xfId="0" applyNumberFormat="1" applyFont="1" applyBorder="1" applyAlignment="1">
      <alignment horizontal="center" wrapText="1"/>
    </xf>
    <xf numFmtId="164" fontId="0" fillId="0" borderId="0" xfId="0" applyNumberFormat="1"/>
    <xf numFmtId="165" fontId="0" fillId="0" borderId="4" xfId="0" applyNumberFormat="1" applyBorder="1"/>
    <xf numFmtId="165" fontId="0" fillId="0" borderId="8" xfId="0" applyNumberFormat="1" applyBorder="1"/>
    <xf numFmtId="164" fontId="0" fillId="0" borderId="4" xfId="0" applyNumberFormat="1" applyBorder="1" applyAlignment="1"/>
    <xf numFmtId="164" fontId="0" fillId="0" borderId="8" xfId="0" applyNumberFormat="1" applyBorder="1" applyAlignment="1"/>
    <xf numFmtId="164" fontId="0" fillId="0" borderId="4" xfId="0" applyNumberFormat="1" applyBorder="1" applyAlignment="1">
      <alignment wrapText="1"/>
    </xf>
  </cellXfs>
  <cellStyles count="1">
    <cellStyle name="Normal" xfId="0" builtinId="0"/>
  </cellStyles>
  <dxfs count="98"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7" formatCode="dd/mm/yyyy\ hh:mm"/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7" formatCode="dd/mm/yyyy\ hh:mm"/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27" formatCode="dd/mm/yyyy\ hh:mm"/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7" formatCode="dd/mm/yyyy\ hh:mm"/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7" formatCode="dd/mm/yyyy\ hh:mm"/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7" formatCode="dd/mm/yyyy\ hh:mm"/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m/d/yyyy\ h:mm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m/d/yyyy\ h:mm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4" formatCode="m/d/yyyy\ h:mm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m/d/yyyy\ h:mm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m/d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4" formatCode="m/d/yyyy\ h:mm"/>
    </dxf>
    <dxf>
      <border outline="0">
        <left style="thin">
          <color rgb="FF000000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24848</xdr:colOff>
      <xdr:row>0</xdr:row>
      <xdr:rowOff>41413</xdr:rowOff>
    </xdr:from>
    <xdr:to>
      <xdr:col>21</xdr:col>
      <xdr:colOff>8283</xdr:colOff>
      <xdr:row>1</xdr:row>
      <xdr:rowOff>124239</xdr:rowOff>
    </xdr:to>
    <xdr:sp macro="[0]!limpa" textlink="">
      <xdr:nvSpPr>
        <xdr:cNvPr id="2" name="Retângulo 1"/>
        <xdr:cNvSpPr/>
      </xdr:nvSpPr>
      <xdr:spPr>
        <a:xfrm>
          <a:off x="13840239" y="41413"/>
          <a:ext cx="1209261" cy="273326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    LIMPA</a:t>
          </a:r>
          <a:r>
            <a:rPr lang="pt-BR" sz="1100" baseline="0"/>
            <a:t> TUDO</a:t>
          </a:r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Vitor Fernandes" refreshedDate="44884.421216319446" createdVersion="6" refreshedVersion="6" minRefreshableVersion="3" recordCount="1">
  <cacheSource type="worksheet">
    <worksheetSource name="Tabela1"/>
  </cacheSource>
  <cacheFields count="18">
    <cacheField name="Solicitação" numFmtId="0">
      <sharedItems containsNonDate="0" containsString="0" containsBlank="1"/>
    </cacheField>
    <cacheField name="Polo" numFmtId="0">
      <sharedItems containsNonDate="0" containsString="0" containsBlank="1"/>
    </cacheField>
    <cacheField name="Aluno" numFmtId="0">
      <sharedItems containsNonDate="0" containsString="0" containsBlank="1"/>
    </cacheField>
    <cacheField name="Curso" numFmtId="0">
      <sharedItems containsNonDate="0" containsString="0" containsBlank="1"/>
    </cacheField>
    <cacheField name="CPF" numFmtId="0">
      <sharedItems containsNonDate="0" containsString="0" containsBlank="1"/>
    </cacheField>
    <cacheField name="Nome" numFmtId="0">
      <sharedItems containsNonDate="0" containsString="0" containsBlank="1"/>
    </cacheField>
    <cacheField name="Qtde Sae" numFmtId="0">
      <sharedItems containsNonDate="0" containsString="0" containsBlank="1"/>
    </cacheField>
    <cacheField name="Email" numFmtId="0">
      <sharedItems containsNonDate="0" containsString="0" containsBlank="1"/>
    </cacheField>
    <cacheField name="Fila" numFmtId="0">
      <sharedItems containsNonDate="0" containsString="0" containsBlank="1"/>
    </cacheField>
    <cacheField name="Área" numFmtId="0">
      <sharedItems containsNonDate="0" containsString="0" containsBlank="1"/>
    </cacheField>
    <cacheField name="Assunto" numFmtId="0">
      <sharedItems containsNonDate="0" containsBlank="1" count="8">
        <m/>
        <s v="STUDEO - FALHA" u="1"/>
        <s v="GOOGLE EDUCAÇÃO - FALHA" u="1"/>
        <s v="PINPAD (TEF) - INSTALAÇÃO" u="1"/>
        <s v="BIBLIOTECA - FALHA" u="1"/>
        <s v="E-MAIL OFFICE 365" u="1"/>
        <s v="SOLICITAÇÃO DE MELHORIA / SUGESTÃO" u="1"/>
        <s v="STUDEO APP - FALHA" u="1"/>
      </sharedItems>
    </cacheField>
    <cacheField name="Status" numFmtId="0">
      <sharedItems containsNonDate="0" containsString="0" containsBlank="1"/>
    </cacheField>
    <cacheField name="Data Solicitação" numFmtId="22">
      <sharedItems containsNonDate="0" containsString="0" containsBlank="1"/>
    </cacheField>
    <cacheField name="Atualização" numFmtId="0">
      <sharedItems containsNonDate="0" containsString="0" containsBlank="1"/>
    </cacheField>
    <cacheField name="Previsão" numFmtId="22">
      <sharedItems containsNonDate="0" containsString="0" containsBlank="1"/>
    </cacheField>
    <cacheField name="Data do Atendimento" numFmtId="0">
      <sharedItems containsNonDate="0" containsString="0" containsBlank="1"/>
    </cacheField>
    <cacheField name="Atendente" numFmtId="0">
      <sharedItems containsNonDate="0" containsString="0" containsBlank="1"/>
    </cacheField>
    <cacheField name="Aging" numFmtId="16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Vitor Fernandes" refreshedDate="44884.421216550923" createdVersion="6" refreshedVersion="6" minRefreshableVersion="3" recordCount="1">
  <cacheSource type="worksheet">
    <worksheetSource name="Tabela2"/>
  </cacheSource>
  <cacheFields count="9">
    <cacheField name="Atividade" numFmtId="0">
      <sharedItems containsNonDate="0" containsBlank="1" count="14">
        <m/>
        <s v="CSTI - Regularizar acesso Mundo Azul" u="1"/>
        <s v="CSTI - Atender Dúvida" u="1"/>
        <s v="CSTI - Validar teste" u="1"/>
        <s v="CSTI - Alterar e-mail" u="1"/>
        <s v="CSTI - Requisição do Certificado Digital" u="1"/>
        <s v="CSTI - Criar e-mail para o colaborador" u="1"/>
        <s v="CSTI - Inserir/Alterar e-mail do colaborador no grupo de e-mail do polo" u="1"/>
        <s v="CSTI - Requisição do Certificado Digital (fluxo de instalação)" u="1"/>
        <s v="CSTI - Reavaliar teste" u="1"/>
        <s v="CSTI - Redefinir Senha" u="1"/>
        <s v="CSTI - Instalar e configurar scanner para Secretaria Acadêmica Digital e Provas Digitais" u="1"/>
        <s v="CSTI - Bloquear usuário" u="1"/>
        <s v="CSTI - Criar e-mail e associar ao grupo do Polo" u="1"/>
      </sharedItems>
    </cacheField>
    <cacheField name="seed" numFmtId="0">
      <sharedItems containsNonDate="0" containsString="0" containsBlank="1"/>
    </cacheField>
    <cacheField name="polo" numFmtId="0">
      <sharedItems containsNonDate="0" containsString="0" containsBlank="1"/>
    </cacheField>
    <cacheField name="Data de criação" numFmtId="14">
      <sharedItems containsNonDate="0" containsString="0" containsBlank="1"/>
    </cacheField>
    <cacheField name="Usuário executor" numFmtId="0">
      <sharedItems containsNonDate="0" containsString="0" containsBlank="1"/>
    </cacheField>
    <cacheField name="Data de última atualização" numFmtId="14">
      <sharedItems containsNonDate="0" containsString="0" containsBlank="1"/>
    </cacheField>
    <cacheField name="Quantidade de Seeds" numFmtId="0">
      <sharedItems containsNonDate="0" containsString="0" containsBlank="1"/>
    </cacheField>
    <cacheField name="Aging" numFmtId="165">
      <sharedItems containsNonDate="0" containsString="0" containsBlank="1"/>
    </cacheField>
    <cacheField name="Aging Mod" numFmtId="165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Vitor Fernandes" refreshedDate="44884.421216782408" createdVersion="6" refreshedVersion="6" minRefreshableVersion="3" recordCount="1">
  <cacheSource type="worksheet">
    <worksheetSource name="Tabela3"/>
  </cacheSource>
  <cacheFields count="14">
    <cacheField name="ID" numFmtId="0">
      <sharedItems containsNonDate="0" containsString="0" containsBlank="1"/>
    </cacheField>
    <cacheField name="Título" numFmtId="0">
      <sharedItems containsNonDate="0" containsBlank="1" count="187">
        <m/>
        <s v="Senior - Redefinir senha" u="1"/>
        <s v="Hardware - Scanner - Falha" u="1"/>
        <s v="Hardware - Impressoras - Movimentação" u="1"/>
        <s v="Privilégio de acesso - Intranet" u="1"/>
        <s v="E-mail Office 365 - Redefinir senha" u="1"/>
        <s v="Hardware - Periféricos/Dispositivos e Acessórios - Configuração" u="1"/>
        <s v="Privilégio de acesso - Totvs" u="1"/>
        <s v="Sistemas / Portal EAD - Módulos - Relatórios - Falha" u="1"/>
        <s v="Usuário terceirizado - Criar" u="1"/>
        <s v="Portal Ead/APP - Bloqueio" u="1"/>
        <s v="E-mail - Office 365 - Conta - Backup" u="1"/>
        <s v="E-mail - Google - Credencial de acesso" u="1"/>
        <s v="Desktop - Falha" u="1"/>
        <s v="E-mail - Google - Conta - Falha" u="1"/>
        <s v="Acesso à internet - Site bloqueado" u="1"/>
        <s v="Ferramenta - Firewall - VPN - Configurar" u="1"/>
        <s v="Sistemas / Intranet - Módulos - Cielo/Getnet - Falha" u="1"/>
        <s v="Desktop - Instalar" u="1"/>
        <s v="Portal de colaboradores - Acesso" u="1"/>
        <s v="Sistemas / Portal Ead - Módulos - Relatórios - Criar" u="1"/>
        <s v="Desabilitar / Bloquear usuário - Colaborador Unicesumar" u="1"/>
        <s v="AD - Configurar" u="1"/>
        <s v="Internet - Falha" u="1"/>
        <s v="E-mail - Lista de distribuição - Office365 - Criar" u="1"/>
        <s v="Privilégio de acesso - GID" u="1"/>
        <s v="Sistemas / Intranet - Intranet Módulos - Banco de questões - Dúvidas" u="1"/>
        <s v="CSTI - Falhas" u="1"/>
        <s v="Desktop - Movimentar" u="1"/>
        <s v="E-mail - Office 365 - Conta - Restore" u="1"/>
        <s v="Intranet - Bloqueio" u="1"/>
        <s v="Privilégio de acesso - SPO" u="1"/>
        <s v="Sistemas / OutbuyCenter - Falha" u="1"/>
        <s v="Programas - Atualização" u="1"/>
        <s v="Programas - Dúvidas na utilização" u="1"/>
        <s v="Lista de distribuição - Office365 - Incluir" u="1"/>
        <s v="Sistemas / OutbuyCenter - Solicitação de melhoria" u="1"/>
        <s v="Aplicativo - Falha" u="1"/>
        <s v="Aplicativo - Instalar" u="1"/>
        <s v="AD - Perfil de acesso - Falha" u="1"/>
        <s v="AD - Grupos de compartilhamento - Configurar" u="1"/>
        <s v="Portal de solicitações - Credencial de acesso" u="1"/>
        <s v="Pasta V: - Privilégios de acesso" u="1"/>
        <s v="Teams - Incluir" u="1"/>
        <s v="Equipamentos - Notebook - Falha" u="1"/>
        <s v="E-mail - Office 365 - Conta - Credencial de acesso" u="1"/>
        <s v="Sistemas / Portal de solicitações de materiais - Dúvida" u="1"/>
        <s v="GID - Falha" u="1"/>
        <s v="VPN - Criar" u="1"/>
        <s v="Sistemas operacionais - Configurar" u="1"/>
        <s v="E-mail - Anti-Spam - Microsoft - Liberar" u="1"/>
        <s v="Notebook - Recolher" u="1"/>
        <s v="Sistemas / Portal Ead - Falha" u="1"/>
        <s v="Impressora - PIN" u="1"/>
        <s v="Sistemas operacionais - Instalar" u="1"/>
        <s v="Portal de solicitações - Redefinir senha" u="1"/>
        <s v="AD - Falha" u="1"/>
        <s v="Aplicativo - Configurar" u="1"/>
        <s v="Admissão Unicesumar" u="1"/>
        <s v="Hardware - Scanner - Configuração" u="1"/>
        <s v="Tablet - Recolher" u="1"/>
        <s v="Salas de Reunião - Alterar" u="1"/>
        <s v="Habilitar colaborador desligado" u="1"/>
        <s v="Portal de solicitações - Bloqueio" u="1"/>
        <s v="Sistemas / Intranet - Módulos - Diário Eletrônico - Falha" u="1"/>
        <s v="Git - Usuário efetivo - Configurar" u="1"/>
        <s v="Desktop - Recolher" u="1"/>
        <s v="Desktop - Emprestar" u="1"/>
        <s v="Programas - Instalação" u="1"/>
        <s v="Desktop - Configurar" u="1"/>
        <s v="Lyceum - Credencial de acesso" u="1"/>
        <s v="Equipamentos - Desktop - Falha" u="1"/>
        <s v="Intranet - Credencial de acesso" u="1"/>
        <s v="Sistemas / Intranet - Módulos - Painel Frequências - Falha" u="1"/>
        <s v="Hardware - Periféricos/Dispositivos e Acessórios - Aquisição" u="1"/>
        <s v="Lista de distribuição - Office365 - Alterar" u="1"/>
        <s v="E-mail - Office 365 - Conta - Redefinir senha" u="1"/>
        <s v="Sistemas / Intranet - Intranet Módulos - Acadêmico - Alterar" u="1"/>
        <s v="Pasta V - Falha" u="1"/>
        <s v="Totvs - Credencial de acesso" u="1"/>
        <s v="Atualização de Versão - Todos os módulos" u="1"/>
        <s v="Desktop - Formatar" u="1"/>
        <s v="Desktop - Substituir" u="1"/>
        <s v="Notebook - Substituir" u="1"/>
        <s v="Hardware - Scanner - Instalação" u="1"/>
        <s v="OutbuyCenter - Credencial de acesso" u="1"/>
        <s v="Sistemas / Portal Ead - Módulos - Comercial - Processo Seletivo - Inscrições" u="1"/>
        <s v="Totvs - Redefinir Senha" u="1"/>
        <s v="AD - Perfil de acesso - Configurar" u="1"/>
        <s v="Notebook - Falha" u="1"/>
        <s v="E-mail - Goole - Conta - Backup" u="1"/>
        <s v="Privilégio de acesso - Portal Mundo Azul" u="1"/>
        <s v="Lista de distribuição - Office365 - Remover" u="1"/>
        <s v="Lyceum - Redefinir senha" u="1"/>
        <s v="Sistemas / Senior - Falha" u="1"/>
        <s v="E-mail - Lista de Distribuição - Office365 - Falha" u="1"/>
        <s v="E-mail - Lista de distribuição - Office365 - Alterar" u="1"/>
        <s v="E-mail - Lista de distribuição - Office365 - Incluir" u="1"/>
        <s v="Sistemas / Portal Ead - Módulos - Comercial - Negociação" u="1"/>
        <s v="Hardware - Periféricos/Dispositivos e Acessórios - Movimentação" u="1"/>
        <s v="Privilégios de acesso - CSTI" u="1"/>
        <s v="Privilégio de acesso - Desktop" u="1"/>
        <s v="Sistemas / Portal de solicitações - Falha" u="1"/>
        <s v="E-mail - Office 365 - Conta - Suspender acesso" u="1"/>
        <s v="VPN - Falha" u="1"/>
        <s v="Sistemas / Portal APP - Falha" u="1"/>
        <s v="Portal Mundo Azul - Credencial de acesso" u="1"/>
        <s v="Sistemas / Lyceum - Financeiro - Processos" u="1"/>
        <s v="Intranet - Redefinir Senha" u="1"/>
        <s v="Sistemas / SPO - Falha" u="1"/>
        <s v="Usuário - Efetivo - Falha" u="1"/>
        <s v="Privilégio de acesso - Lyceum" u="1"/>
        <s v="Studeo - Web - GRADUAÇÃO EAD Dúvida" u="1"/>
        <s v="E-mail - Google - Conta - Credencial de acesso" u="1"/>
        <s v="Sistemas / Intranet - Intranet Módulos - Projeto Cientifico - Criar" u="1"/>
        <s v="Sistemas / SPO - Dúvida" u="1"/>
        <s v="Sistemas / Portal Ead - Módulos - Comercial - Processo Seletivo - Campanhas" u="1"/>
        <s v="Sistemas / Portal Mundo Azul - Falha" u="1"/>
        <s v="Sistemas / Lyceum - Serviços - Processos" u="1"/>
        <s v="Habilitar Usuário - Colaborador Unicesumar" u="1"/>
        <s v="Sistemas / Intranet - Módulos - Plano de ensino - Relatórios - Falha" u="1"/>
        <s v="E-mail Office 365 - Falha" u="1"/>
        <s v="Notebook - Formatar" u="1"/>
        <s v="Programas - Licenças de software - Transferir licença" u="1"/>
        <s v="Hardware - Impressoras - Instalação" u="1"/>
        <s v="Lista de distribuição - Office365 - Criar" u="1"/>
        <s v="Folha de Pagamento - Convenios RH diversos" u="1"/>
        <s v="Chromebook - Substituir" u="1"/>
        <s v="Sistemas / Lyceum - Falha" u="1"/>
        <s v="E-mail Vitru - Redefinir senha" u="1"/>
        <s v="Sistemas / Portal APP - Dúvida" u="1"/>
        <s v="Sistemas / Outros sistemas - Falha" u="1"/>
        <s v="Acesso à internet - Privilégio de acesso" u="1"/>
        <s v="Notebook - Configurar" u="1"/>
        <s v="E-mail - Office 365 - Conta - Alteração" u="1"/>
        <s v="Privilégio de acesso - Portal de solicitações de materiais" u="1"/>
        <s v="Desktop - Aquisição" u="1"/>
        <s v="Sistemas / GID - Relatório pontual" u="1"/>
        <s v="Sistemas / Lyceum - Hades - Falha" u="1"/>
        <s v="Portal Ead/APP - Credencial de acesso" u="1"/>
        <s v="Sistemas / Lyceum - Financeiro - Pagamento - Falha" u="1"/>
        <s v="Teams - Alterar" u="1"/>
        <s v="Notebook - Instalar" u="1"/>
        <s v="Gid - Credencial de acesso" u="1"/>
        <s v="Hardware - Periféricos/Dispositivos e Acessórios - Instalação" u="1"/>
        <s v="Programas - Falha" u="1"/>
        <s v="Privilégio de acesso - Senior" u="1"/>
        <s v="E-mail - Google - Conta - Redefinir senha" u="1"/>
        <s v="SPO - Credencial de acesso" u="1"/>
        <s v="Sistemas / Intranet - Intranet Módulos - Banco de questões - Alterar" u="1"/>
        <s v="Usuário - Efetivo" u="1"/>
        <s v="Privilégio de acesso - OutbuyCenter" u="1"/>
        <s v="Hardware - Impressoras - Troca de suprimentos" u="1"/>
        <s v="E-mail - Lista de distribuição - Office365 - Remover" u="1"/>
        <s v="Sistemas / Intranet - Módulos - Banco de questões - Falha" u="1"/>
        <s v="Wifi-Voucher" u="1"/>
        <s v="E-mail Office 365 - Suspender acesso" u="1"/>
        <s v="Hardware - Impressoras - Configuração" u="1"/>
        <s v="Notebook - Emprestar" u="1"/>
        <s v="Chromebook - Recolher" u="1"/>
        <s v="Pasta V: - Modificar acesso" u="1"/>
        <s v="Hardware - Impressoras - Falha" u="1"/>
        <s v="Usuário - Genérico" u="1"/>
        <s v="Ferramenta - Firewall - VPN - Ativar" u="1"/>
        <s v="VPN - Alterar" u="1"/>
        <s v="Aplicativo - Atualizar" u="1"/>
        <s v="Senior - Credencial de acesso" u="1"/>
        <s v="Hardware - Impressoras - Aquisição" u="1"/>
        <s v="Acesso à internet - Privilégio de acesso Wi-fi" u="1"/>
        <s v="Notebook - Movimentar" u="1"/>
        <s v="SPO - Redefinir senha" u="1"/>
        <s v="Rede Dominio - Desktop - Incluir" u="1"/>
        <s v="[EXTERNO]Admissão Unicesumar" u="1"/>
        <s v="CSTI - Solicitação de Melhorias" u="1"/>
        <s v="E-mail - Office365 - Conta - Falha" u="1"/>
        <s v="Hardware - Periféricos/Dispositivos e Acessórios - Falha" u="1"/>
        <s v="E-mail Office 365 - Alteração" u="1"/>
        <s v="AD - Logs de acessos - Configurar" u="1"/>
        <s v="Privilégio de acesso - Portal Ead/App" u="1"/>
        <s v="Sistemas / Lyceum - Solicitação de melhoria" u="1"/>
        <s v="Centro de Custo - AD" u="1"/>
        <s v="E-mail Office 365 - Credencial de acesso" u="1"/>
        <s v="E-mail - Configuração do e-mail no celular" u="1"/>
        <s v="Hardware - Periféricos/Dispositivos e Acessórios - Remoção" u="1"/>
        <s v="Sistemas / Portal de solicitações de materiais - Solicitação de melhoria" u="1"/>
        <s v="SPO - Bloqueio" u="1"/>
        <s v="Portal Ead/APP - Redefinir senha" u="1"/>
      </sharedItems>
    </cacheField>
    <cacheField name="Status" numFmtId="0">
      <sharedItems containsNonDate="0" containsString="0" containsBlank="1"/>
    </cacheField>
    <cacheField name="Data de abertura" numFmtId="22">
      <sharedItems containsNonDate="0" containsString="0" containsBlank="1"/>
    </cacheField>
    <cacheField name="Requerente - Requerente" numFmtId="0">
      <sharedItems containsNonDate="0" containsString="0" containsBlank="1"/>
    </cacheField>
    <cacheField name="Requerente - Grupo requerente" numFmtId="0">
      <sharedItems containsNonDate="0" containsString="0" containsBlank="1"/>
    </cacheField>
    <cacheField name="Atribuído para - Técnico" numFmtId="0">
      <sharedItems containsNonDate="0" containsString="0" containsBlank="1"/>
    </cacheField>
    <cacheField name="Atribuído para - Grupo técnico" numFmtId="0">
      <sharedItems containsNonDate="0" containsString="0" containsBlank="1"/>
    </cacheField>
    <cacheField name="Última atualização" numFmtId="22">
      <sharedItems containsNonDate="0" containsString="0" containsBlank="1"/>
    </cacheField>
    <cacheField name="Tipo" numFmtId="0">
      <sharedItems containsNonDate="0" containsString="0" containsBlank="1"/>
    </cacheField>
    <cacheField name="Aprovação - Aprovação" numFmtId="0">
      <sharedItems containsNonDate="0" containsString="0" containsBlank="1"/>
    </cacheField>
    <cacheField name="Prioridade" numFmtId="0">
      <sharedItems containsNonDate="0" containsString="0" containsBlank="1"/>
    </cacheField>
    <cacheField name="Aging" numFmtId="164">
      <sharedItems containsNonDate="0" containsString="0" containsBlank="1"/>
    </cacheField>
    <cacheField name="Aging Mod" numFmtId="16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Vitor Fernandes" refreshedDate="44884.421216782408" createdVersion="6" refreshedVersion="6" minRefreshableVersion="3" recordCount="1">
  <cacheSource type="worksheet">
    <worksheetSource name="Tabela4"/>
  </cacheSource>
  <cacheFields count="14">
    <cacheField name="ID" numFmtId="0">
      <sharedItems containsNonDate="0" containsString="0" containsBlank="1"/>
    </cacheField>
    <cacheField name="Título" numFmtId="0">
      <sharedItems containsNonDate="0" containsBlank="1" count="160">
        <m/>
        <s v="Hardware - Scanner - Falha" u="1"/>
        <s v="Hardware - Impressoras - Movimentação" u="1"/>
        <s v="Privilégio de acesso - Intranet" u="1"/>
        <s v="Hardware - Periféricos/Dispositivos e Acessórios - Configuração" u="1"/>
        <s v="Privilégio de acesso - Totvs" u="1"/>
        <s v="Usuário terceirizado - Criar" u="1"/>
        <s v="Equipamentos - Tablet - Falha" u="1"/>
        <s v="Notebook - Aquisição" u="1"/>
        <s v="Portal Ead/APP - Bloqueio" u="1"/>
        <s v="E-mail - Office 365 - Conta - Backup" u="1"/>
        <s v="Desktop - Falha" u="1"/>
        <s v="E-mail - Google - Conta - Falha" u="1"/>
        <s v="Acesso à internet - Site bloqueado" u="1"/>
        <s v="Ferramenta - Firewall - VPN - Configurar" u="1"/>
        <s v="Desktop - Instalar" u="1"/>
        <s v="Portal de colaboradores - Acesso" u="1"/>
        <s v="Sistemas / Portal Ead - Módulos - Relatórios - Criar" u="1"/>
        <s v="Desabilitar / Bloquear usuário - Colaborador Unicesumar" u="1"/>
        <s v="AD - Configurar" u="1"/>
        <s v="Internet - Falha" u="1"/>
        <s v="Hardware - Impressoras - Remoção" u="1"/>
        <s v="E-mail - Lista de distribuição - Office365 - Criar" u="1"/>
        <s v="Privilégio de acesso - GID" u="1"/>
        <s v="CSTI - Falhas" u="1"/>
        <s v="Desktop - Movimentar" u="1"/>
        <s v="E-mail - Office 365 - Conta - Restore" u="1"/>
        <s v="Privilégio de acesso - SPO" u="1"/>
        <s v="Programas - Atualização" u="1"/>
        <s v="Aplicativo - Falha" u="1"/>
        <s v="Aplicativo - Instalar" u="1"/>
        <s v="Portal de solicitações - Credencial de acesso" u="1"/>
        <s v="Pasta V: - Privilégios de acesso" u="1"/>
        <s v="Ferramenta - Firewall - Antivírus - Configurar" u="1"/>
        <s v="Teams - Incluir" u="1"/>
        <s v="Equipamentos - Notebook - Falha" u="1"/>
        <s v="E-mail - Office 365 - Conta - Credencial de acesso" u="1"/>
        <s v="GID - Falha" u="1"/>
        <s v="VPN - Criar" u="1"/>
        <s v="Certificados - Atualizar" u="1"/>
        <s v="Sistemas operacionais - Configurar" u="1"/>
        <s v="Notebook - Recolher" u="1"/>
        <s v="Sistemas / Portal Ead - Falha" u="1"/>
        <s v="Impressora - PIN" u="1"/>
        <s v="Sistemas operacionais - Instalar" u="1"/>
        <s v="Aplicativo - Configurar" u="1"/>
        <s v="Admissão Unicesumar" u="1"/>
        <s v="Hardware - Scanner - Configuração" u="1"/>
        <s v="Tablet - Recolher" u="1"/>
        <s v="Salas de Reunião - Alterar" u="1"/>
        <s v="Habilitar colaborador desligado" u="1"/>
        <s v="Servidores - Backup" u="1"/>
        <s v="Eventos - Alocação de Equipe" u="1"/>
        <s v="Desktop - Recolher" u="1"/>
        <s v="Certificados - Instalar" u="1"/>
        <s v="Desktop - Emprestar" u="1"/>
        <s v="Programas - Instalação" u="1"/>
        <s v="Hardware - Scanner - Empréstimo" u="1"/>
        <s v="Desktop - Configurar" u="1"/>
        <s v="Lyceum - Credencial de acesso" u="1"/>
        <s v="Equipamentos - Desktop - Falha" u="1"/>
        <s v="Intranet - Credencial de acesso" u="1"/>
        <s v="Sistemas / Intranet - Módulos - Painel Frequências - Falha" u="1"/>
        <s v="Hardware - Scanner - Movimentação" u="1"/>
        <s v="Hardware - Periféricos/Dispositivos e Acessórios - Aquisição" u="1"/>
        <s v="E-mail - Office 365 - Conta - Redefinir senha" u="1"/>
        <s v="Pasta V - Falha" u="1"/>
        <s v="Totvs - Credencial de acesso" u="1"/>
        <s v="Atualização de Versão - Todos os módulos" u="1"/>
        <s v="Desktop - Formatar" u="1"/>
        <s v="Desktop - Substituir" u="1"/>
        <s v="Notebook - Substituir" u="1"/>
        <s v="Hardware - Scanner - Instalação" u="1"/>
        <s v="Chromebook - Instalar" u="1"/>
        <s v="Totvs - Redefinir Senha" u="1"/>
        <s v="AD - Perfil de acesso - Configurar" u="1"/>
        <s v="Notebook - Falha" u="1"/>
        <s v="E-mail - Goole - Conta - Backup" u="1"/>
        <s v="Privilégio de acesso - Portal Mundo Azul" u="1"/>
        <s v="Programas - Licenças de software - Renovar licença" u="1"/>
        <s v="Hardware - Periféricos/Dispositivos e Acessórios - Empréstimo" u="1"/>
        <s v="Lyceum - Redefinir senha" u="1"/>
        <s v="Sistemas / Senior - Falha" u="1"/>
        <s v="E-mail - Lista de Distribuição - Office365 - Falha" u="1"/>
        <s v="E-mail - Lista de distribuição - Office365 - Alterar" u="1"/>
        <s v="E-mail - Lista de distribuição - Office365 - Incluir" u="1"/>
        <s v="Hardware - Periféricos/Dispositivos e Acessórios - Movimentação" u="1"/>
        <s v="Privilégios de acesso - CSTI" u="1"/>
        <s v="Privilégio de acesso - Desktop" u="1"/>
        <s v="Sistemas / Portal de solicitações - Falha" u="1"/>
        <s v="E-mail - Office 365 - Conta - Suspender acesso" u="1"/>
        <s v="VPN - Falha" u="1"/>
        <s v="Sistemas / Portal APP - Falha" u="1"/>
        <s v="Hardware - Impressoras - Empréstimo" u="1"/>
        <s v="Ferramenta - Firewall - Antivírus - Ativar" u="1"/>
        <s v="Portal Mundo Azul - Credencial de acesso" u="1"/>
        <s v="Sistemas / Lyceum - Financeiro - Processos" u="1"/>
        <s v="Intranet - Redefinir Senha" u="1"/>
        <s v="Usuário - Efetivo - Falha" u="1"/>
        <s v="Privilégio de acesso - Lyceum" u="1"/>
        <s v="E-mail - Google - Conta - Credencial de acesso" u="1"/>
        <s v="Sistemas / SPO - Dúvida" u="1"/>
        <s v="Sistemas / Portal Ead - Módulos - Comercial - Processo Seletivo - Campanhas" u="1"/>
        <s v="Sistemas / Portal Mundo Azul - Falha" u="1"/>
        <s v="Sistemas / Lyceum - Serviços - Processos" u="1"/>
        <s v="Sistemas / Intranet - Módulos - Plano de ensino - Relatórios - Falha" u="1"/>
        <s v="E-mail Office 365 - Falha" u="1"/>
        <s v="Studeo - Web - GRADUAÇÃO EAD Falha" u="1"/>
        <s v="Notebook - Formatar" u="1"/>
        <s v="Programas - Licenças de software - Transferir licença" u="1"/>
        <s v="Hardware - Impressoras - Instalação" u="1"/>
        <s v="Folha de Pagamento - Convenios RH diversos" u="1"/>
        <s v="Chromebook - Substituir" u="1"/>
        <s v="Sistemas / Lyceum - Falha" u="1"/>
        <s v="Sistemas / Portal APP - Dúvida" u="1"/>
        <s v="Sistemas / Outros sistemas - Falha" u="1"/>
        <s v="Acesso à internet - Privilégio de acesso" u="1"/>
        <s v="Notebook - Configurar" u="1"/>
        <s v="E-mail - Office 365 - Conta - Alteração" u="1"/>
        <s v="Privilégio de acesso - Portal de solicitações de materiais" u="1"/>
        <s v="Desktop - Aquisição" u="1"/>
        <s v="Tablet - Aquisição" u="1"/>
        <s v="Portal Ead/APP - Credencial de acesso" u="1"/>
        <s v="Sistemas / Lyceum - Financeiro - Pagamento - Falha" u="1"/>
        <s v="Notebook - Instalar" u="1"/>
        <s v="Gid - Credencial de acesso" u="1"/>
        <s v="Hardware - Periféricos/Dispositivos e Acessórios - Instalação" u="1"/>
        <s v="Programas - Falha" u="1"/>
        <s v="Privilégio de acesso - Senior" u="1"/>
        <s v="E-mail - Google - Conta - Redefinir senha" u="1"/>
        <s v="SPO - Credencial de acesso" u="1"/>
        <s v="Sistemas / Intranet - Intranet Módulos - Banco de questões - Alterar" u="1"/>
        <s v="Privilégio de acesso - OutbuyCenter" u="1"/>
        <s v="Hardware - Impressoras - Troca de suprimentos" u="1"/>
        <s v="Sistemas / Intranet - Módulos - Banco de questões - Falha" u="1"/>
        <s v="Wifi-Voucher" u="1"/>
        <s v="Hardware - Impressoras - Configuração" u="1"/>
        <s v="Notebook - Emprestar" u="1"/>
        <s v="Chromebook - Recolher" u="1"/>
        <s v="Pasta V: - Modificar acesso" u="1"/>
        <s v="Hardware - Impressoras - Falha" u="1"/>
        <s v="Usuário - Genérico" u="1"/>
        <s v="Ferramenta - Firewall - VPN - Ativar" u="1"/>
        <s v="VPN - Alterar" u="1"/>
        <s v="Aplicativo - Atualizar" u="1"/>
        <s v="Senior - Credencial de acesso" u="1"/>
        <s v="Hardware - Impressoras - Aquisição" u="1"/>
        <s v="Acesso à internet - Privilégio de acesso Wi-fi" u="1"/>
        <s v="Notebook - Movimentar" u="1"/>
        <s v="Rede Dominio - Desktop - Incluir" u="1"/>
        <s v="E-mail - Office365 - Conta - Falha" u="1"/>
        <s v="Hardware - Periféricos/Dispositivos e Acessórios - Falha" u="1"/>
        <s v="Programas - Licenças de software - Aquisição de software" u="1"/>
        <s v="Privilégio de acesso - Portal Ead/App" u="1"/>
        <s v="Sistemas / Lyceum - Solicitação de melhoria" u="1"/>
        <s v="Centro de Custo - AD" u="1"/>
        <s v="E-mail - Configuração do e-mail no celular" u="1"/>
        <s v="Hardware - Periféricos/Dispositivos e Acessórios - Remoção" u="1"/>
        <s v="Sistemas / Portal de solicitações de materiais - Solicitação de melhoria" u="1"/>
        <s v="Portal Ead/APP - Redefinir senha" u="1"/>
      </sharedItems>
    </cacheField>
    <cacheField name="Status" numFmtId="0">
      <sharedItems containsNonDate="0" containsString="0" containsBlank="1"/>
    </cacheField>
    <cacheField name="Data de abertura" numFmtId="22">
      <sharedItems containsNonDate="0" containsString="0" containsBlank="1"/>
    </cacheField>
    <cacheField name="Requerente - Requerente" numFmtId="0">
      <sharedItems containsNonDate="0" containsString="0" containsBlank="1"/>
    </cacheField>
    <cacheField name="Requerente - Grupo requerente" numFmtId="0">
      <sharedItems containsNonDate="0" containsString="0" containsBlank="1"/>
    </cacheField>
    <cacheField name="Atribuído para - Técnico" numFmtId="0">
      <sharedItems containsNonDate="0" containsString="0" containsBlank="1"/>
    </cacheField>
    <cacheField name="Atribuído para - Grupo técnico" numFmtId="0">
      <sharedItems containsNonDate="0" containsString="0" containsBlank="1"/>
    </cacheField>
    <cacheField name="Última atualização" numFmtId="22">
      <sharedItems containsNonDate="0" containsString="0" containsBlank="1"/>
    </cacheField>
    <cacheField name="Tipo" numFmtId="0">
      <sharedItems containsNonDate="0" containsString="0" containsBlank="1"/>
    </cacheField>
    <cacheField name="Aprovação - Aprovação" numFmtId="0">
      <sharedItems containsNonDate="0" containsString="0" containsBlank="1"/>
    </cacheField>
    <cacheField name="Prioridade" numFmtId="0">
      <sharedItems containsNonDate="0" containsString="0" containsBlank="1"/>
    </cacheField>
    <cacheField name="Aging" numFmtId="164">
      <sharedItems containsNonDate="0" containsString="0" containsBlank="1"/>
    </cacheField>
    <cacheField name="Aging Mod" numFmtId="16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m/>
    <x v="0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x v="0"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m/>
    <x v="0"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">
  <r>
    <m/>
    <x v="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7" cacheId="2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M.I - Suporte Campo">
  <location ref="P2:S4" firstHeaderRow="0" firstDataRow="1" firstDataCol="1"/>
  <pivotFields count="14">
    <pivotField showAll="0"/>
    <pivotField axis="axisRow" dataField="1" showAll="0" sortType="descending">
      <items count="161">
        <item m="1" x="116"/>
        <item m="1" x="147"/>
        <item m="1" x="30"/>
        <item m="1" x="156"/>
        <item m="1" x="77"/>
        <item m="1" x="22"/>
        <item m="1" x="85"/>
        <item m="1" x="118"/>
        <item m="1" x="36"/>
        <item m="1" x="150"/>
        <item m="1" x="50"/>
        <item m="1" x="43"/>
        <item m="1" x="61"/>
        <item m="1" x="32"/>
        <item m="1" x="31"/>
        <item m="1" x="9"/>
        <item m="1" x="122"/>
        <item m="1" x="23"/>
        <item m="1" x="3"/>
        <item m="1" x="99"/>
        <item m="1" x="119"/>
        <item m="1" x="153"/>
        <item m="1" x="78"/>
        <item m="1" x="128"/>
        <item m="1" x="27"/>
        <item m="1" x="5"/>
        <item m="1" x="87"/>
        <item m="1" x="28"/>
        <item m="1" x="127"/>
        <item m="1" x="56"/>
        <item m="1" x="145"/>
        <item m="1" x="154"/>
        <item m="1" x="115"/>
        <item m="1" x="92"/>
        <item m="1" x="158"/>
        <item m="1" x="42"/>
        <item m="1" x="103"/>
        <item m="1" x="101"/>
        <item m="1" x="40"/>
        <item m="1" x="130"/>
        <item m="1" x="67"/>
        <item m="1" x="74"/>
        <item m="1" x="98"/>
        <item m="1" x="38"/>
        <item m="1" x="91"/>
        <item m="1" x="135"/>
        <item x="0"/>
        <item m="1" x="64"/>
        <item m="1" x="79"/>
        <item m="1" x="11"/>
        <item m="1" x="126"/>
        <item m="1" x="4"/>
        <item m="1" x="69"/>
        <item m="1" x="47"/>
        <item m="1" x="72"/>
        <item m="1" x="70"/>
        <item m="1" x="117"/>
        <item m="1" x="136"/>
        <item m="1" x="140"/>
        <item m="1" x="108"/>
        <item m="1" x="88"/>
        <item m="1" x="139"/>
        <item m="1" x="21"/>
        <item m="1" x="15"/>
        <item m="1" x="8"/>
        <item m="1" x="76"/>
        <item m="1" x="58"/>
        <item m="1" x="120"/>
        <item m="1" x="25"/>
        <item m="1" x="137"/>
        <item m="1" x="20"/>
        <item m="1" x="71"/>
        <item m="1" x="44"/>
        <item m="1" x="133"/>
        <item m="1" x="151"/>
        <item m="1" x="107"/>
        <item m="1" x="110"/>
        <item m="1" x="60"/>
        <item m="1" x="53"/>
        <item m="1" x="75"/>
        <item m="1" x="1"/>
        <item m="1" x="157"/>
        <item m="1" x="152"/>
        <item m="1" x="124"/>
        <item m="1" x="86"/>
        <item m="1" x="149"/>
        <item m="1" x="34"/>
        <item m="1" x="148"/>
        <item m="1" x="41"/>
        <item m="1" x="29"/>
        <item m="1" x="143"/>
        <item m="1" x="19"/>
        <item m="1" x="51"/>
        <item m="1" x="138"/>
        <item m="1" x="83"/>
        <item m="1" x="142"/>
        <item m="1" x="35"/>
        <item m="1" x="144"/>
        <item m="1" x="26"/>
        <item m="1" x="12"/>
        <item m="1" x="39"/>
        <item m="1" x="63"/>
        <item m="1" x="112"/>
        <item m="1" x="48"/>
        <item m="1" x="121"/>
        <item m="1" x="24"/>
        <item m="1" x="55"/>
        <item m="1" x="14"/>
        <item m="1" x="84"/>
        <item m="1" x="18"/>
        <item m="1" x="159"/>
        <item m="1" x="65"/>
        <item m="1" x="131"/>
        <item m="1" x="134"/>
        <item m="1" x="66"/>
        <item m="1" x="59"/>
        <item m="1" x="49"/>
        <item m="1" x="102"/>
        <item m="1" x="68"/>
        <item m="1" x="100"/>
        <item m="1" x="90"/>
        <item m="1" x="6"/>
        <item m="1" x="95"/>
        <item m="1" x="16"/>
        <item m="1" x="81"/>
        <item m="1" x="155"/>
        <item m="1" x="45"/>
        <item m="1" x="96"/>
        <item m="1" x="123"/>
        <item m="1" x="17"/>
        <item m="1" x="2"/>
        <item m="1" x="146"/>
        <item m="1" x="129"/>
        <item m="1" x="125"/>
        <item m="1" x="82"/>
        <item m="1" x="132"/>
        <item m="1" x="97"/>
        <item m="1" x="113"/>
        <item m="1" x="104"/>
        <item m="1" x="109"/>
        <item m="1" x="62"/>
        <item m="1" x="46"/>
        <item m="1" x="111"/>
        <item m="1" x="89"/>
        <item m="1" x="105"/>
        <item m="1" x="37"/>
        <item m="1" x="114"/>
        <item m="1" x="141"/>
        <item m="1" x="7"/>
        <item m="1" x="93"/>
        <item m="1" x="80"/>
        <item m="1" x="52"/>
        <item m="1" x="106"/>
        <item m="1" x="57"/>
        <item m="1" x="94"/>
        <item m="1" x="54"/>
        <item m="1" x="10"/>
        <item m="1" x="73"/>
        <item m="1" x="33"/>
        <item m="1" x="13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umFmtId="22" showAll="0"/>
    <pivotField showAll="0"/>
    <pivotField showAll="0"/>
    <pivotField showAll="0"/>
    <pivotField showAll="0"/>
    <pivotField numFmtId="22" showAll="0"/>
    <pivotField showAll="0"/>
    <pivotField showAll="0"/>
    <pivotField showAll="0"/>
    <pivotField dataField="1" numFmtId="22" showAll="0"/>
    <pivotField dataField="1" numFmtId="22" showAll="0"/>
  </pivotFields>
  <rowFields count="1">
    <field x="1"/>
  </rowFields>
  <rowItems count="2">
    <i>
      <x v="4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ntagem de Título" fld="1" subtotal="count" baseField="0" baseItem="0"/>
    <dataField name="Máx de Aging" fld="12" subtotal="max" baseField="1" baseItem="0" numFmtId="1"/>
    <dataField name="Máx de Aging Mod" fld="13" subtotal="max" baseField="1" baseItem="0" numFmtId="1"/>
  </dataFields>
  <formats count="7">
    <format dxfId="29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1" type="button" dataOnly="0" labelOnly="1" outline="0" axis="axisRow" fieldPosition="0"/>
    </format>
    <format dxfId="25">
      <pivotArea dataOnly="0" labelOnly="1" fieldPosition="0">
        <references count="1">
          <reference field="1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54">
    <conditionalFormat priority="172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46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</reference>
          </references>
        </pivotArea>
      </pivotAreas>
    </conditionalFormat>
    <conditionalFormat priority="17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46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</reference>
          </references>
        </pivotArea>
      </pivotAreas>
    </conditionalFormat>
    <conditionalFormat priority="170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46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</reference>
          </references>
        </pivotArea>
      </pivotAreas>
    </conditionalFormat>
    <conditionalFormat priority="16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6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7"/>
              <x v="98"/>
              <x v="99"/>
              <x v="100"/>
              <x v="101"/>
              <x v="102"/>
            </reference>
          </references>
        </pivotArea>
      </pivotAreas>
    </conditionalFormat>
    <conditionalFormat priority="165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6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7"/>
              <x v="98"/>
              <x v="99"/>
              <x v="100"/>
              <x v="101"/>
              <x v="102"/>
            </reference>
          </references>
        </pivotArea>
      </pivotAreas>
    </conditionalFormat>
    <conditionalFormat priority="164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6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7"/>
              <x v="98"/>
              <x v="99"/>
              <x v="100"/>
              <x v="101"/>
              <x v="102"/>
            </reference>
          </references>
        </pivotArea>
      </pivotAreas>
    </conditionalFormat>
    <conditionalFormat priority="15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5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8"/>
              <x v="99"/>
              <x v="100"/>
              <x v="101"/>
              <x v="102"/>
              <x v="103"/>
            </reference>
          </references>
        </pivotArea>
      </pivotAreas>
    </conditionalFormat>
    <conditionalFormat priority="156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5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8"/>
              <x v="99"/>
              <x v="100"/>
              <x v="101"/>
              <x v="102"/>
              <x v="103"/>
            </reference>
          </references>
        </pivotArea>
      </pivotAreas>
    </conditionalFormat>
    <conditionalFormat priority="155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5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8"/>
              <x v="99"/>
              <x v="100"/>
              <x v="101"/>
              <x v="102"/>
              <x v="103"/>
            </reference>
          </references>
        </pivotArea>
      </pivotAreas>
    </conditionalFormat>
    <conditionalFormat priority="15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6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</reference>
          </references>
        </pivotArea>
      </pivotAreas>
    </conditionalFormat>
    <conditionalFormat priority="150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6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</reference>
          </references>
        </pivotArea>
      </pivotAreas>
    </conditionalFormat>
    <conditionalFormat priority="149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6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</reference>
          </references>
        </pivotArea>
      </pivotAreas>
    </conditionalFormat>
    <conditionalFormat priority="130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2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0"/>
              <x v="102"/>
              <x v="103"/>
              <x v="105"/>
            </reference>
          </references>
        </pivotArea>
      </pivotAreas>
    </conditionalFormat>
    <conditionalFormat priority="129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2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0"/>
              <x v="102"/>
              <x v="103"/>
              <x v="105"/>
            </reference>
          </references>
        </pivotArea>
      </pivotAreas>
    </conditionalFormat>
    <conditionalFormat priority="128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2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0"/>
              <x v="102"/>
              <x v="103"/>
              <x v="105"/>
            </reference>
          </references>
        </pivotArea>
      </pivotAreas>
    </conditionalFormat>
    <conditionalFormat priority="12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1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5"/>
              <x v="66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0"/>
              <x v="103"/>
              <x v="105"/>
              <x v="106"/>
            </reference>
          </references>
        </pivotArea>
      </pivotAreas>
    </conditionalFormat>
    <conditionalFormat priority="120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1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5"/>
              <x v="66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0"/>
              <x v="103"/>
              <x v="105"/>
              <x v="106"/>
            </reference>
          </references>
        </pivotArea>
      </pivotAreas>
    </conditionalFormat>
    <conditionalFormat priority="119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1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5"/>
              <x v="66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0"/>
              <x v="103"/>
              <x v="105"/>
              <x v="106"/>
            </reference>
          </references>
        </pivotArea>
      </pivotAreas>
    </conditionalFormat>
    <conditionalFormat priority="10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3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9"/>
              <x v="60"/>
              <x v="61"/>
              <x v="76"/>
              <x v="79"/>
              <x v="90"/>
              <x v="94"/>
              <x v="99"/>
              <x v="107"/>
              <x v="108"/>
              <x v="109"/>
              <x v="110"/>
              <x v="111"/>
              <x v="112"/>
              <x v="113"/>
              <x v="11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8"/>
              <x v="129"/>
            </reference>
          </references>
        </pivotArea>
      </pivotAreas>
    </conditionalFormat>
    <conditionalFormat priority="108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3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9"/>
              <x v="60"/>
              <x v="61"/>
              <x v="76"/>
              <x v="79"/>
              <x v="90"/>
              <x v="94"/>
              <x v="99"/>
              <x v="107"/>
              <x v="108"/>
              <x v="109"/>
              <x v="110"/>
              <x v="111"/>
              <x v="112"/>
              <x v="113"/>
              <x v="11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8"/>
              <x v="129"/>
            </reference>
          </references>
        </pivotArea>
      </pivotAreas>
    </conditionalFormat>
    <conditionalFormat priority="107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3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9"/>
              <x v="60"/>
              <x v="61"/>
              <x v="76"/>
              <x v="79"/>
              <x v="90"/>
              <x v="94"/>
              <x v="99"/>
              <x v="107"/>
              <x v="108"/>
              <x v="109"/>
              <x v="110"/>
              <x v="111"/>
              <x v="112"/>
              <x v="113"/>
              <x v="11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8"/>
              <x v="129"/>
            </reference>
          </references>
        </pivotArea>
      </pivotAreas>
    </conditionalFormat>
    <conditionalFormat priority="106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9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2"/>
              <x v="63"/>
              <x v="65"/>
              <x v="66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3"/>
              <x v="105"/>
              <x v="106"/>
              <x v="130"/>
            </reference>
          </references>
        </pivotArea>
      </pivotAreas>
    </conditionalFormat>
    <conditionalFormat priority="105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9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2"/>
              <x v="63"/>
              <x v="65"/>
              <x v="66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3"/>
              <x v="105"/>
              <x v="106"/>
              <x v="130"/>
            </reference>
          </references>
        </pivotArea>
      </pivotAreas>
    </conditionalFormat>
    <conditionalFormat priority="10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9">
              <x v="2"/>
              <x v="3"/>
              <x v="7"/>
              <x v="8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2"/>
              <x v="63"/>
              <x v="65"/>
              <x v="66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6"/>
              <x v="87"/>
              <x v="88"/>
              <x v="89"/>
              <x v="90"/>
              <x v="91"/>
              <x v="93"/>
              <x v="94"/>
              <x v="95"/>
              <x v="96"/>
              <x v="98"/>
              <x v="99"/>
              <x v="103"/>
              <x v="105"/>
              <x v="106"/>
              <x v="130"/>
            </reference>
          </references>
        </pivotArea>
      </pivotAreas>
    </conditionalFormat>
    <conditionalFormat priority="86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6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89"/>
              <x v="90"/>
              <x v="93"/>
              <x v="94"/>
              <x v="96"/>
              <x v="99"/>
              <x v="103"/>
              <x v="105"/>
              <x v="106"/>
              <x v="114"/>
              <x v="130"/>
              <x v="131"/>
            </reference>
          </references>
        </pivotArea>
      </pivotAreas>
    </conditionalFormat>
    <conditionalFormat priority="85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6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89"/>
              <x v="90"/>
              <x v="93"/>
              <x v="94"/>
              <x v="96"/>
              <x v="99"/>
              <x v="103"/>
              <x v="105"/>
              <x v="106"/>
              <x v="114"/>
              <x v="130"/>
              <x v="131"/>
            </reference>
          </references>
        </pivotArea>
      </pivotAreas>
    </conditionalFormat>
    <conditionalFormat priority="8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6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89"/>
              <x v="90"/>
              <x v="93"/>
              <x v="94"/>
              <x v="96"/>
              <x v="99"/>
              <x v="103"/>
              <x v="105"/>
              <x v="106"/>
              <x v="114"/>
              <x v="130"/>
              <x v="131"/>
            </reference>
          </references>
        </pivotArea>
      </pivotAreas>
    </conditionalFormat>
    <conditionalFormat priority="74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0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3"/>
              <x v="24"/>
              <x v="26"/>
              <x v="28"/>
              <x v="29"/>
              <x v="30"/>
              <x v="32"/>
              <x v="33"/>
              <x v="34"/>
              <x v="36"/>
              <x v="39"/>
              <x v="40"/>
              <x v="43"/>
              <x v="44"/>
              <x v="45"/>
              <x v="49"/>
              <x v="60"/>
              <x v="61"/>
              <x v="66"/>
              <x v="70"/>
              <x v="90"/>
              <x v="94"/>
              <x v="99"/>
              <x v="105"/>
              <x v="108"/>
              <x v="109"/>
              <x v="110"/>
              <x v="111"/>
              <x v="115"/>
              <x v="116"/>
              <x v="118"/>
              <x v="119"/>
              <x v="120"/>
              <x v="124"/>
              <x v="125"/>
              <x v="128"/>
              <x v="132"/>
              <x v="133"/>
              <x v="134"/>
              <x v="135"/>
              <x v="136"/>
              <x v="137"/>
              <x v="138"/>
              <x v="139"/>
            </reference>
          </references>
        </pivotArea>
      </pivotAreas>
    </conditionalFormat>
    <conditionalFormat priority="73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0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3"/>
              <x v="24"/>
              <x v="26"/>
              <x v="28"/>
              <x v="29"/>
              <x v="30"/>
              <x v="32"/>
              <x v="33"/>
              <x v="34"/>
              <x v="36"/>
              <x v="39"/>
              <x v="40"/>
              <x v="43"/>
              <x v="44"/>
              <x v="45"/>
              <x v="49"/>
              <x v="60"/>
              <x v="61"/>
              <x v="66"/>
              <x v="70"/>
              <x v="90"/>
              <x v="94"/>
              <x v="99"/>
              <x v="105"/>
              <x v="108"/>
              <x v="109"/>
              <x v="110"/>
              <x v="111"/>
              <x v="115"/>
              <x v="116"/>
              <x v="118"/>
              <x v="119"/>
              <x v="120"/>
              <x v="124"/>
              <x v="125"/>
              <x v="128"/>
              <x v="132"/>
              <x v="133"/>
              <x v="134"/>
              <x v="135"/>
              <x v="136"/>
              <x v="137"/>
              <x v="138"/>
              <x v="139"/>
            </reference>
          </references>
        </pivotArea>
      </pivotAreas>
    </conditionalFormat>
    <conditionalFormat priority="7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0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3"/>
              <x v="24"/>
              <x v="26"/>
              <x v="28"/>
              <x v="29"/>
              <x v="30"/>
              <x v="32"/>
              <x v="33"/>
              <x v="34"/>
              <x v="36"/>
              <x v="39"/>
              <x v="40"/>
              <x v="43"/>
              <x v="44"/>
              <x v="45"/>
              <x v="49"/>
              <x v="60"/>
              <x v="61"/>
              <x v="66"/>
              <x v="70"/>
              <x v="90"/>
              <x v="94"/>
              <x v="99"/>
              <x v="105"/>
              <x v="108"/>
              <x v="109"/>
              <x v="110"/>
              <x v="111"/>
              <x v="115"/>
              <x v="116"/>
              <x v="118"/>
              <x v="119"/>
              <x v="120"/>
              <x v="124"/>
              <x v="125"/>
              <x v="128"/>
              <x v="132"/>
              <x v="133"/>
              <x v="134"/>
              <x v="135"/>
              <x v="136"/>
              <x v="137"/>
              <x v="138"/>
              <x v="139"/>
            </reference>
          </references>
        </pivotArea>
      </pivotAreas>
    </conditionalFormat>
    <conditionalFormat priority="6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8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6"/>
              <x v="37"/>
              <x v="39"/>
              <x v="40"/>
              <x v="43"/>
              <x v="44"/>
              <x v="45"/>
              <x v="60"/>
              <x v="61"/>
              <x v="66"/>
              <x v="70"/>
              <x v="90"/>
              <x v="94"/>
              <x v="95"/>
              <x v="105"/>
              <x v="109"/>
              <x v="110"/>
              <x v="111"/>
              <x v="114"/>
              <x v="115"/>
              <x v="116"/>
              <x v="118"/>
              <x v="119"/>
              <x v="120"/>
              <x v="121"/>
              <x v="125"/>
              <x v="132"/>
              <x v="133"/>
              <x v="134"/>
              <x v="136"/>
              <x v="137"/>
              <x v="139"/>
              <x v="140"/>
              <x v="141"/>
              <x v="142"/>
              <x v="143"/>
              <x v="144"/>
              <x v="145"/>
              <x v="146"/>
              <x v="147"/>
            </reference>
          </references>
        </pivotArea>
      </pivotAreas>
    </conditionalFormat>
    <conditionalFormat priority="64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8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6"/>
              <x v="37"/>
              <x v="39"/>
              <x v="40"/>
              <x v="43"/>
              <x v="44"/>
              <x v="45"/>
              <x v="60"/>
              <x v="61"/>
              <x v="66"/>
              <x v="70"/>
              <x v="90"/>
              <x v="94"/>
              <x v="95"/>
              <x v="105"/>
              <x v="109"/>
              <x v="110"/>
              <x v="111"/>
              <x v="114"/>
              <x v="115"/>
              <x v="116"/>
              <x v="118"/>
              <x v="119"/>
              <x v="120"/>
              <x v="121"/>
              <x v="125"/>
              <x v="132"/>
              <x v="133"/>
              <x v="134"/>
              <x v="136"/>
              <x v="137"/>
              <x v="139"/>
              <x v="140"/>
              <x v="141"/>
              <x v="142"/>
              <x v="143"/>
              <x v="144"/>
              <x v="145"/>
              <x v="146"/>
              <x v="147"/>
            </reference>
          </references>
        </pivotArea>
      </pivotAreas>
    </conditionalFormat>
    <conditionalFormat priority="63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8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6"/>
              <x v="37"/>
              <x v="39"/>
              <x v="40"/>
              <x v="43"/>
              <x v="44"/>
              <x v="45"/>
              <x v="60"/>
              <x v="61"/>
              <x v="66"/>
              <x v="70"/>
              <x v="90"/>
              <x v="94"/>
              <x v="95"/>
              <x v="105"/>
              <x v="109"/>
              <x v="110"/>
              <x v="111"/>
              <x v="114"/>
              <x v="115"/>
              <x v="116"/>
              <x v="118"/>
              <x v="119"/>
              <x v="120"/>
              <x v="121"/>
              <x v="125"/>
              <x v="132"/>
              <x v="133"/>
              <x v="134"/>
              <x v="136"/>
              <x v="137"/>
              <x v="139"/>
              <x v="140"/>
              <x v="141"/>
              <x v="142"/>
              <x v="143"/>
              <x v="144"/>
              <x v="145"/>
              <x v="146"/>
              <x v="147"/>
            </reference>
          </references>
        </pivotArea>
      </pivotAreas>
    </conditionalFormat>
    <conditionalFormat priority="5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9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89"/>
              <x v="90"/>
              <x v="93"/>
              <x v="94"/>
              <x v="96"/>
              <x v="99"/>
              <x v="102"/>
              <x v="103"/>
              <x v="105"/>
              <x v="106"/>
              <x v="114"/>
              <x v="118"/>
              <x v="126"/>
              <x v="130"/>
              <x v="148"/>
            </reference>
          </references>
        </pivotArea>
      </pivotAreas>
    </conditionalFormat>
    <conditionalFormat priority="50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9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89"/>
              <x v="90"/>
              <x v="93"/>
              <x v="94"/>
              <x v="96"/>
              <x v="99"/>
              <x v="102"/>
              <x v="103"/>
              <x v="105"/>
              <x v="106"/>
              <x v="114"/>
              <x v="118"/>
              <x v="126"/>
              <x v="130"/>
              <x v="148"/>
            </reference>
          </references>
        </pivotArea>
      </pivotAreas>
    </conditionalFormat>
    <conditionalFormat priority="49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9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89"/>
              <x v="90"/>
              <x v="93"/>
              <x v="94"/>
              <x v="96"/>
              <x v="99"/>
              <x v="102"/>
              <x v="103"/>
              <x v="105"/>
              <x v="106"/>
              <x v="114"/>
              <x v="118"/>
              <x v="126"/>
              <x v="130"/>
              <x v="148"/>
            </reference>
          </references>
        </pivotArea>
      </pivotAreas>
    </conditionalFormat>
    <conditionalFormat priority="4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7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90"/>
              <x v="93"/>
              <x v="94"/>
              <x v="99"/>
              <x v="102"/>
              <x v="103"/>
              <x v="105"/>
              <x v="106"/>
              <x v="114"/>
              <x v="126"/>
              <x v="148"/>
              <x v="149"/>
            </reference>
          </references>
        </pivotArea>
      </pivotAreas>
    </conditionalFormat>
    <conditionalFormat priority="41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7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90"/>
              <x v="93"/>
              <x v="94"/>
              <x v="99"/>
              <x v="102"/>
              <x v="103"/>
              <x v="105"/>
              <x v="106"/>
              <x v="114"/>
              <x v="126"/>
              <x v="148"/>
              <x v="149"/>
            </reference>
          </references>
        </pivotArea>
      </pivotAreas>
    </conditionalFormat>
    <conditionalFormat priority="40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7">
              <x v="2"/>
              <x v="3"/>
              <x v="7"/>
              <x v="9"/>
              <x v="27"/>
              <x v="28"/>
              <x v="29"/>
              <x v="42"/>
              <x v="43"/>
              <x v="47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6"/>
              <x v="77"/>
              <x v="78"/>
              <x v="79"/>
              <x v="80"/>
              <x v="81"/>
              <x v="83"/>
              <x v="84"/>
              <x v="85"/>
              <x v="87"/>
              <x v="88"/>
              <x v="90"/>
              <x v="93"/>
              <x v="94"/>
              <x v="99"/>
              <x v="102"/>
              <x v="103"/>
              <x v="105"/>
              <x v="106"/>
              <x v="114"/>
              <x v="126"/>
              <x v="148"/>
              <x v="149"/>
            </reference>
          </references>
        </pivotArea>
      </pivotAreas>
    </conditionalFormat>
    <conditionalFormat priority="3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46">
              <x v="3"/>
              <x v="7"/>
              <x v="9"/>
              <x v="28"/>
              <x v="29"/>
              <x v="42"/>
              <x v="43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3"/>
              <x v="74"/>
              <x v="76"/>
              <x v="77"/>
              <x v="78"/>
              <x v="81"/>
              <x v="83"/>
              <x v="84"/>
              <x v="85"/>
              <x v="88"/>
              <x v="93"/>
              <x v="102"/>
              <x v="105"/>
              <x v="106"/>
              <x v="114"/>
              <x v="126"/>
              <x v="130"/>
              <x v="150"/>
              <x v="151"/>
            </reference>
          </references>
        </pivotArea>
      </pivotAreas>
    </conditionalFormat>
    <conditionalFormat priority="35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46">
              <x v="3"/>
              <x v="7"/>
              <x v="9"/>
              <x v="28"/>
              <x v="29"/>
              <x v="42"/>
              <x v="43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3"/>
              <x v="74"/>
              <x v="76"/>
              <x v="77"/>
              <x v="78"/>
              <x v="81"/>
              <x v="83"/>
              <x v="84"/>
              <x v="85"/>
              <x v="88"/>
              <x v="93"/>
              <x v="102"/>
              <x v="105"/>
              <x v="106"/>
              <x v="114"/>
              <x v="126"/>
              <x v="130"/>
              <x v="150"/>
              <x v="151"/>
            </reference>
          </references>
        </pivotArea>
      </pivotAreas>
    </conditionalFormat>
    <conditionalFormat priority="34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46">
              <x v="3"/>
              <x v="7"/>
              <x v="9"/>
              <x v="28"/>
              <x v="29"/>
              <x v="42"/>
              <x v="43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5"/>
              <x v="66"/>
              <x v="67"/>
              <x v="68"/>
              <x v="69"/>
              <x v="70"/>
              <x v="71"/>
              <x v="73"/>
              <x v="74"/>
              <x v="76"/>
              <x v="77"/>
              <x v="78"/>
              <x v="81"/>
              <x v="83"/>
              <x v="84"/>
              <x v="85"/>
              <x v="88"/>
              <x v="93"/>
              <x v="102"/>
              <x v="105"/>
              <x v="106"/>
              <x v="114"/>
              <x v="126"/>
              <x v="130"/>
              <x v="150"/>
              <x v="151"/>
            </reference>
          </references>
        </pivotArea>
      </pivotAreas>
    </conditionalFormat>
    <conditionalFormat priority="30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44">
              <x v="3"/>
              <x v="7"/>
              <x v="9"/>
              <x v="27"/>
              <x v="28"/>
              <x v="29"/>
              <x v="32"/>
              <x v="47"/>
              <x v="49"/>
              <x v="50"/>
              <x v="51"/>
              <x v="52"/>
              <x v="53"/>
              <x v="55"/>
              <x v="56"/>
              <x v="57"/>
              <x v="58"/>
              <x v="59"/>
              <x v="60"/>
              <x v="62"/>
              <x v="63"/>
              <x v="65"/>
              <x v="66"/>
              <x v="67"/>
              <x v="68"/>
              <x v="69"/>
              <x v="70"/>
              <x v="71"/>
              <x v="73"/>
              <x v="74"/>
              <x v="76"/>
              <x v="77"/>
              <x v="78"/>
              <x v="80"/>
              <x v="84"/>
              <x v="85"/>
              <x v="93"/>
              <x v="100"/>
              <x v="102"/>
              <x v="106"/>
              <x v="130"/>
              <x v="131"/>
              <x v="150"/>
              <x v="152"/>
            </reference>
          </references>
        </pivotArea>
      </pivotAreas>
    </conditionalFormat>
    <conditionalFormat priority="29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44">
              <x v="3"/>
              <x v="7"/>
              <x v="9"/>
              <x v="27"/>
              <x v="28"/>
              <x v="29"/>
              <x v="32"/>
              <x v="47"/>
              <x v="49"/>
              <x v="50"/>
              <x v="51"/>
              <x v="52"/>
              <x v="53"/>
              <x v="55"/>
              <x v="56"/>
              <x v="57"/>
              <x v="58"/>
              <x v="59"/>
              <x v="60"/>
              <x v="62"/>
              <x v="63"/>
              <x v="65"/>
              <x v="66"/>
              <x v="67"/>
              <x v="68"/>
              <x v="69"/>
              <x v="70"/>
              <x v="71"/>
              <x v="73"/>
              <x v="74"/>
              <x v="76"/>
              <x v="77"/>
              <x v="78"/>
              <x v="80"/>
              <x v="84"/>
              <x v="85"/>
              <x v="93"/>
              <x v="100"/>
              <x v="102"/>
              <x v="106"/>
              <x v="130"/>
              <x v="131"/>
              <x v="150"/>
              <x v="152"/>
            </reference>
          </references>
        </pivotArea>
      </pivotAreas>
    </conditionalFormat>
    <conditionalFormat priority="28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44">
              <x v="3"/>
              <x v="7"/>
              <x v="9"/>
              <x v="27"/>
              <x v="28"/>
              <x v="29"/>
              <x v="32"/>
              <x v="47"/>
              <x v="49"/>
              <x v="50"/>
              <x v="51"/>
              <x v="52"/>
              <x v="53"/>
              <x v="55"/>
              <x v="56"/>
              <x v="57"/>
              <x v="58"/>
              <x v="59"/>
              <x v="60"/>
              <x v="62"/>
              <x v="63"/>
              <x v="65"/>
              <x v="66"/>
              <x v="67"/>
              <x v="68"/>
              <x v="69"/>
              <x v="70"/>
              <x v="71"/>
              <x v="73"/>
              <x v="74"/>
              <x v="76"/>
              <x v="77"/>
              <x v="78"/>
              <x v="80"/>
              <x v="84"/>
              <x v="85"/>
              <x v="93"/>
              <x v="100"/>
              <x v="102"/>
              <x v="106"/>
              <x v="130"/>
              <x v="131"/>
              <x v="150"/>
              <x v="152"/>
            </reference>
          </references>
        </pivotArea>
      </pivotAreas>
    </conditionalFormat>
    <conditionalFormat priority="2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41">
              <x v="2"/>
              <x v="3"/>
              <x v="27"/>
              <x v="28"/>
              <x v="29"/>
              <x v="32"/>
              <x v="47"/>
              <x v="49"/>
              <x v="50"/>
              <x v="51"/>
              <x v="52"/>
              <x v="55"/>
              <x v="57"/>
              <x v="58"/>
              <x v="59"/>
              <x v="60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3"/>
              <x v="74"/>
              <x v="77"/>
              <x v="78"/>
              <x v="80"/>
              <x v="84"/>
              <x v="93"/>
              <x v="102"/>
              <x v="130"/>
              <x v="131"/>
              <x v="150"/>
              <x v="152"/>
              <x v="153"/>
              <x v="154"/>
              <x v="155"/>
            </reference>
          </references>
        </pivotArea>
      </pivotAreas>
    </conditionalFormat>
    <conditionalFormat priority="20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41">
              <x v="2"/>
              <x v="3"/>
              <x v="27"/>
              <x v="28"/>
              <x v="29"/>
              <x v="32"/>
              <x v="47"/>
              <x v="49"/>
              <x v="50"/>
              <x v="51"/>
              <x v="52"/>
              <x v="55"/>
              <x v="57"/>
              <x v="58"/>
              <x v="59"/>
              <x v="60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3"/>
              <x v="74"/>
              <x v="77"/>
              <x v="78"/>
              <x v="80"/>
              <x v="84"/>
              <x v="93"/>
              <x v="102"/>
              <x v="130"/>
              <x v="131"/>
              <x v="150"/>
              <x v="152"/>
              <x v="153"/>
              <x v="154"/>
              <x v="155"/>
            </reference>
          </references>
        </pivotArea>
      </pivotAreas>
    </conditionalFormat>
    <conditionalFormat priority="19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41">
              <x v="2"/>
              <x v="3"/>
              <x v="27"/>
              <x v="28"/>
              <x v="29"/>
              <x v="32"/>
              <x v="47"/>
              <x v="49"/>
              <x v="50"/>
              <x v="51"/>
              <x v="52"/>
              <x v="55"/>
              <x v="57"/>
              <x v="58"/>
              <x v="59"/>
              <x v="60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3"/>
              <x v="74"/>
              <x v="77"/>
              <x v="78"/>
              <x v="80"/>
              <x v="84"/>
              <x v="93"/>
              <x v="102"/>
              <x v="130"/>
              <x v="131"/>
              <x v="150"/>
              <x v="152"/>
              <x v="153"/>
              <x v="154"/>
              <x v="155"/>
            </reference>
          </references>
        </pivotArea>
      </pivotAreas>
    </conditionalFormat>
    <conditionalFormat priority="1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39">
              <x v="2"/>
              <x v="13"/>
              <x v="27"/>
              <x v="28"/>
              <x v="29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8"/>
              <x v="70"/>
              <x v="71"/>
              <x v="72"/>
              <x v="73"/>
              <x v="74"/>
              <x v="76"/>
              <x v="77"/>
              <x v="78"/>
              <x v="80"/>
              <x v="84"/>
              <x v="93"/>
              <x v="102"/>
              <x v="130"/>
              <x v="131"/>
              <x v="150"/>
              <x v="152"/>
              <x v="156"/>
            </reference>
          </references>
        </pivotArea>
      </pivotAreas>
    </conditionalFormat>
    <conditionalFormat priority="14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39">
              <x v="2"/>
              <x v="13"/>
              <x v="27"/>
              <x v="28"/>
              <x v="29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8"/>
              <x v="70"/>
              <x v="71"/>
              <x v="72"/>
              <x v="73"/>
              <x v="74"/>
              <x v="76"/>
              <x v="77"/>
              <x v="78"/>
              <x v="80"/>
              <x v="84"/>
              <x v="93"/>
              <x v="102"/>
              <x v="130"/>
              <x v="131"/>
              <x v="150"/>
              <x v="152"/>
              <x v="156"/>
            </reference>
          </references>
        </pivotArea>
      </pivotAreas>
    </conditionalFormat>
    <conditionalFormat priority="13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39">
              <x v="2"/>
              <x v="13"/>
              <x v="27"/>
              <x v="28"/>
              <x v="29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8"/>
              <x v="70"/>
              <x v="71"/>
              <x v="72"/>
              <x v="73"/>
              <x v="74"/>
              <x v="76"/>
              <x v="77"/>
              <x v="78"/>
              <x v="80"/>
              <x v="84"/>
              <x v="93"/>
              <x v="102"/>
              <x v="130"/>
              <x v="131"/>
              <x v="150"/>
              <x v="152"/>
              <x v="156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47">
              <x v="3"/>
              <x v="27"/>
              <x v="28"/>
              <x v="29"/>
              <x v="32"/>
              <x v="42"/>
              <x v="43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7"/>
              <x v="68"/>
              <x v="70"/>
              <x v="71"/>
              <x v="72"/>
              <x v="73"/>
              <x v="74"/>
              <x v="76"/>
              <x v="77"/>
              <x v="78"/>
              <x v="80"/>
              <x v="84"/>
              <x v="93"/>
              <x v="95"/>
              <x v="102"/>
              <x v="106"/>
              <x v="130"/>
              <x v="131"/>
              <x v="150"/>
              <x v="152"/>
              <x v="156"/>
              <x v="157"/>
              <x v="158"/>
              <x v="159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47">
              <x v="3"/>
              <x v="27"/>
              <x v="28"/>
              <x v="29"/>
              <x v="32"/>
              <x v="42"/>
              <x v="43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7"/>
              <x v="68"/>
              <x v="70"/>
              <x v="71"/>
              <x v="72"/>
              <x v="73"/>
              <x v="74"/>
              <x v="76"/>
              <x v="77"/>
              <x v="78"/>
              <x v="80"/>
              <x v="84"/>
              <x v="93"/>
              <x v="95"/>
              <x v="102"/>
              <x v="106"/>
              <x v="130"/>
              <x v="131"/>
              <x v="150"/>
              <x v="152"/>
              <x v="156"/>
              <x v="157"/>
              <x v="158"/>
              <x v="159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47">
              <x v="3"/>
              <x v="27"/>
              <x v="28"/>
              <x v="29"/>
              <x v="32"/>
              <x v="42"/>
              <x v="43"/>
              <x v="47"/>
              <x v="49"/>
              <x v="50"/>
              <x v="51"/>
              <x v="52"/>
              <x v="54"/>
              <x v="55"/>
              <x v="56"/>
              <x v="57"/>
              <x v="58"/>
              <x v="59"/>
              <x v="60"/>
              <x v="63"/>
              <x v="64"/>
              <x v="65"/>
              <x v="66"/>
              <x v="67"/>
              <x v="68"/>
              <x v="70"/>
              <x v="71"/>
              <x v="72"/>
              <x v="73"/>
              <x v="74"/>
              <x v="76"/>
              <x v="77"/>
              <x v="78"/>
              <x v="80"/>
              <x v="84"/>
              <x v="93"/>
              <x v="95"/>
              <x v="102"/>
              <x v="106"/>
              <x v="130"/>
              <x v="131"/>
              <x v="150"/>
              <x v="152"/>
              <x v="156"/>
              <x v="157"/>
              <x v="158"/>
              <x v="159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6" cacheId="2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CSTI - Suporte Remoto">
  <location ref="K2:N4" firstHeaderRow="0" firstDataRow="1" firstDataCol="1"/>
  <pivotFields count="14">
    <pivotField showAll="0"/>
    <pivotField axis="axisRow" dataField="1" showAll="0" sortType="descending">
      <items count="188">
        <item m="1" x="132"/>
        <item m="1" x="168"/>
        <item m="1" x="38"/>
        <item m="1" x="182"/>
        <item m="1" x="90"/>
        <item m="1" x="24"/>
        <item m="1" x="97"/>
        <item m="1" x="134"/>
        <item m="1" x="45"/>
        <item m="1" x="174"/>
        <item m="1" x="62"/>
        <item m="1" x="53"/>
        <item m="1" x="72"/>
        <item m="1" x="42"/>
        <item m="1" x="41"/>
        <item m="1" x="10"/>
        <item m="1" x="139"/>
        <item m="1" x="25"/>
        <item m="1" x="4"/>
        <item m="1" x="111"/>
        <item m="1" x="135"/>
        <item m="1" x="178"/>
        <item m="1" x="91"/>
        <item m="1" x="146"/>
        <item m="1" x="31"/>
        <item m="1" x="7"/>
        <item m="1" x="100"/>
        <item m="1" x="33"/>
        <item m="1" x="145"/>
        <item m="1" x="68"/>
        <item m="1" x="166"/>
        <item m="1" x="179"/>
        <item m="1" x="131"/>
        <item m="1" x="105"/>
        <item m="1" x="184"/>
        <item m="1" x="52"/>
        <item m="1" x="117"/>
        <item m="1" x="115"/>
        <item m="1" x="49"/>
        <item m="1" x="148"/>
        <item m="1" x="79"/>
        <item m="1" x="87"/>
        <item m="1" x="110"/>
        <item m="1" x="48"/>
        <item m="1" x="104"/>
        <item m="1" x="155"/>
        <item x="0"/>
        <item m="1" x="150"/>
        <item m="1" x="106"/>
        <item m="1" x="143"/>
        <item m="1" x="40"/>
        <item m="1" x="88"/>
        <item m="1" x="151"/>
        <item m="1" x="108"/>
        <item m="1" x="96"/>
        <item m="1" x="164"/>
        <item m="1" x="13"/>
        <item m="1" x="76"/>
        <item m="1" x="94"/>
        <item m="1" x="171"/>
        <item m="1" x="101"/>
        <item m="1" x="70"/>
        <item m="1" x="58"/>
        <item m="1" x="113"/>
        <item m="1" x="17"/>
        <item m="1" x="95"/>
        <item m="1" x="109"/>
        <item m="1" x="160"/>
        <item m="1" x="78"/>
        <item m="1" x="65"/>
        <item m="1" x="27"/>
        <item m="1" x="20"/>
        <item m="1" x="9"/>
        <item m="1" x="186"/>
        <item m="1" x="19"/>
        <item m="1" x="14"/>
        <item m="1" x="114"/>
        <item m="1" x="26"/>
        <item m="1" x="34"/>
        <item m="1" x="86"/>
        <item m="1" x="180"/>
        <item m="1" x="173"/>
        <item m="1" x="93"/>
        <item m="1" x="85"/>
        <item m="1" x="23"/>
        <item m="1" x="57"/>
        <item m="1" x="107"/>
        <item m="1" x="140"/>
        <item m="1" x="103"/>
        <item m="1" x="61"/>
        <item m="1" x="124"/>
        <item m="1" x="116"/>
        <item m="1" x="80"/>
        <item m="1" x="16"/>
        <item m="1" x="21"/>
        <item m="1" x="149"/>
        <item m="1" x="154"/>
        <item m="1" x="147"/>
        <item m="1" x="77"/>
        <item m="1" x="128"/>
        <item m="1" x="123"/>
        <item m="1" x="118"/>
        <item m="1" x="153"/>
        <item m="1" x="162"/>
        <item m="1" x="69"/>
        <item m="1" x="130"/>
        <item m="1" x="170"/>
        <item m="1" x="163"/>
        <item m="1" x="56"/>
        <item m="1" x="15"/>
        <item m="1" x="39"/>
        <item m="1" x="120"/>
        <item m="1" x="47"/>
        <item m="1" x="126"/>
        <item m="1" x="102"/>
        <item m="1" x="161"/>
        <item m="1" x="6"/>
        <item m="1" x="74"/>
        <item m="1" x="81"/>
        <item m="1" x="142"/>
        <item m="1" x="167"/>
        <item m="1" x="157"/>
        <item m="1" x="82"/>
        <item m="1" x="152"/>
        <item m="1" x="175"/>
        <item m="1" x="144"/>
        <item m="1" x="99"/>
        <item m="1" x="127"/>
        <item m="1" x="83"/>
        <item m="1" x="122"/>
        <item m="1" x="133"/>
        <item m="1" x="158"/>
        <item m="1" x="28"/>
        <item m="1" x="66"/>
        <item m="1" x="71"/>
        <item m="1" x="136"/>
        <item m="1" x="89"/>
        <item m="1" x="3"/>
        <item m="1" x="18"/>
        <item m="1" x="183"/>
        <item m="1" x="2"/>
        <item m="1" x="67"/>
        <item m="1" x="51"/>
        <item m="1" x="60"/>
        <item m="1" x="59"/>
        <item m="1" x="54"/>
        <item m="1" x="84"/>
        <item m="1" x="169"/>
        <item m="1" x="37"/>
        <item m="1" x="159"/>
        <item m="1" x="44"/>
        <item m="1" x="73"/>
        <item m="1" x="138"/>
        <item m="1" x="1"/>
        <item m="1" x="46"/>
        <item m="1" x="185"/>
        <item m="1" x="22"/>
        <item m="1" x="119"/>
        <item m="1" x="55"/>
        <item m="1" x="43"/>
        <item m="1" x="121"/>
        <item m="1" x="176"/>
        <item m="1" x="12"/>
        <item m="1" x="5"/>
        <item m="1" x="125"/>
        <item m="1" x="181"/>
        <item m="1" x="75"/>
        <item m="1" x="156"/>
        <item m="1" x="32"/>
        <item m="1" x="36"/>
        <item m="1" x="172"/>
        <item m="1" x="35"/>
        <item m="1" x="64"/>
        <item m="1" x="137"/>
        <item m="1" x="112"/>
        <item m="1" x="11"/>
        <item m="1" x="98"/>
        <item m="1" x="141"/>
        <item m="1" x="8"/>
        <item m="1" x="129"/>
        <item m="1" x="177"/>
        <item m="1" x="50"/>
        <item m="1" x="92"/>
        <item m="1" x="30"/>
        <item m="1" x="29"/>
        <item m="1" x="63"/>
        <item m="1" x="165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umFmtId="22" showAll="0"/>
    <pivotField showAll="0"/>
    <pivotField showAll="0"/>
    <pivotField showAll="0"/>
    <pivotField showAll="0"/>
    <pivotField numFmtId="22" showAll="0"/>
    <pivotField showAll="0"/>
    <pivotField showAll="0"/>
    <pivotField showAll="0"/>
    <pivotField dataField="1" numFmtId="22" showAll="0"/>
    <pivotField dataField="1" numFmtId="22" showAll="0"/>
  </pivotFields>
  <rowFields count="1">
    <field x="1"/>
  </rowFields>
  <rowItems count="2">
    <i>
      <x v="4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ntagem de Título" fld="1" subtotal="count" baseField="0" baseItem="0"/>
    <dataField name="Máx de Aging" fld="12" subtotal="max" baseField="1" baseItem="0" numFmtId="1"/>
    <dataField name="Máx de Aging Mod" fld="13" subtotal="max" baseField="1" baseItem="0" numFmtId="1"/>
  </dataFields>
  <formats count="7">
    <format dxfId="36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1" type="button" dataOnly="0" labelOnly="1" outline="0" axis="axisRow" fieldPosition="0"/>
    </format>
    <format dxfId="32">
      <pivotArea dataOnly="0" labelOnly="1" fieldPosition="0">
        <references count="1">
          <reference field="1" count="0"/>
        </references>
      </pivotArea>
    </format>
    <format dxfId="31">
      <pivotArea dataOnly="0" labelOnly="1" grandRow="1" outline="0" fieldPosition="0"/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111">
    <conditionalFormat priority="175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46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</reference>
          </references>
        </pivotArea>
      </pivotAreas>
    </conditionalFormat>
    <conditionalFormat priority="17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46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</reference>
          </references>
        </pivotArea>
      </pivotAreas>
    </conditionalFormat>
    <conditionalFormat priority="173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46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</reference>
          </references>
        </pivotArea>
      </pivotAreas>
    </conditionalFormat>
    <conditionalFormat priority="16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33">
              <x v="0"/>
              <x v="1"/>
              <x v="2"/>
              <x v="4"/>
              <x v="8"/>
              <x v="12"/>
              <x v="13"/>
              <x v="14"/>
              <x v="16"/>
              <x v="17"/>
              <x v="19"/>
              <x v="20"/>
              <x v="21"/>
              <x v="22"/>
              <x v="24"/>
              <x v="25"/>
              <x v="27"/>
              <x v="28"/>
              <x v="29"/>
              <x v="32"/>
              <x v="33"/>
              <x v="34"/>
              <x v="36"/>
              <x v="37"/>
              <x v="38"/>
              <x v="39"/>
              <x v="40"/>
              <x v="41"/>
              <x v="42"/>
              <x v="43"/>
              <x v="47"/>
              <x v="48"/>
              <x v="49"/>
            </reference>
          </references>
        </pivotArea>
      </pivotAreas>
    </conditionalFormat>
    <conditionalFormat priority="168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33">
              <x v="0"/>
              <x v="1"/>
              <x v="2"/>
              <x v="4"/>
              <x v="8"/>
              <x v="12"/>
              <x v="13"/>
              <x v="14"/>
              <x v="16"/>
              <x v="17"/>
              <x v="19"/>
              <x v="20"/>
              <x v="21"/>
              <x v="22"/>
              <x v="24"/>
              <x v="25"/>
              <x v="27"/>
              <x v="28"/>
              <x v="29"/>
              <x v="32"/>
              <x v="33"/>
              <x v="34"/>
              <x v="36"/>
              <x v="37"/>
              <x v="38"/>
              <x v="39"/>
              <x v="40"/>
              <x v="41"/>
              <x v="42"/>
              <x v="43"/>
              <x v="47"/>
              <x v="48"/>
              <x v="49"/>
            </reference>
          </references>
        </pivotArea>
      </pivotAreas>
    </conditionalFormat>
    <conditionalFormat priority="167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33">
              <x v="0"/>
              <x v="1"/>
              <x v="2"/>
              <x v="4"/>
              <x v="8"/>
              <x v="12"/>
              <x v="13"/>
              <x v="14"/>
              <x v="16"/>
              <x v="17"/>
              <x v="19"/>
              <x v="20"/>
              <x v="21"/>
              <x v="22"/>
              <x v="24"/>
              <x v="25"/>
              <x v="27"/>
              <x v="28"/>
              <x v="29"/>
              <x v="32"/>
              <x v="33"/>
              <x v="34"/>
              <x v="36"/>
              <x v="37"/>
              <x v="38"/>
              <x v="39"/>
              <x v="40"/>
              <x v="41"/>
              <x v="42"/>
              <x v="43"/>
              <x v="47"/>
              <x v="48"/>
              <x v="49"/>
            </reference>
          </references>
        </pivotArea>
      </pivotAreas>
    </conditionalFormat>
    <conditionalFormat priority="16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40">
              <x v="0"/>
              <x v="1"/>
              <x v="2"/>
              <x v="4"/>
              <x v="8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7"/>
              <x v="28"/>
              <x v="29"/>
              <x v="30"/>
              <x v="32"/>
              <x v="33"/>
              <x v="34"/>
              <x v="37"/>
              <x v="38"/>
              <x v="39"/>
              <x v="40"/>
              <x v="41"/>
              <x v="42"/>
              <x v="43"/>
              <x v="45"/>
              <x v="47"/>
              <x v="48"/>
              <x v="49"/>
              <x v="50"/>
              <x v="51"/>
              <x v="52"/>
              <x v="53"/>
              <x v="54"/>
            </reference>
          </references>
        </pivotArea>
      </pivotAreas>
    </conditionalFormat>
    <conditionalFormat priority="162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40">
              <x v="0"/>
              <x v="1"/>
              <x v="2"/>
              <x v="4"/>
              <x v="8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7"/>
              <x v="28"/>
              <x v="29"/>
              <x v="30"/>
              <x v="32"/>
              <x v="33"/>
              <x v="34"/>
              <x v="37"/>
              <x v="38"/>
              <x v="39"/>
              <x v="40"/>
              <x v="41"/>
              <x v="42"/>
              <x v="43"/>
              <x v="45"/>
              <x v="47"/>
              <x v="48"/>
              <x v="49"/>
              <x v="50"/>
              <x v="51"/>
              <x v="52"/>
              <x v="53"/>
              <x v="54"/>
            </reference>
          </references>
        </pivotArea>
      </pivotAreas>
    </conditionalFormat>
    <conditionalFormat priority="161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40">
              <x v="0"/>
              <x v="1"/>
              <x v="2"/>
              <x v="4"/>
              <x v="8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7"/>
              <x v="28"/>
              <x v="29"/>
              <x v="30"/>
              <x v="32"/>
              <x v="33"/>
              <x v="34"/>
              <x v="37"/>
              <x v="38"/>
              <x v="39"/>
              <x v="40"/>
              <x v="41"/>
              <x v="42"/>
              <x v="43"/>
              <x v="45"/>
              <x v="47"/>
              <x v="48"/>
              <x v="49"/>
              <x v="50"/>
              <x v="51"/>
              <x v="52"/>
              <x v="53"/>
              <x v="54"/>
            </reference>
          </references>
        </pivotArea>
      </pivotAreas>
    </conditionalFormat>
    <conditionalFormat priority="160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42">
              <x v="0"/>
              <x v="1"/>
              <x v="2"/>
              <x v="4"/>
              <x v="8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7"/>
              <x v="28"/>
              <x v="29"/>
              <x v="32"/>
              <x v="33"/>
              <x v="34"/>
              <x v="37"/>
              <x v="38"/>
              <x v="39"/>
              <x v="40"/>
              <x v="41"/>
              <x v="42"/>
              <x v="43"/>
              <x v="45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</reference>
          </references>
        </pivotArea>
      </pivotAreas>
    </conditionalFormat>
    <conditionalFormat priority="159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42">
              <x v="0"/>
              <x v="1"/>
              <x v="2"/>
              <x v="4"/>
              <x v="8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7"/>
              <x v="28"/>
              <x v="29"/>
              <x v="32"/>
              <x v="33"/>
              <x v="34"/>
              <x v="37"/>
              <x v="38"/>
              <x v="39"/>
              <x v="40"/>
              <x v="41"/>
              <x v="42"/>
              <x v="43"/>
              <x v="45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</reference>
          </references>
        </pivotArea>
      </pivotAreas>
    </conditionalFormat>
    <conditionalFormat priority="158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42">
              <x v="0"/>
              <x v="1"/>
              <x v="2"/>
              <x v="4"/>
              <x v="8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7"/>
              <x v="28"/>
              <x v="29"/>
              <x v="32"/>
              <x v="33"/>
              <x v="34"/>
              <x v="37"/>
              <x v="38"/>
              <x v="39"/>
              <x v="40"/>
              <x v="41"/>
              <x v="42"/>
              <x v="43"/>
              <x v="45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</reference>
          </references>
        </pivotArea>
      </pivotAreas>
    </conditionalFormat>
    <conditionalFormat priority="15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39">
              <x v="0"/>
              <x v="2"/>
              <x v="4"/>
              <x v="6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5"/>
              <x v="27"/>
              <x v="28"/>
              <x v="29"/>
              <x v="30"/>
              <x v="32"/>
              <x v="34"/>
              <x v="36"/>
              <x v="37"/>
              <x v="38"/>
              <x v="41"/>
              <x v="42"/>
              <x v="43"/>
              <x v="47"/>
              <x v="50"/>
              <x v="51"/>
              <x v="52"/>
              <x v="55"/>
              <x v="56"/>
              <x v="58"/>
              <x v="59"/>
              <x v="60"/>
              <x v="61"/>
              <x v="62"/>
            </reference>
          </references>
        </pivotArea>
      </pivotAreas>
    </conditionalFormat>
    <conditionalFormat priority="153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40">
              <x v="0"/>
              <x v="2"/>
              <x v="4"/>
              <x v="6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5"/>
              <x v="27"/>
              <x v="28"/>
              <x v="29"/>
              <x v="30"/>
              <x v="32"/>
              <x v="33"/>
              <x v="34"/>
              <x v="36"/>
              <x v="37"/>
              <x v="38"/>
              <x v="41"/>
              <x v="42"/>
              <x v="43"/>
              <x v="47"/>
              <x v="50"/>
              <x v="51"/>
              <x v="52"/>
              <x v="55"/>
              <x v="56"/>
              <x v="58"/>
              <x v="59"/>
              <x v="60"/>
              <x v="61"/>
              <x v="62"/>
            </reference>
          </references>
        </pivotArea>
      </pivotAreas>
    </conditionalFormat>
    <conditionalFormat priority="152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40">
              <x v="0"/>
              <x v="2"/>
              <x v="4"/>
              <x v="6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5"/>
              <x v="27"/>
              <x v="28"/>
              <x v="29"/>
              <x v="30"/>
              <x v="32"/>
              <x v="33"/>
              <x v="34"/>
              <x v="36"/>
              <x v="37"/>
              <x v="38"/>
              <x v="41"/>
              <x v="42"/>
              <x v="43"/>
              <x v="47"/>
              <x v="50"/>
              <x v="51"/>
              <x v="52"/>
              <x v="55"/>
              <x v="56"/>
              <x v="58"/>
              <x v="59"/>
              <x v="60"/>
              <x v="61"/>
              <x v="62"/>
            </reference>
          </references>
        </pivotArea>
      </pivotAreas>
    </conditionalFormat>
    <conditionalFormat priority="14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46">
              <x v="0"/>
              <x v="2"/>
              <x v="4"/>
              <x v="6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41"/>
              <x v="42"/>
              <x v="43"/>
              <x v="47"/>
              <x v="50"/>
              <x v="51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</reference>
          </references>
        </pivotArea>
      </pivotAreas>
    </conditionalFormat>
    <conditionalFormat priority="144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46">
              <x v="0"/>
              <x v="2"/>
              <x v="4"/>
              <x v="6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41"/>
              <x v="42"/>
              <x v="43"/>
              <x v="47"/>
              <x v="50"/>
              <x v="51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</reference>
          </references>
        </pivotArea>
      </pivotAreas>
    </conditionalFormat>
    <conditionalFormat priority="143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46">
              <x v="0"/>
              <x v="2"/>
              <x v="4"/>
              <x v="6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41"/>
              <x v="42"/>
              <x v="43"/>
              <x v="47"/>
              <x v="50"/>
              <x v="51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</reference>
          </references>
        </pivotArea>
      </pivotAreas>
    </conditionalFormat>
    <conditionalFormat priority="14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6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5"/>
              <x v="27"/>
              <x v="28"/>
              <x v="29"/>
              <x v="32"/>
              <x v="33"/>
              <x v="34"/>
              <x v="35"/>
              <x v="36"/>
              <x v="37"/>
              <x v="38"/>
              <x v="41"/>
              <x v="42"/>
              <x v="43"/>
              <x v="45"/>
              <x v="47"/>
              <x v="50"/>
              <x v="51"/>
              <x v="52"/>
              <x v="53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</reference>
          </references>
        </pivotArea>
      </pivotAreas>
    </conditionalFormat>
    <conditionalFormat priority="141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6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5"/>
              <x v="27"/>
              <x v="28"/>
              <x v="29"/>
              <x v="32"/>
              <x v="33"/>
              <x v="34"/>
              <x v="35"/>
              <x v="36"/>
              <x v="37"/>
              <x v="38"/>
              <x v="41"/>
              <x v="42"/>
              <x v="43"/>
              <x v="45"/>
              <x v="47"/>
              <x v="50"/>
              <x v="51"/>
              <x v="52"/>
              <x v="53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</reference>
          </references>
        </pivotArea>
      </pivotAreas>
    </conditionalFormat>
    <conditionalFormat priority="140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6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5"/>
              <x v="27"/>
              <x v="28"/>
              <x v="29"/>
              <x v="32"/>
              <x v="33"/>
              <x v="34"/>
              <x v="35"/>
              <x v="36"/>
              <x v="37"/>
              <x v="38"/>
              <x v="41"/>
              <x v="42"/>
              <x v="43"/>
              <x v="45"/>
              <x v="47"/>
              <x v="50"/>
              <x v="51"/>
              <x v="52"/>
              <x v="53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</reference>
          </references>
        </pivotArea>
      </pivotAreas>
    </conditionalFormat>
    <conditionalFormat priority="13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2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3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1"/>
              <x v="42"/>
              <x v="43"/>
              <x v="45"/>
              <x v="47"/>
              <x v="50"/>
              <x v="51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</reference>
          </references>
        </pivotArea>
      </pivotAreas>
    </conditionalFormat>
    <conditionalFormat priority="138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2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3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1"/>
              <x v="42"/>
              <x v="43"/>
              <x v="45"/>
              <x v="47"/>
              <x v="50"/>
              <x v="51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</reference>
          </references>
        </pivotArea>
      </pivotAreas>
    </conditionalFormat>
    <conditionalFormat priority="137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2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3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1"/>
              <x v="42"/>
              <x v="43"/>
              <x v="45"/>
              <x v="47"/>
              <x v="50"/>
              <x v="51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</reference>
          </references>
        </pivotArea>
      </pivotAreas>
    </conditionalFormat>
    <conditionalFormat priority="13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3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3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1"/>
              <x v="42"/>
              <x v="43"/>
              <x v="45"/>
              <x v="47"/>
              <x v="50"/>
              <x v="51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</reference>
          </references>
        </pivotArea>
      </pivotAreas>
    </conditionalFormat>
    <conditionalFormat priority="132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3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3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1"/>
              <x v="42"/>
              <x v="43"/>
              <x v="45"/>
              <x v="47"/>
              <x v="50"/>
              <x v="51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</reference>
          </references>
        </pivotArea>
      </pivotAreas>
    </conditionalFormat>
    <conditionalFormat priority="131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3">
              <x v="0"/>
              <x v="2"/>
              <x v="4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3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1"/>
              <x v="42"/>
              <x v="43"/>
              <x v="45"/>
              <x v="47"/>
              <x v="50"/>
              <x v="51"/>
              <x v="54"/>
              <x v="55"/>
              <x v="56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</reference>
          </references>
        </pivotArea>
      </pivotAreas>
    </conditionalFormat>
    <conditionalFormat priority="12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9">
              <x v="0"/>
              <x v="1"/>
              <x v="2"/>
              <x v="4"/>
              <x v="5"/>
              <x v="6"/>
              <x v="7"/>
              <x v="8"/>
              <x v="9"/>
              <x v="10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7"/>
              <x v="28"/>
              <x v="29"/>
              <x v="32"/>
              <x v="33"/>
              <x v="34"/>
              <x v="35"/>
              <x v="36"/>
              <x v="37"/>
              <x v="38"/>
              <x v="39"/>
              <x v="40"/>
              <x v="43"/>
              <x v="44"/>
              <x v="47"/>
              <x v="50"/>
              <x v="52"/>
              <x v="53"/>
              <x v="54"/>
              <x v="55"/>
              <x v="56"/>
              <x v="58"/>
              <x v="59"/>
              <x v="60"/>
              <x v="61"/>
              <x v="62"/>
              <x v="63"/>
              <x v="65"/>
              <x v="68"/>
              <x v="71"/>
              <x v="72"/>
              <x v="74"/>
              <x v="75"/>
              <x v="76"/>
              <x v="77"/>
              <x v="79"/>
              <x v="81"/>
            </reference>
          </references>
        </pivotArea>
      </pivotAreas>
    </conditionalFormat>
    <conditionalFormat priority="126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9">
              <x v="0"/>
              <x v="1"/>
              <x v="2"/>
              <x v="4"/>
              <x v="5"/>
              <x v="6"/>
              <x v="7"/>
              <x v="8"/>
              <x v="9"/>
              <x v="10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7"/>
              <x v="28"/>
              <x v="29"/>
              <x v="32"/>
              <x v="33"/>
              <x v="34"/>
              <x v="35"/>
              <x v="36"/>
              <x v="37"/>
              <x v="38"/>
              <x v="39"/>
              <x v="40"/>
              <x v="43"/>
              <x v="44"/>
              <x v="47"/>
              <x v="50"/>
              <x v="52"/>
              <x v="53"/>
              <x v="54"/>
              <x v="55"/>
              <x v="56"/>
              <x v="58"/>
              <x v="59"/>
              <x v="60"/>
              <x v="61"/>
              <x v="62"/>
              <x v="63"/>
              <x v="65"/>
              <x v="68"/>
              <x v="71"/>
              <x v="72"/>
              <x v="74"/>
              <x v="75"/>
              <x v="76"/>
              <x v="77"/>
              <x v="79"/>
              <x v="81"/>
            </reference>
          </references>
        </pivotArea>
      </pivotAreas>
    </conditionalFormat>
    <conditionalFormat priority="125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9">
              <x v="0"/>
              <x v="1"/>
              <x v="2"/>
              <x v="4"/>
              <x v="5"/>
              <x v="6"/>
              <x v="7"/>
              <x v="8"/>
              <x v="9"/>
              <x v="10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7"/>
              <x v="28"/>
              <x v="29"/>
              <x v="32"/>
              <x v="33"/>
              <x v="34"/>
              <x v="35"/>
              <x v="36"/>
              <x v="37"/>
              <x v="38"/>
              <x v="39"/>
              <x v="40"/>
              <x v="43"/>
              <x v="44"/>
              <x v="47"/>
              <x v="50"/>
              <x v="52"/>
              <x v="53"/>
              <x v="54"/>
              <x v="55"/>
              <x v="56"/>
              <x v="58"/>
              <x v="59"/>
              <x v="60"/>
              <x v="61"/>
              <x v="62"/>
              <x v="63"/>
              <x v="65"/>
              <x v="68"/>
              <x v="71"/>
              <x v="72"/>
              <x v="74"/>
              <x v="75"/>
              <x v="76"/>
              <x v="77"/>
              <x v="79"/>
              <x v="81"/>
            </reference>
          </references>
        </pivotArea>
      </pivotAreas>
    </conditionalFormat>
    <conditionalFormat priority="12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6">
              <x v="0"/>
              <x v="1"/>
              <x v="2"/>
              <x v="4"/>
              <x v="6"/>
              <x v="7"/>
              <x v="8"/>
              <x v="9"/>
              <x v="10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3"/>
              <x v="53"/>
              <x v="54"/>
              <x v="55"/>
              <x v="56"/>
              <x v="57"/>
              <x v="60"/>
              <x v="61"/>
              <x v="63"/>
              <x v="65"/>
              <x v="68"/>
              <x v="71"/>
              <x v="72"/>
              <x v="73"/>
              <x v="74"/>
              <x v="75"/>
              <x v="76"/>
              <x v="77"/>
              <x v="79"/>
              <x v="82"/>
              <x v="83"/>
              <x v="84"/>
              <x v="85"/>
              <x v="86"/>
              <x v="87"/>
            </reference>
          </references>
        </pivotArea>
      </pivotAreas>
    </conditionalFormat>
    <conditionalFormat priority="123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6">
              <x v="0"/>
              <x v="1"/>
              <x v="2"/>
              <x v="4"/>
              <x v="6"/>
              <x v="7"/>
              <x v="8"/>
              <x v="9"/>
              <x v="10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3"/>
              <x v="53"/>
              <x v="54"/>
              <x v="55"/>
              <x v="56"/>
              <x v="57"/>
              <x v="60"/>
              <x v="61"/>
              <x v="63"/>
              <x v="65"/>
              <x v="68"/>
              <x v="71"/>
              <x v="72"/>
              <x v="73"/>
              <x v="74"/>
              <x v="75"/>
              <x v="76"/>
              <x v="77"/>
              <x v="79"/>
              <x v="82"/>
              <x v="83"/>
              <x v="84"/>
              <x v="85"/>
              <x v="86"/>
              <x v="87"/>
            </reference>
          </references>
        </pivotArea>
      </pivotAreas>
    </conditionalFormat>
    <conditionalFormat priority="122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6">
              <x v="0"/>
              <x v="1"/>
              <x v="2"/>
              <x v="4"/>
              <x v="6"/>
              <x v="7"/>
              <x v="8"/>
              <x v="9"/>
              <x v="10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7"/>
              <x v="28"/>
              <x v="29"/>
              <x v="32"/>
              <x v="33"/>
              <x v="34"/>
              <x v="35"/>
              <x v="37"/>
              <x v="38"/>
              <x v="39"/>
              <x v="40"/>
              <x v="43"/>
              <x v="53"/>
              <x v="54"/>
              <x v="55"/>
              <x v="56"/>
              <x v="57"/>
              <x v="60"/>
              <x v="61"/>
              <x v="63"/>
              <x v="65"/>
              <x v="68"/>
              <x v="71"/>
              <x v="72"/>
              <x v="73"/>
              <x v="74"/>
              <x v="75"/>
              <x v="76"/>
              <x v="77"/>
              <x v="79"/>
              <x v="82"/>
              <x v="83"/>
              <x v="84"/>
              <x v="85"/>
              <x v="86"/>
              <x v="87"/>
            </reference>
          </references>
        </pivotArea>
      </pivotAreas>
    </conditionalFormat>
    <conditionalFormat priority="11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3"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3"/>
              <x v="55"/>
              <x v="56"/>
              <x v="57"/>
              <x v="60"/>
              <x v="61"/>
              <x v="62"/>
              <x v="65"/>
              <x v="68"/>
              <x v="71"/>
              <x v="72"/>
              <x v="73"/>
              <x v="74"/>
              <x v="77"/>
              <x v="80"/>
              <x v="82"/>
              <x v="85"/>
              <x v="86"/>
              <x v="87"/>
              <x v="88"/>
              <x v="89"/>
              <x v="90"/>
            </reference>
          </references>
        </pivotArea>
      </pivotAreas>
    </conditionalFormat>
    <conditionalFormat priority="11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3"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3"/>
              <x v="55"/>
              <x v="56"/>
              <x v="57"/>
              <x v="60"/>
              <x v="61"/>
              <x v="62"/>
              <x v="65"/>
              <x v="68"/>
              <x v="71"/>
              <x v="72"/>
              <x v="73"/>
              <x v="74"/>
              <x v="77"/>
              <x v="80"/>
              <x v="82"/>
              <x v="85"/>
              <x v="86"/>
              <x v="87"/>
              <x v="88"/>
              <x v="89"/>
              <x v="90"/>
            </reference>
          </references>
        </pivotArea>
      </pivotAreas>
    </conditionalFormat>
    <conditionalFormat priority="116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3"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3"/>
              <x v="55"/>
              <x v="56"/>
              <x v="57"/>
              <x v="60"/>
              <x v="61"/>
              <x v="62"/>
              <x v="65"/>
              <x v="68"/>
              <x v="71"/>
              <x v="72"/>
              <x v="73"/>
              <x v="74"/>
              <x v="77"/>
              <x v="80"/>
              <x v="82"/>
              <x v="85"/>
              <x v="86"/>
              <x v="87"/>
              <x v="88"/>
              <x v="89"/>
              <x v="90"/>
            </reference>
          </references>
        </pivotArea>
      </pivotAreas>
    </conditionalFormat>
    <conditionalFormat priority="11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5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5"/>
              <x v="56"/>
              <x v="60"/>
              <x v="61"/>
              <x v="63"/>
              <x v="65"/>
              <x v="67"/>
              <x v="68"/>
              <x v="71"/>
              <x v="72"/>
              <x v="74"/>
              <x v="75"/>
              <x v="80"/>
              <x v="82"/>
              <x v="85"/>
              <x v="86"/>
              <x v="87"/>
              <x v="88"/>
              <x v="89"/>
              <x v="90"/>
              <x v="91"/>
              <x v="92"/>
            </reference>
          </references>
        </pivotArea>
      </pivotAreas>
    </conditionalFormat>
    <conditionalFormat priority="114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5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5"/>
              <x v="56"/>
              <x v="60"/>
              <x v="61"/>
              <x v="63"/>
              <x v="65"/>
              <x v="67"/>
              <x v="68"/>
              <x v="71"/>
              <x v="72"/>
              <x v="74"/>
              <x v="75"/>
              <x v="80"/>
              <x v="82"/>
              <x v="85"/>
              <x v="86"/>
              <x v="87"/>
              <x v="88"/>
              <x v="89"/>
              <x v="90"/>
              <x v="91"/>
              <x v="92"/>
            </reference>
          </references>
        </pivotArea>
      </pivotAreas>
    </conditionalFormat>
    <conditionalFormat priority="113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5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5"/>
              <x v="56"/>
              <x v="60"/>
              <x v="61"/>
              <x v="63"/>
              <x v="65"/>
              <x v="67"/>
              <x v="68"/>
              <x v="71"/>
              <x v="72"/>
              <x v="74"/>
              <x v="75"/>
              <x v="80"/>
              <x v="82"/>
              <x v="85"/>
              <x v="86"/>
              <x v="87"/>
              <x v="88"/>
              <x v="89"/>
              <x v="90"/>
              <x v="91"/>
              <x v="92"/>
            </reference>
          </references>
        </pivotArea>
      </pivotAreas>
    </conditionalFormat>
    <conditionalFormat priority="11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2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1"/>
              <x v="54"/>
              <x v="55"/>
              <x v="56"/>
              <x v="57"/>
              <x v="60"/>
              <x v="61"/>
              <x v="63"/>
              <x v="65"/>
              <x v="67"/>
              <x v="68"/>
              <x v="72"/>
              <x v="73"/>
              <x v="74"/>
              <x v="75"/>
              <x v="80"/>
              <x v="82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</reference>
          </references>
        </pivotArea>
      </pivotAreas>
    </conditionalFormat>
    <conditionalFormat priority="111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3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1"/>
              <x v="54"/>
              <x v="55"/>
              <x v="56"/>
              <x v="57"/>
              <x v="60"/>
              <x v="61"/>
              <x v="63"/>
              <x v="65"/>
              <x v="67"/>
              <x v="68"/>
              <x v="71"/>
              <x v="72"/>
              <x v="73"/>
              <x v="74"/>
              <x v="75"/>
              <x v="80"/>
              <x v="82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</reference>
          </references>
        </pivotArea>
      </pivotAreas>
    </conditionalFormat>
    <conditionalFormat priority="102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2">
              <x v="0"/>
              <x v="1"/>
              <x v="2"/>
              <x v="4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5"/>
              <x v="48"/>
              <x v="51"/>
              <x v="54"/>
              <x v="55"/>
              <x v="56"/>
              <x v="57"/>
              <x v="60"/>
              <x v="61"/>
              <x v="63"/>
              <x v="65"/>
              <x v="67"/>
              <x v="68"/>
              <x v="71"/>
              <x v="72"/>
              <x v="73"/>
              <x v="74"/>
              <x v="82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</reference>
          </references>
        </pivotArea>
      </pivotAreas>
    </conditionalFormat>
    <conditionalFormat priority="10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6">
              <x v="1"/>
              <x v="2"/>
              <x v="4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1"/>
              <x v="52"/>
              <x v="54"/>
              <x v="55"/>
              <x v="56"/>
              <x v="57"/>
              <x v="58"/>
              <x v="60"/>
              <x v="61"/>
              <x v="62"/>
              <x v="63"/>
              <x v="65"/>
              <x v="68"/>
              <x v="72"/>
              <x v="74"/>
              <x v="80"/>
              <x v="82"/>
              <x v="84"/>
              <x v="85"/>
              <x v="86"/>
              <x v="87"/>
              <x v="88"/>
              <x v="89"/>
              <x v="90"/>
              <x v="91"/>
              <x v="92"/>
              <x v="94"/>
              <x v="95"/>
              <x v="96"/>
              <x v="97"/>
              <x v="98"/>
              <x v="99"/>
            </reference>
          </references>
        </pivotArea>
      </pivotAreas>
    </conditionalFormat>
    <conditionalFormat priority="100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6">
              <x v="1"/>
              <x v="2"/>
              <x v="4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1"/>
              <x v="52"/>
              <x v="54"/>
              <x v="55"/>
              <x v="56"/>
              <x v="57"/>
              <x v="58"/>
              <x v="60"/>
              <x v="61"/>
              <x v="62"/>
              <x v="63"/>
              <x v="65"/>
              <x v="68"/>
              <x v="72"/>
              <x v="74"/>
              <x v="80"/>
              <x v="82"/>
              <x v="84"/>
              <x v="85"/>
              <x v="86"/>
              <x v="87"/>
              <x v="88"/>
              <x v="89"/>
              <x v="90"/>
              <x v="91"/>
              <x v="92"/>
              <x v="94"/>
              <x v="95"/>
              <x v="96"/>
              <x v="97"/>
              <x v="98"/>
              <x v="99"/>
            </reference>
          </references>
        </pivotArea>
      </pivotAreas>
    </conditionalFormat>
    <conditionalFormat priority="99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6">
              <x v="1"/>
              <x v="2"/>
              <x v="4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1"/>
              <x v="52"/>
              <x v="54"/>
              <x v="55"/>
              <x v="56"/>
              <x v="57"/>
              <x v="58"/>
              <x v="60"/>
              <x v="61"/>
              <x v="62"/>
              <x v="63"/>
              <x v="65"/>
              <x v="68"/>
              <x v="72"/>
              <x v="74"/>
              <x v="80"/>
              <x v="82"/>
              <x v="84"/>
              <x v="85"/>
              <x v="86"/>
              <x v="87"/>
              <x v="88"/>
              <x v="89"/>
              <x v="90"/>
              <x v="91"/>
              <x v="92"/>
              <x v="94"/>
              <x v="95"/>
              <x v="96"/>
              <x v="97"/>
              <x v="98"/>
              <x v="99"/>
            </reference>
          </references>
        </pivotArea>
      </pivotAreas>
    </conditionalFormat>
    <conditionalFormat priority="98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5">
              <x v="1"/>
              <x v="2"/>
              <x v="4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1"/>
              <x v="52"/>
              <x v="54"/>
              <x v="55"/>
              <x v="56"/>
              <x v="57"/>
              <x v="58"/>
              <x v="61"/>
              <x v="62"/>
              <x v="63"/>
              <x v="65"/>
              <x v="68"/>
              <x v="72"/>
              <x v="73"/>
              <x v="74"/>
              <x v="75"/>
              <x v="80"/>
              <x v="82"/>
              <x v="84"/>
              <x v="85"/>
              <x v="86"/>
              <x v="87"/>
              <x v="88"/>
              <x v="89"/>
              <x v="90"/>
              <x v="92"/>
              <x v="94"/>
              <x v="95"/>
              <x v="96"/>
              <x v="98"/>
              <x v="99"/>
              <x v="100"/>
            </reference>
          </references>
        </pivotArea>
      </pivotAreas>
    </conditionalFormat>
    <conditionalFormat priority="9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5">
              <x v="1"/>
              <x v="2"/>
              <x v="4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1"/>
              <x v="52"/>
              <x v="54"/>
              <x v="55"/>
              <x v="56"/>
              <x v="57"/>
              <x v="58"/>
              <x v="61"/>
              <x v="62"/>
              <x v="63"/>
              <x v="65"/>
              <x v="68"/>
              <x v="72"/>
              <x v="73"/>
              <x v="74"/>
              <x v="75"/>
              <x v="80"/>
              <x v="82"/>
              <x v="84"/>
              <x v="85"/>
              <x v="86"/>
              <x v="87"/>
              <x v="88"/>
              <x v="89"/>
              <x v="90"/>
              <x v="92"/>
              <x v="94"/>
              <x v="95"/>
              <x v="96"/>
              <x v="98"/>
              <x v="99"/>
              <x v="100"/>
            </reference>
          </references>
        </pivotArea>
      </pivotAreas>
    </conditionalFormat>
    <conditionalFormat priority="9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5">
              <x v="1"/>
              <x v="2"/>
              <x v="4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9"/>
              <x v="40"/>
              <x v="43"/>
              <x v="44"/>
              <x v="48"/>
              <x v="51"/>
              <x v="52"/>
              <x v="54"/>
              <x v="55"/>
              <x v="56"/>
              <x v="57"/>
              <x v="58"/>
              <x v="61"/>
              <x v="62"/>
              <x v="63"/>
              <x v="65"/>
              <x v="68"/>
              <x v="72"/>
              <x v="73"/>
              <x v="74"/>
              <x v="75"/>
              <x v="80"/>
              <x v="82"/>
              <x v="84"/>
              <x v="85"/>
              <x v="86"/>
              <x v="87"/>
              <x v="88"/>
              <x v="89"/>
              <x v="90"/>
              <x v="92"/>
              <x v="94"/>
              <x v="95"/>
              <x v="96"/>
              <x v="98"/>
              <x v="99"/>
              <x v="100"/>
            </reference>
          </references>
        </pivotArea>
      </pivotAreas>
    </conditionalFormat>
    <conditionalFormat priority="95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5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5"/>
              <x v="48"/>
              <x v="49"/>
              <x v="51"/>
              <x v="52"/>
              <x v="54"/>
              <x v="56"/>
              <x v="58"/>
              <x v="61"/>
              <x v="63"/>
              <x v="65"/>
              <x v="67"/>
              <x v="68"/>
              <x v="72"/>
              <x v="80"/>
              <x v="82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</reference>
          </references>
        </pivotArea>
      </pivotAreas>
    </conditionalFormat>
    <conditionalFormat priority="94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5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5"/>
              <x v="48"/>
              <x v="49"/>
              <x v="51"/>
              <x v="52"/>
              <x v="54"/>
              <x v="56"/>
              <x v="58"/>
              <x v="61"/>
              <x v="63"/>
              <x v="65"/>
              <x v="67"/>
              <x v="68"/>
              <x v="72"/>
              <x v="80"/>
              <x v="82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</reference>
          </references>
        </pivotArea>
      </pivotAreas>
    </conditionalFormat>
    <conditionalFormat priority="9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5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5"/>
              <x v="48"/>
              <x v="49"/>
              <x v="51"/>
              <x v="52"/>
              <x v="54"/>
              <x v="56"/>
              <x v="58"/>
              <x v="61"/>
              <x v="63"/>
              <x v="65"/>
              <x v="67"/>
              <x v="68"/>
              <x v="72"/>
              <x v="80"/>
              <x v="82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</reference>
          </references>
        </pivotArea>
      </pivotAreas>
    </conditionalFormat>
    <conditionalFormat priority="9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71">
              <x v="1"/>
              <x v="2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5"/>
              <x v="48"/>
              <x v="49"/>
              <x v="51"/>
              <x v="52"/>
              <x v="53"/>
              <x v="54"/>
              <x v="56"/>
              <x v="57"/>
              <x v="58"/>
              <x v="61"/>
              <x v="62"/>
              <x v="63"/>
              <x v="65"/>
              <x v="67"/>
              <x v="72"/>
              <x v="73"/>
              <x v="80"/>
              <x v="82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</reference>
          </references>
        </pivotArea>
      </pivotAreas>
    </conditionalFormat>
    <conditionalFormat priority="91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71">
              <x v="1"/>
              <x v="2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5"/>
              <x v="48"/>
              <x v="49"/>
              <x v="51"/>
              <x v="52"/>
              <x v="53"/>
              <x v="54"/>
              <x v="56"/>
              <x v="57"/>
              <x v="58"/>
              <x v="61"/>
              <x v="62"/>
              <x v="63"/>
              <x v="65"/>
              <x v="67"/>
              <x v="72"/>
              <x v="73"/>
              <x v="80"/>
              <x v="82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</reference>
          </references>
        </pivotArea>
      </pivotAreas>
    </conditionalFormat>
    <conditionalFormat priority="90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71">
              <x v="1"/>
              <x v="2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5"/>
              <x v="48"/>
              <x v="49"/>
              <x v="51"/>
              <x v="52"/>
              <x v="53"/>
              <x v="54"/>
              <x v="56"/>
              <x v="57"/>
              <x v="58"/>
              <x v="61"/>
              <x v="62"/>
              <x v="63"/>
              <x v="65"/>
              <x v="67"/>
              <x v="72"/>
              <x v="73"/>
              <x v="80"/>
              <x v="82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</reference>
          </references>
        </pivotArea>
      </pivotAreas>
    </conditionalFormat>
    <conditionalFormat priority="8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73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6"/>
              <x v="57"/>
              <x v="58"/>
              <x v="60"/>
              <x v="61"/>
              <x v="63"/>
              <x v="65"/>
              <x v="67"/>
              <x v="72"/>
              <x v="73"/>
              <x v="80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  <x v="106"/>
            </reference>
          </references>
        </pivotArea>
      </pivotAreas>
    </conditionalFormat>
    <conditionalFormat priority="88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73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6"/>
              <x v="57"/>
              <x v="58"/>
              <x v="60"/>
              <x v="61"/>
              <x v="63"/>
              <x v="65"/>
              <x v="67"/>
              <x v="72"/>
              <x v="73"/>
              <x v="80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  <x v="106"/>
            </reference>
          </references>
        </pivotArea>
      </pivotAreas>
    </conditionalFormat>
    <conditionalFormat priority="87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73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6"/>
              <x v="57"/>
              <x v="58"/>
              <x v="60"/>
              <x v="61"/>
              <x v="63"/>
              <x v="65"/>
              <x v="67"/>
              <x v="72"/>
              <x v="73"/>
              <x v="80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  <x v="106"/>
            </reference>
          </references>
        </pivotArea>
      </pivotAreas>
    </conditionalFormat>
    <conditionalFormat priority="83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71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4"/>
              <x v="56"/>
              <x v="57"/>
              <x v="58"/>
              <x v="60"/>
              <x v="61"/>
              <x v="62"/>
              <x v="63"/>
              <x v="65"/>
              <x v="67"/>
              <x v="72"/>
              <x v="80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  <x v="107"/>
              <x v="108"/>
            </reference>
          </references>
        </pivotArea>
      </pivotAreas>
    </conditionalFormat>
    <conditionalFormat priority="82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71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4"/>
              <x v="56"/>
              <x v="57"/>
              <x v="58"/>
              <x v="60"/>
              <x v="61"/>
              <x v="62"/>
              <x v="63"/>
              <x v="65"/>
              <x v="67"/>
              <x v="72"/>
              <x v="80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  <x v="107"/>
              <x v="108"/>
            </reference>
          </references>
        </pivotArea>
      </pivotAreas>
    </conditionalFormat>
    <conditionalFormat priority="8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71">
              <x v="1"/>
              <x v="2"/>
              <x v="6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4"/>
              <x v="56"/>
              <x v="57"/>
              <x v="58"/>
              <x v="60"/>
              <x v="61"/>
              <x v="62"/>
              <x v="63"/>
              <x v="65"/>
              <x v="67"/>
              <x v="72"/>
              <x v="80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6"/>
              <x v="98"/>
              <x v="99"/>
              <x v="100"/>
              <x v="101"/>
              <x v="102"/>
              <x v="103"/>
              <x v="104"/>
              <x v="105"/>
              <x v="107"/>
              <x v="108"/>
            </reference>
          </references>
        </pivotArea>
      </pivotAreas>
    </conditionalFormat>
    <conditionalFormat priority="80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71">
              <x v="1"/>
              <x v="2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6"/>
              <x v="57"/>
              <x v="58"/>
              <x v="60"/>
              <x v="61"/>
              <x v="62"/>
              <x v="63"/>
              <x v="65"/>
              <x v="70"/>
              <x v="72"/>
              <x v="75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2"/>
              <x v="93"/>
              <x v="94"/>
              <x v="95"/>
              <x v="99"/>
              <x v="100"/>
              <x v="101"/>
              <x v="103"/>
              <x v="104"/>
              <x v="105"/>
              <x v="107"/>
              <x v="109"/>
            </reference>
          </references>
        </pivotArea>
      </pivotAreas>
    </conditionalFormat>
    <conditionalFormat priority="79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71">
              <x v="1"/>
              <x v="2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6"/>
              <x v="57"/>
              <x v="58"/>
              <x v="60"/>
              <x v="61"/>
              <x v="62"/>
              <x v="63"/>
              <x v="65"/>
              <x v="70"/>
              <x v="72"/>
              <x v="75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2"/>
              <x v="93"/>
              <x v="94"/>
              <x v="95"/>
              <x v="99"/>
              <x v="100"/>
              <x v="101"/>
              <x v="103"/>
              <x v="104"/>
              <x v="105"/>
              <x v="107"/>
              <x v="109"/>
            </reference>
          </references>
        </pivotArea>
      </pivotAreas>
    </conditionalFormat>
    <conditionalFormat priority="78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71">
              <x v="1"/>
              <x v="2"/>
              <x v="7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6"/>
              <x v="57"/>
              <x v="58"/>
              <x v="60"/>
              <x v="61"/>
              <x v="62"/>
              <x v="63"/>
              <x v="65"/>
              <x v="70"/>
              <x v="72"/>
              <x v="75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2"/>
              <x v="93"/>
              <x v="94"/>
              <x v="95"/>
              <x v="99"/>
              <x v="100"/>
              <x v="101"/>
              <x v="103"/>
              <x v="104"/>
              <x v="105"/>
              <x v="107"/>
              <x v="109"/>
            </reference>
          </references>
        </pivotArea>
      </pivotAreas>
    </conditionalFormat>
    <conditionalFormat priority="7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77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5"/>
              <x v="56"/>
              <x v="57"/>
              <x v="58"/>
              <x v="60"/>
              <x v="61"/>
              <x v="63"/>
              <x v="65"/>
              <x v="68"/>
              <x v="70"/>
              <x v="72"/>
              <x v="73"/>
              <x v="75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9"/>
              <x v="100"/>
              <x v="101"/>
              <x v="103"/>
              <x v="104"/>
              <x v="105"/>
              <x v="107"/>
              <x v="108"/>
              <x v="110"/>
              <x v="111"/>
              <x v="112"/>
            </reference>
          </references>
        </pivotArea>
      </pivotAreas>
    </conditionalFormat>
    <conditionalFormat priority="76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77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5"/>
              <x v="56"/>
              <x v="57"/>
              <x v="58"/>
              <x v="60"/>
              <x v="61"/>
              <x v="63"/>
              <x v="65"/>
              <x v="68"/>
              <x v="70"/>
              <x v="72"/>
              <x v="73"/>
              <x v="75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9"/>
              <x v="100"/>
              <x v="101"/>
              <x v="103"/>
              <x v="104"/>
              <x v="105"/>
              <x v="107"/>
              <x v="108"/>
              <x v="110"/>
              <x v="111"/>
              <x v="112"/>
            </reference>
          </references>
        </pivotArea>
      </pivotAreas>
    </conditionalFormat>
    <conditionalFormat priority="75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77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7"/>
              <x v="39"/>
              <x v="40"/>
              <x v="43"/>
              <x v="44"/>
              <x v="48"/>
              <x v="49"/>
              <x v="51"/>
              <x v="52"/>
              <x v="53"/>
              <x v="54"/>
              <x v="55"/>
              <x v="56"/>
              <x v="57"/>
              <x v="58"/>
              <x v="60"/>
              <x v="61"/>
              <x v="63"/>
              <x v="65"/>
              <x v="68"/>
              <x v="70"/>
              <x v="72"/>
              <x v="73"/>
              <x v="75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2"/>
              <x v="94"/>
              <x v="95"/>
              <x v="99"/>
              <x v="100"/>
              <x v="101"/>
              <x v="103"/>
              <x v="104"/>
              <x v="105"/>
              <x v="107"/>
              <x v="108"/>
              <x v="110"/>
              <x v="111"/>
              <x v="112"/>
            </reference>
          </references>
        </pivotArea>
      </pivotAreas>
    </conditionalFormat>
    <conditionalFormat priority="70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8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6"/>
              <x v="37"/>
              <x v="39"/>
              <x v="40"/>
              <x v="43"/>
              <x v="44"/>
              <x v="45"/>
              <x v="49"/>
              <x v="53"/>
              <x v="54"/>
              <x v="55"/>
              <x v="56"/>
              <x v="57"/>
              <x v="58"/>
              <x v="60"/>
              <x v="61"/>
              <x v="63"/>
              <x v="65"/>
              <x v="67"/>
              <x v="68"/>
              <x v="70"/>
              <x v="72"/>
              <x v="73"/>
              <x v="84"/>
              <x v="88"/>
              <x v="89"/>
              <x v="92"/>
              <x v="94"/>
              <x v="97"/>
              <x v="99"/>
              <x v="100"/>
              <x v="103"/>
              <x v="104"/>
              <x v="105"/>
              <x v="107"/>
              <x v="110"/>
              <x v="111"/>
              <x v="112"/>
              <x v="113"/>
              <x v="114"/>
            </reference>
          </references>
        </pivotArea>
      </pivotAreas>
    </conditionalFormat>
    <conditionalFormat priority="69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8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2"/>
              <x v="33"/>
              <x v="34"/>
              <x v="35"/>
              <x v="36"/>
              <x v="37"/>
              <x v="39"/>
              <x v="40"/>
              <x v="43"/>
              <x v="44"/>
              <x v="45"/>
              <x v="49"/>
              <x v="53"/>
              <x v="54"/>
              <x v="55"/>
              <x v="56"/>
              <x v="57"/>
              <x v="58"/>
              <x v="60"/>
              <x v="61"/>
              <x v="63"/>
              <x v="65"/>
              <x v="67"/>
              <x v="68"/>
              <x v="70"/>
              <x v="72"/>
              <x v="73"/>
              <x v="84"/>
              <x v="88"/>
              <x v="89"/>
              <x v="92"/>
              <x v="94"/>
              <x v="97"/>
              <x v="99"/>
              <x v="100"/>
              <x v="103"/>
              <x v="104"/>
              <x v="105"/>
              <x v="107"/>
              <x v="110"/>
              <x v="111"/>
              <x v="112"/>
              <x v="113"/>
              <x v="114"/>
            </reference>
          </references>
        </pivotArea>
      </pivotAreas>
    </conditionalFormat>
    <conditionalFormat priority="6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8">
              <x v="2"/>
              <x v="3"/>
              <x v="7"/>
              <x v="9"/>
              <x v="27"/>
              <x v="28"/>
              <x v="29"/>
              <x v="42"/>
              <x v="43"/>
              <x v="51"/>
              <x v="55"/>
              <x v="56"/>
              <x v="59"/>
              <x v="60"/>
              <x v="65"/>
              <x v="68"/>
              <x v="70"/>
              <x v="75"/>
              <x v="84"/>
              <x v="85"/>
              <x v="90"/>
              <x v="10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8"/>
              <x v="129"/>
              <x v="130"/>
              <x v="131"/>
              <x v="132"/>
              <x v="133"/>
              <x v="134"/>
              <x v="135"/>
              <x v="136"/>
              <x v="137"/>
              <x v="138"/>
              <x v="139"/>
              <x v="140"/>
              <x v="141"/>
              <x v="142"/>
              <x v="143"/>
              <x v="144"/>
              <x v="145"/>
              <x v="146"/>
              <x v="147"/>
              <x v="148"/>
              <x v="149"/>
              <x v="150"/>
            </reference>
          </references>
        </pivotArea>
      </pivotAreas>
    </conditionalFormat>
    <conditionalFormat priority="6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8">
              <x v="2"/>
              <x v="3"/>
              <x v="7"/>
              <x v="9"/>
              <x v="27"/>
              <x v="28"/>
              <x v="29"/>
              <x v="42"/>
              <x v="43"/>
              <x v="51"/>
              <x v="55"/>
              <x v="56"/>
              <x v="59"/>
              <x v="60"/>
              <x v="65"/>
              <x v="68"/>
              <x v="70"/>
              <x v="75"/>
              <x v="84"/>
              <x v="85"/>
              <x v="90"/>
              <x v="10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8"/>
              <x v="129"/>
              <x v="130"/>
              <x v="131"/>
              <x v="132"/>
              <x v="133"/>
              <x v="134"/>
              <x v="135"/>
              <x v="136"/>
              <x v="137"/>
              <x v="138"/>
              <x v="139"/>
              <x v="140"/>
              <x v="141"/>
              <x v="142"/>
              <x v="143"/>
              <x v="144"/>
              <x v="145"/>
              <x v="146"/>
              <x v="147"/>
              <x v="148"/>
              <x v="149"/>
              <x v="150"/>
            </reference>
          </references>
        </pivotArea>
      </pivotAreas>
    </conditionalFormat>
    <conditionalFormat priority="66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8">
              <x v="2"/>
              <x v="3"/>
              <x v="7"/>
              <x v="9"/>
              <x v="27"/>
              <x v="28"/>
              <x v="29"/>
              <x v="42"/>
              <x v="43"/>
              <x v="51"/>
              <x v="55"/>
              <x v="56"/>
              <x v="59"/>
              <x v="60"/>
              <x v="65"/>
              <x v="68"/>
              <x v="70"/>
              <x v="75"/>
              <x v="84"/>
              <x v="85"/>
              <x v="90"/>
              <x v="10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8"/>
              <x v="129"/>
              <x v="130"/>
              <x v="131"/>
              <x v="132"/>
              <x v="133"/>
              <x v="134"/>
              <x v="135"/>
              <x v="136"/>
              <x v="137"/>
              <x v="138"/>
              <x v="139"/>
              <x v="140"/>
              <x v="141"/>
              <x v="142"/>
              <x v="143"/>
              <x v="144"/>
              <x v="145"/>
              <x v="146"/>
              <x v="147"/>
              <x v="148"/>
              <x v="149"/>
              <x v="150"/>
            </reference>
          </references>
        </pivotArea>
      </pivotAreas>
    </conditionalFormat>
    <conditionalFormat priority="62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2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4"/>
              <x v="35"/>
              <x v="36"/>
              <x v="37"/>
              <x v="39"/>
              <x v="40"/>
              <x v="43"/>
              <x v="44"/>
              <x v="49"/>
              <x v="53"/>
              <x v="55"/>
              <x v="57"/>
              <x v="60"/>
              <x v="61"/>
              <x v="62"/>
              <x v="63"/>
              <x v="65"/>
              <x v="67"/>
              <x v="70"/>
              <x v="72"/>
              <x v="73"/>
              <x v="75"/>
              <x v="80"/>
              <x v="84"/>
              <x v="88"/>
              <x v="89"/>
              <x v="94"/>
              <x v="97"/>
              <x v="99"/>
              <x v="100"/>
              <x v="103"/>
              <x v="105"/>
              <x v="107"/>
              <x v="111"/>
              <x v="113"/>
              <x v="151"/>
            </reference>
          </references>
        </pivotArea>
      </pivotAreas>
    </conditionalFormat>
    <conditionalFormat priority="61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2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4"/>
              <x v="35"/>
              <x v="36"/>
              <x v="37"/>
              <x v="39"/>
              <x v="40"/>
              <x v="43"/>
              <x v="44"/>
              <x v="49"/>
              <x v="53"/>
              <x v="55"/>
              <x v="57"/>
              <x v="60"/>
              <x v="61"/>
              <x v="62"/>
              <x v="63"/>
              <x v="65"/>
              <x v="67"/>
              <x v="70"/>
              <x v="72"/>
              <x v="73"/>
              <x v="75"/>
              <x v="80"/>
              <x v="84"/>
              <x v="88"/>
              <x v="89"/>
              <x v="94"/>
              <x v="97"/>
              <x v="99"/>
              <x v="100"/>
              <x v="103"/>
              <x v="105"/>
              <x v="107"/>
              <x v="111"/>
              <x v="113"/>
              <x v="151"/>
            </reference>
          </references>
        </pivotArea>
      </pivotAreas>
    </conditionalFormat>
    <conditionalFormat priority="60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2">
              <x v="1"/>
              <x v="2"/>
              <x v="6"/>
              <x v="7"/>
              <x v="8"/>
              <x v="9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4"/>
              <x v="35"/>
              <x v="36"/>
              <x v="37"/>
              <x v="39"/>
              <x v="40"/>
              <x v="43"/>
              <x v="44"/>
              <x v="49"/>
              <x v="53"/>
              <x v="55"/>
              <x v="57"/>
              <x v="60"/>
              <x v="61"/>
              <x v="62"/>
              <x v="63"/>
              <x v="65"/>
              <x v="67"/>
              <x v="70"/>
              <x v="72"/>
              <x v="73"/>
              <x v="75"/>
              <x v="80"/>
              <x v="84"/>
              <x v="88"/>
              <x v="89"/>
              <x v="94"/>
              <x v="97"/>
              <x v="99"/>
              <x v="100"/>
              <x v="103"/>
              <x v="105"/>
              <x v="107"/>
              <x v="111"/>
              <x v="113"/>
              <x v="151"/>
            </reference>
          </references>
        </pivotArea>
      </pivotAreas>
    </conditionalFormat>
    <conditionalFormat priority="5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8">
              <x v="0"/>
              <x v="1"/>
              <x v="2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4"/>
              <x v="35"/>
              <x v="36"/>
              <x v="37"/>
              <x v="39"/>
              <x v="40"/>
              <x v="43"/>
              <x v="44"/>
              <x v="45"/>
              <x v="49"/>
              <x v="50"/>
              <x v="53"/>
              <x v="55"/>
              <x v="57"/>
              <x v="60"/>
              <x v="61"/>
              <x v="62"/>
              <x v="63"/>
              <x v="65"/>
              <x v="70"/>
              <x v="72"/>
              <x v="73"/>
              <x v="75"/>
              <x v="80"/>
              <x v="88"/>
              <x v="89"/>
              <x v="94"/>
              <x v="97"/>
              <x v="99"/>
              <x v="100"/>
              <x v="103"/>
              <x v="105"/>
              <x v="107"/>
              <x v="109"/>
              <x v="110"/>
              <x v="111"/>
              <x v="113"/>
              <x v="114"/>
              <x v="151"/>
            </reference>
          </references>
        </pivotArea>
      </pivotAreas>
    </conditionalFormat>
    <conditionalFormat priority="58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1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3"/>
              <x v="25"/>
              <x v="26"/>
              <x v="27"/>
              <x v="28"/>
              <x v="29"/>
              <x v="30"/>
              <x v="32"/>
              <x v="34"/>
              <x v="35"/>
              <x v="36"/>
              <x v="39"/>
              <x v="40"/>
              <x v="43"/>
              <x v="44"/>
              <x v="45"/>
              <x v="48"/>
              <x v="49"/>
              <x v="50"/>
              <x v="53"/>
              <x v="54"/>
              <x v="55"/>
              <x v="57"/>
              <x v="61"/>
              <x v="62"/>
              <x v="63"/>
              <x v="65"/>
              <x v="70"/>
              <x v="72"/>
              <x v="73"/>
              <x v="80"/>
              <x v="84"/>
              <x v="89"/>
              <x v="94"/>
              <x v="97"/>
              <x v="100"/>
              <x v="105"/>
              <x v="107"/>
              <x v="110"/>
              <x v="113"/>
              <x v="114"/>
              <x v="152"/>
            </reference>
          </references>
        </pivotArea>
      </pivotAreas>
    </conditionalFormat>
    <conditionalFormat priority="5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1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3"/>
              <x v="25"/>
              <x v="26"/>
              <x v="27"/>
              <x v="28"/>
              <x v="29"/>
              <x v="30"/>
              <x v="32"/>
              <x v="34"/>
              <x v="35"/>
              <x v="36"/>
              <x v="39"/>
              <x v="40"/>
              <x v="43"/>
              <x v="44"/>
              <x v="45"/>
              <x v="48"/>
              <x v="49"/>
              <x v="50"/>
              <x v="53"/>
              <x v="54"/>
              <x v="55"/>
              <x v="57"/>
              <x v="61"/>
              <x v="62"/>
              <x v="63"/>
              <x v="65"/>
              <x v="70"/>
              <x v="72"/>
              <x v="73"/>
              <x v="80"/>
              <x v="84"/>
              <x v="89"/>
              <x v="94"/>
              <x v="97"/>
              <x v="100"/>
              <x v="105"/>
              <x v="107"/>
              <x v="110"/>
              <x v="113"/>
              <x v="114"/>
              <x v="152"/>
            </reference>
          </references>
        </pivotArea>
      </pivotAreas>
    </conditionalFormat>
    <conditionalFormat priority="5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1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4"/>
              <x v="35"/>
              <x v="36"/>
              <x v="39"/>
              <x v="40"/>
              <x v="42"/>
              <x v="43"/>
              <x v="44"/>
              <x v="45"/>
              <x v="48"/>
              <x v="49"/>
              <x v="53"/>
              <x v="55"/>
              <x v="57"/>
              <x v="61"/>
              <x v="62"/>
              <x v="63"/>
              <x v="65"/>
              <x v="70"/>
              <x v="72"/>
              <x v="75"/>
              <x v="80"/>
              <x v="84"/>
              <x v="89"/>
              <x v="94"/>
              <x v="97"/>
              <x v="100"/>
              <x v="102"/>
              <x v="105"/>
              <x v="107"/>
              <x v="113"/>
              <x v="130"/>
              <x v="152"/>
            </reference>
          </references>
        </pivotArea>
      </pivotAreas>
    </conditionalFormat>
    <conditionalFormat priority="5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9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5"/>
              <x v="36"/>
              <x v="39"/>
              <x v="40"/>
              <x v="43"/>
              <x v="44"/>
              <x v="45"/>
              <x v="48"/>
              <x v="49"/>
              <x v="55"/>
              <x v="61"/>
              <x v="62"/>
              <x v="63"/>
              <x v="65"/>
              <x v="70"/>
              <x v="72"/>
              <x v="75"/>
              <x v="80"/>
              <x v="84"/>
              <x v="88"/>
              <x v="89"/>
              <x v="94"/>
              <x v="100"/>
              <x v="102"/>
              <x v="105"/>
              <x v="107"/>
              <x v="113"/>
              <x v="130"/>
              <x v="152"/>
              <x v="153"/>
              <x v="154"/>
            </reference>
          </references>
        </pivotArea>
      </pivotAreas>
    </conditionalFormat>
    <conditionalFormat priority="53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9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5"/>
              <x v="36"/>
              <x v="39"/>
              <x v="40"/>
              <x v="43"/>
              <x v="44"/>
              <x v="45"/>
              <x v="48"/>
              <x v="49"/>
              <x v="55"/>
              <x v="61"/>
              <x v="62"/>
              <x v="63"/>
              <x v="65"/>
              <x v="70"/>
              <x v="72"/>
              <x v="75"/>
              <x v="80"/>
              <x v="84"/>
              <x v="88"/>
              <x v="89"/>
              <x v="94"/>
              <x v="100"/>
              <x v="102"/>
              <x v="105"/>
              <x v="107"/>
              <x v="113"/>
              <x v="130"/>
              <x v="152"/>
              <x v="153"/>
              <x v="154"/>
            </reference>
          </references>
        </pivotArea>
      </pivotAreas>
    </conditionalFormat>
    <conditionalFormat priority="52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9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5"/>
              <x v="36"/>
              <x v="39"/>
              <x v="40"/>
              <x v="43"/>
              <x v="44"/>
              <x v="45"/>
              <x v="48"/>
              <x v="49"/>
              <x v="55"/>
              <x v="61"/>
              <x v="62"/>
              <x v="63"/>
              <x v="65"/>
              <x v="70"/>
              <x v="72"/>
              <x v="75"/>
              <x v="80"/>
              <x v="84"/>
              <x v="88"/>
              <x v="89"/>
              <x v="94"/>
              <x v="100"/>
              <x v="102"/>
              <x v="105"/>
              <x v="107"/>
              <x v="113"/>
              <x v="130"/>
              <x v="152"/>
              <x v="153"/>
              <x v="154"/>
            </reference>
          </references>
        </pivotArea>
      </pivotAreas>
    </conditionalFormat>
    <conditionalFormat priority="4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8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5"/>
              <x v="36"/>
              <x v="39"/>
              <x v="40"/>
              <x v="43"/>
              <x v="44"/>
              <x v="45"/>
              <x v="48"/>
              <x v="49"/>
              <x v="53"/>
              <x v="55"/>
              <x v="57"/>
              <x v="61"/>
              <x v="65"/>
              <x v="70"/>
              <x v="72"/>
              <x v="73"/>
              <x v="80"/>
              <x v="84"/>
              <x v="88"/>
              <x v="94"/>
              <x v="100"/>
              <x v="102"/>
              <x v="105"/>
              <x v="107"/>
              <x v="113"/>
              <x v="130"/>
              <x v="152"/>
              <x v="153"/>
              <x v="154"/>
              <x v="155"/>
            </reference>
          </references>
        </pivotArea>
      </pivotAreas>
    </conditionalFormat>
    <conditionalFormat priority="4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8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5"/>
              <x v="36"/>
              <x v="39"/>
              <x v="40"/>
              <x v="43"/>
              <x v="44"/>
              <x v="45"/>
              <x v="48"/>
              <x v="49"/>
              <x v="53"/>
              <x v="55"/>
              <x v="57"/>
              <x v="61"/>
              <x v="65"/>
              <x v="70"/>
              <x v="72"/>
              <x v="73"/>
              <x v="80"/>
              <x v="84"/>
              <x v="88"/>
              <x v="94"/>
              <x v="100"/>
              <x v="102"/>
              <x v="105"/>
              <x v="107"/>
              <x v="113"/>
              <x v="130"/>
              <x v="152"/>
              <x v="153"/>
              <x v="154"/>
              <x v="155"/>
            </reference>
          </references>
        </pivotArea>
      </pivotAreas>
    </conditionalFormat>
    <conditionalFormat priority="46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8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5"/>
              <x v="36"/>
              <x v="39"/>
              <x v="40"/>
              <x v="43"/>
              <x v="44"/>
              <x v="45"/>
              <x v="48"/>
              <x v="49"/>
              <x v="53"/>
              <x v="55"/>
              <x v="57"/>
              <x v="61"/>
              <x v="65"/>
              <x v="70"/>
              <x v="72"/>
              <x v="73"/>
              <x v="80"/>
              <x v="84"/>
              <x v="88"/>
              <x v="94"/>
              <x v="100"/>
              <x v="102"/>
              <x v="105"/>
              <x v="107"/>
              <x v="113"/>
              <x v="130"/>
              <x v="152"/>
              <x v="153"/>
              <x v="154"/>
              <x v="155"/>
            </reference>
          </references>
        </pivotArea>
      </pivotAreas>
    </conditionalFormat>
    <conditionalFormat priority="4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0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30"/>
              <x v="32"/>
              <x v="35"/>
              <x v="36"/>
              <x v="39"/>
              <x v="40"/>
              <x v="42"/>
              <x v="43"/>
              <x v="44"/>
              <x v="45"/>
              <x v="48"/>
              <x v="49"/>
              <x v="52"/>
              <x v="53"/>
              <x v="54"/>
              <x v="55"/>
              <x v="57"/>
              <x v="61"/>
              <x v="62"/>
              <x v="65"/>
              <x v="72"/>
              <x v="73"/>
              <x v="75"/>
              <x v="80"/>
              <x v="84"/>
              <x v="88"/>
              <x v="104"/>
              <x v="105"/>
              <x v="107"/>
              <x v="113"/>
              <x v="130"/>
              <x v="152"/>
              <x v="156"/>
              <x v="157"/>
              <x v="158"/>
            </reference>
          </references>
        </pivotArea>
      </pivotAreas>
    </conditionalFormat>
    <conditionalFormat priority="44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1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5"/>
              <x v="36"/>
              <x v="39"/>
              <x v="40"/>
              <x v="42"/>
              <x v="43"/>
              <x v="44"/>
              <x v="45"/>
              <x v="48"/>
              <x v="49"/>
              <x v="52"/>
              <x v="53"/>
              <x v="54"/>
              <x v="55"/>
              <x v="57"/>
              <x v="61"/>
              <x v="62"/>
              <x v="65"/>
              <x v="72"/>
              <x v="73"/>
              <x v="75"/>
              <x v="80"/>
              <x v="84"/>
              <x v="88"/>
              <x v="104"/>
              <x v="105"/>
              <x v="107"/>
              <x v="113"/>
              <x v="130"/>
              <x v="152"/>
              <x v="156"/>
              <x v="157"/>
              <x v="158"/>
            </reference>
          </references>
        </pivotArea>
      </pivotAreas>
    </conditionalFormat>
    <conditionalFormat priority="43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1">
              <x v="0"/>
              <x v="1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2"/>
              <x v="35"/>
              <x v="36"/>
              <x v="39"/>
              <x v="40"/>
              <x v="42"/>
              <x v="43"/>
              <x v="44"/>
              <x v="45"/>
              <x v="48"/>
              <x v="49"/>
              <x v="52"/>
              <x v="53"/>
              <x v="54"/>
              <x v="55"/>
              <x v="57"/>
              <x v="61"/>
              <x v="62"/>
              <x v="65"/>
              <x v="72"/>
              <x v="73"/>
              <x v="75"/>
              <x v="80"/>
              <x v="84"/>
              <x v="88"/>
              <x v="104"/>
              <x v="105"/>
              <x v="107"/>
              <x v="113"/>
              <x v="130"/>
              <x v="152"/>
              <x v="156"/>
              <x v="157"/>
              <x v="158"/>
            </reference>
          </references>
        </pivotArea>
      </pivotAreas>
    </conditionalFormat>
    <conditionalFormat priority="3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0">
              <x v="0"/>
              <x v="1"/>
              <x v="2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5"/>
              <x v="36"/>
              <x v="39"/>
              <x v="40"/>
              <x v="42"/>
              <x v="43"/>
              <x v="44"/>
              <x v="48"/>
              <x v="49"/>
              <x v="52"/>
              <x v="53"/>
              <x v="54"/>
              <x v="55"/>
              <x v="57"/>
              <x v="61"/>
              <x v="62"/>
              <x v="63"/>
              <x v="65"/>
              <x v="73"/>
              <x v="75"/>
              <x v="82"/>
              <x v="83"/>
              <x v="84"/>
              <x v="96"/>
              <x v="99"/>
              <x v="102"/>
              <x v="104"/>
              <x v="107"/>
              <x v="115"/>
              <x v="130"/>
              <x v="152"/>
              <x v="156"/>
              <x v="157"/>
              <x v="158"/>
              <x v="159"/>
            </reference>
          </references>
        </pivotArea>
      </pivotAreas>
    </conditionalFormat>
    <conditionalFormat priority="38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0">
              <x v="0"/>
              <x v="1"/>
              <x v="2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5"/>
              <x v="36"/>
              <x v="39"/>
              <x v="40"/>
              <x v="42"/>
              <x v="43"/>
              <x v="44"/>
              <x v="48"/>
              <x v="49"/>
              <x v="52"/>
              <x v="53"/>
              <x v="54"/>
              <x v="55"/>
              <x v="57"/>
              <x v="61"/>
              <x v="62"/>
              <x v="63"/>
              <x v="65"/>
              <x v="73"/>
              <x v="75"/>
              <x v="82"/>
              <x v="83"/>
              <x v="84"/>
              <x v="96"/>
              <x v="99"/>
              <x v="102"/>
              <x v="104"/>
              <x v="107"/>
              <x v="115"/>
              <x v="130"/>
              <x v="152"/>
              <x v="156"/>
              <x v="157"/>
              <x v="158"/>
              <x v="159"/>
            </reference>
          </references>
        </pivotArea>
      </pivotAreas>
    </conditionalFormat>
    <conditionalFormat priority="37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0">
              <x v="0"/>
              <x v="1"/>
              <x v="2"/>
              <x v="5"/>
              <x v="6"/>
              <x v="7"/>
              <x v="8"/>
              <x v="9"/>
              <x v="11"/>
              <x v="12"/>
              <x v="13"/>
              <x v="14"/>
              <x v="16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5"/>
              <x v="36"/>
              <x v="39"/>
              <x v="40"/>
              <x v="42"/>
              <x v="43"/>
              <x v="44"/>
              <x v="48"/>
              <x v="49"/>
              <x v="52"/>
              <x v="53"/>
              <x v="54"/>
              <x v="55"/>
              <x v="57"/>
              <x v="61"/>
              <x v="62"/>
              <x v="63"/>
              <x v="65"/>
              <x v="73"/>
              <x v="75"/>
              <x v="82"/>
              <x v="83"/>
              <x v="84"/>
              <x v="96"/>
              <x v="99"/>
              <x v="102"/>
              <x v="104"/>
              <x v="107"/>
              <x v="115"/>
              <x v="130"/>
              <x v="152"/>
              <x v="156"/>
              <x v="157"/>
              <x v="158"/>
              <x v="159"/>
            </reference>
          </references>
        </pivotArea>
      </pivotAreas>
    </conditionalFormat>
    <conditionalFormat priority="3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5">
              <x v="1"/>
              <x v="2"/>
              <x v="8"/>
              <x v="9"/>
              <x v="11"/>
              <x v="12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9"/>
              <x v="32"/>
              <x v="33"/>
              <x v="35"/>
              <x v="39"/>
              <x v="40"/>
              <x v="43"/>
              <x v="44"/>
              <x v="48"/>
              <x v="50"/>
              <x v="52"/>
              <x v="58"/>
              <x v="61"/>
              <x v="66"/>
              <x v="68"/>
              <x v="70"/>
              <x v="73"/>
              <x v="79"/>
              <x v="80"/>
              <x v="83"/>
              <x v="84"/>
              <x v="89"/>
              <x v="99"/>
              <x v="107"/>
              <x v="108"/>
              <x v="152"/>
              <x v="154"/>
              <x v="156"/>
              <x v="160"/>
              <x v="161"/>
              <x v="162"/>
              <x v="163"/>
              <x v="164"/>
              <x v="165"/>
              <x v="166"/>
              <x v="167"/>
              <x v="168"/>
            </reference>
          </references>
        </pivotArea>
      </pivotAreas>
    </conditionalFormat>
    <conditionalFormat priority="32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5">
              <x v="1"/>
              <x v="2"/>
              <x v="8"/>
              <x v="9"/>
              <x v="11"/>
              <x v="12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9"/>
              <x v="32"/>
              <x v="33"/>
              <x v="35"/>
              <x v="39"/>
              <x v="40"/>
              <x v="43"/>
              <x v="44"/>
              <x v="48"/>
              <x v="50"/>
              <x v="52"/>
              <x v="58"/>
              <x v="61"/>
              <x v="66"/>
              <x v="68"/>
              <x v="70"/>
              <x v="73"/>
              <x v="79"/>
              <x v="80"/>
              <x v="83"/>
              <x v="84"/>
              <x v="89"/>
              <x v="99"/>
              <x v="107"/>
              <x v="108"/>
              <x v="152"/>
              <x v="154"/>
              <x v="156"/>
              <x v="160"/>
              <x v="161"/>
              <x v="162"/>
              <x v="163"/>
              <x v="164"/>
              <x v="165"/>
              <x v="166"/>
              <x v="167"/>
              <x v="168"/>
            </reference>
          </references>
        </pivotArea>
      </pivotAreas>
    </conditionalFormat>
    <conditionalFormat priority="31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5">
              <x v="1"/>
              <x v="2"/>
              <x v="8"/>
              <x v="9"/>
              <x v="11"/>
              <x v="12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9"/>
              <x v="32"/>
              <x v="33"/>
              <x v="35"/>
              <x v="39"/>
              <x v="40"/>
              <x v="43"/>
              <x v="44"/>
              <x v="48"/>
              <x v="50"/>
              <x v="52"/>
              <x v="58"/>
              <x v="61"/>
              <x v="66"/>
              <x v="68"/>
              <x v="70"/>
              <x v="73"/>
              <x v="79"/>
              <x v="80"/>
              <x v="83"/>
              <x v="84"/>
              <x v="89"/>
              <x v="99"/>
              <x v="107"/>
              <x v="108"/>
              <x v="152"/>
              <x v="154"/>
              <x v="156"/>
              <x v="160"/>
              <x v="161"/>
              <x v="162"/>
              <x v="163"/>
              <x v="164"/>
              <x v="165"/>
              <x v="166"/>
              <x v="167"/>
              <x v="168"/>
            </reference>
          </references>
        </pivotArea>
      </pivotAreas>
    </conditionalFormat>
    <conditionalFormat priority="2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5">
              <x v="1"/>
              <x v="2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9"/>
              <x v="32"/>
              <x v="35"/>
              <x v="39"/>
              <x v="40"/>
              <x v="43"/>
              <x v="44"/>
              <x v="48"/>
              <x v="52"/>
              <x v="56"/>
              <x v="58"/>
              <x v="61"/>
              <x v="66"/>
              <x v="68"/>
              <x v="73"/>
              <x v="80"/>
              <x v="82"/>
              <x v="84"/>
              <x v="89"/>
              <x v="96"/>
              <x v="107"/>
              <x v="108"/>
              <x v="152"/>
              <x v="156"/>
              <x v="160"/>
              <x v="161"/>
              <x v="162"/>
              <x v="163"/>
              <x v="164"/>
              <x v="165"/>
              <x v="166"/>
              <x v="167"/>
              <x v="168"/>
              <x v="169"/>
              <x v="170"/>
              <x v="171"/>
            </reference>
          </references>
        </pivotArea>
      </pivotAreas>
    </conditionalFormat>
    <conditionalFormat priority="26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5">
              <x v="1"/>
              <x v="2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9"/>
              <x v="32"/>
              <x v="35"/>
              <x v="39"/>
              <x v="40"/>
              <x v="43"/>
              <x v="44"/>
              <x v="48"/>
              <x v="52"/>
              <x v="56"/>
              <x v="58"/>
              <x v="61"/>
              <x v="66"/>
              <x v="68"/>
              <x v="73"/>
              <x v="80"/>
              <x v="82"/>
              <x v="84"/>
              <x v="89"/>
              <x v="96"/>
              <x v="107"/>
              <x v="108"/>
              <x v="152"/>
              <x v="156"/>
              <x v="160"/>
              <x v="161"/>
              <x v="162"/>
              <x v="163"/>
              <x v="164"/>
              <x v="165"/>
              <x v="166"/>
              <x v="167"/>
              <x v="168"/>
              <x v="169"/>
              <x v="170"/>
              <x v="171"/>
            </reference>
          </references>
        </pivotArea>
      </pivotAreas>
    </conditionalFormat>
    <conditionalFormat priority="25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5">
              <x v="1"/>
              <x v="2"/>
              <x v="8"/>
              <x v="9"/>
              <x v="11"/>
              <x v="12"/>
              <x v="13"/>
              <x v="14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9"/>
              <x v="32"/>
              <x v="35"/>
              <x v="39"/>
              <x v="40"/>
              <x v="43"/>
              <x v="44"/>
              <x v="48"/>
              <x v="52"/>
              <x v="56"/>
              <x v="58"/>
              <x v="61"/>
              <x v="66"/>
              <x v="68"/>
              <x v="73"/>
              <x v="80"/>
              <x v="82"/>
              <x v="84"/>
              <x v="89"/>
              <x v="96"/>
              <x v="107"/>
              <x v="108"/>
              <x v="152"/>
              <x v="156"/>
              <x v="160"/>
              <x v="161"/>
              <x v="162"/>
              <x v="163"/>
              <x v="164"/>
              <x v="165"/>
              <x v="166"/>
              <x v="167"/>
              <x v="168"/>
              <x v="169"/>
              <x v="170"/>
              <x v="171"/>
            </reference>
          </references>
        </pivotArea>
      </pivotAreas>
    </conditionalFormat>
    <conditionalFormat priority="2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1">
              <x v="0"/>
              <x v="1"/>
              <x v="10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6"/>
              <x v="39"/>
              <x v="40"/>
              <x v="42"/>
              <x v="43"/>
              <x v="44"/>
              <x v="48"/>
              <x v="49"/>
              <x v="52"/>
              <x v="55"/>
              <x v="58"/>
              <x v="60"/>
              <x v="61"/>
              <x v="67"/>
              <x v="70"/>
              <x v="72"/>
              <x v="75"/>
              <x v="80"/>
              <x v="82"/>
              <x v="93"/>
              <x v="99"/>
              <x v="107"/>
              <x v="152"/>
              <x v="158"/>
              <x v="160"/>
              <x v="161"/>
              <x v="162"/>
              <x v="163"/>
              <x v="164"/>
              <x v="165"/>
              <x v="167"/>
              <x v="171"/>
              <x v="172"/>
              <x v="173"/>
              <x v="174"/>
              <x v="175"/>
              <x v="176"/>
              <x v="177"/>
              <x v="178"/>
            </reference>
          </references>
        </pivotArea>
      </pivotAreas>
    </conditionalFormat>
    <conditionalFormat priority="23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1">
              <x v="0"/>
              <x v="1"/>
              <x v="10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6"/>
              <x v="39"/>
              <x v="40"/>
              <x v="42"/>
              <x v="43"/>
              <x v="44"/>
              <x v="48"/>
              <x v="49"/>
              <x v="52"/>
              <x v="55"/>
              <x v="58"/>
              <x v="60"/>
              <x v="61"/>
              <x v="67"/>
              <x v="70"/>
              <x v="72"/>
              <x v="75"/>
              <x v="80"/>
              <x v="82"/>
              <x v="93"/>
              <x v="99"/>
              <x v="107"/>
              <x v="152"/>
              <x v="158"/>
              <x v="160"/>
              <x v="161"/>
              <x v="162"/>
              <x v="163"/>
              <x v="164"/>
              <x v="165"/>
              <x v="167"/>
              <x v="171"/>
              <x v="172"/>
              <x v="173"/>
              <x v="174"/>
              <x v="175"/>
              <x v="176"/>
              <x v="177"/>
              <x v="178"/>
            </reference>
          </references>
        </pivotArea>
      </pivotAreas>
    </conditionalFormat>
    <conditionalFormat priority="22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1">
              <x v="0"/>
              <x v="1"/>
              <x v="10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6"/>
              <x v="39"/>
              <x v="40"/>
              <x v="42"/>
              <x v="43"/>
              <x v="44"/>
              <x v="48"/>
              <x v="49"/>
              <x v="52"/>
              <x v="55"/>
              <x v="58"/>
              <x v="60"/>
              <x v="61"/>
              <x v="67"/>
              <x v="70"/>
              <x v="72"/>
              <x v="75"/>
              <x v="80"/>
              <x v="82"/>
              <x v="93"/>
              <x v="99"/>
              <x v="107"/>
              <x v="152"/>
              <x v="158"/>
              <x v="160"/>
              <x v="161"/>
              <x v="162"/>
              <x v="163"/>
              <x v="164"/>
              <x v="165"/>
              <x v="167"/>
              <x v="171"/>
              <x v="172"/>
              <x v="173"/>
              <x v="174"/>
              <x v="175"/>
              <x v="176"/>
              <x v="177"/>
              <x v="178"/>
            </reference>
          </references>
        </pivotArea>
      </pivotAreas>
    </conditionalFormat>
    <conditionalFormat priority="1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2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4"/>
              <x v="36"/>
              <x v="39"/>
              <x v="40"/>
              <x v="43"/>
              <x v="44"/>
              <x v="48"/>
              <x v="49"/>
              <x v="52"/>
              <x v="53"/>
              <x v="55"/>
              <x v="60"/>
              <x v="61"/>
              <x v="70"/>
              <x v="73"/>
              <x v="75"/>
              <x v="80"/>
              <x v="81"/>
              <x v="82"/>
              <x v="94"/>
              <x v="99"/>
              <x v="100"/>
              <x v="107"/>
              <x v="109"/>
              <x v="138"/>
              <x v="145"/>
              <x v="159"/>
              <x v="160"/>
              <x v="162"/>
              <x v="163"/>
              <x v="165"/>
              <x v="170"/>
              <x v="171"/>
              <x v="172"/>
              <x v="175"/>
              <x v="177"/>
              <x v="179"/>
              <x v="180"/>
              <x v="181"/>
              <x v="182"/>
              <x v="183"/>
            </reference>
          </references>
        </pivotArea>
      </pivotAreas>
    </conditionalFormat>
    <conditionalFormat priority="1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2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4"/>
              <x v="36"/>
              <x v="39"/>
              <x v="40"/>
              <x v="43"/>
              <x v="44"/>
              <x v="48"/>
              <x v="49"/>
              <x v="52"/>
              <x v="53"/>
              <x v="55"/>
              <x v="60"/>
              <x v="61"/>
              <x v="70"/>
              <x v="73"/>
              <x v="75"/>
              <x v="80"/>
              <x v="81"/>
              <x v="82"/>
              <x v="94"/>
              <x v="99"/>
              <x v="100"/>
              <x v="107"/>
              <x v="109"/>
              <x v="138"/>
              <x v="145"/>
              <x v="159"/>
              <x v="160"/>
              <x v="162"/>
              <x v="163"/>
              <x v="165"/>
              <x v="170"/>
              <x v="171"/>
              <x v="172"/>
              <x v="175"/>
              <x v="177"/>
              <x v="179"/>
              <x v="180"/>
              <x v="181"/>
              <x v="182"/>
              <x v="183"/>
            </reference>
          </references>
        </pivotArea>
      </pivotAreas>
    </conditionalFormat>
    <conditionalFormat priority="16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2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4"/>
              <x v="36"/>
              <x v="39"/>
              <x v="40"/>
              <x v="43"/>
              <x v="44"/>
              <x v="48"/>
              <x v="49"/>
              <x v="52"/>
              <x v="53"/>
              <x v="55"/>
              <x v="60"/>
              <x v="61"/>
              <x v="70"/>
              <x v="73"/>
              <x v="75"/>
              <x v="80"/>
              <x v="81"/>
              <x v="82"/>
              <x v="94"/>
              <x v="99"/>
              <x v="100"/>
              <x v="107"/>
              <x v="109"/>
              <x v="138"/>
              <x v="145"/>
              <x v="159"/>
              <x v="160"/>
              <x v="162"/>
              <x v="163"/>
              <x v="165"/>
              <x v="170"/>
              <x v="171"/>
              <x v="172"/>
              <x v="175"/>
              <x v="177"/>
              <x v="179"/>
              <x v="180"/>
              <x v="181"/>
              <x v="182"/>
              <x v="183"/>
            </reference>
          </references>
        </pivotArea>
      </pivotAreas>
    </conditionalFormat>
    <conditionalFormat priority="1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5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4"/>
              <x v="36"/>
              <x v="39"/>
              <x v="40"/>
              <x v="43"/>
              <x v="44"/>
              <x v="48"/>
              <x v="49"/>
              <x v="52"/>
              <x v="53"/>
              <x v="55"/>
              <x v="60"/>
              <x v="61"/>
              <x v="70"/>
              <x v="73"/>
              <x v="75"/>
              <x v="80"/>
              <x v="81"/>
              <x v="82"/>
              <x v="83"/>
              <x v="94"/>
              <x v="95"/>
              <x v="99"/>
              <x v="100"/>
              <x v="109"/>
              <x v="145"/>
              <x v="159"/>
              <x v="160"/>
              <x v="162"/>
              <x v="163"/>
              <x v="165"/>
              <x v="166"/>
              <x v="169"/>
              <x v="170"/>
              <x v="171"/>
              <x v="172"/>
              <x v="175"/>
              <x v="177"/>
              <x v="179"/>
              <x v="180"/>
              <x v="181"/>
              <x v="182"/>
              <x v="183"/>
              <x v="184"/>
            </reference>
          </references>
        </pivotArea>
      </pivotAreas>
    </conditionalFormat>
    <conditionalFormat priority="11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5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4"/>
              <x v="36"/>
              <x v="39"/>
              <x v="40"/>
              <x v="43"/>
              <x v="44"/>
              <x v="48"/>
              <x v="49"/>
              <x v="52"/>
              <x v="53"/>
              <x v="55"/>
              <x v="60"/>
              <x v="61"/>
              <x v="70"/>
              <x v="73"/>
              <x v="75"/>
              <x v="80"/>
              <x v="81"/>
              <x v="82"/>
              <x v="83"/>
              <x v="94"/>
              <x v="95"/>
              <x v="99"/>
              <x v="100"/>
              <x v="109"/>
              <x v="145"/>
              <x v="159"/>
              <x v="160"/>
              <x v="162"/>
              <x v="163"/>
              <x v="165"/>
              <x v="166"/>
              <x v="169"/>
              <x v="170"/>
              <x v="171"/>
              <x v="172"/>
              <x v="175"/>
              <x v="177"/>
              <x v="179"/>
              <x v="180"/>
              <x v="181"/>
              <x v="182"/>
              <x v="183"/>
              <x v="184"/>
            </reference>
          </references>
        </pivotArea>
      </pivotAreas>
    </conditionalFormat>
    <conditionalFormat priority="10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5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6"/>
              <x v="27"/>
              <x v="28"/>
              <x v="29"/>
              <x v="32"/>
              <x v="33"/>
              <x v="34"/>
              <x v="36"/>
              <x v="39"/>
              <x v="40"/>
              <x v="43"/>
              <x v="44"/>
              <x v="48"/>
              <x v="49"/>
              <x v="52"/>
              <x v="53"/>
              <x v="55"/>
              <x v="60"/>
              <x v="61"/>
              <x v="70"/>
              <x v="73"/>
              <x v="75"/>
              <x v="80"/>
              <x v="81"/>
              <x v="82"/>
              <x v="83"/>
              <x v="94"/>
              <x v="95"/>
              <x v="99"/>
              <x v="100"/>
              <x v="109"/>
              <x v="145"/>
              <x v="159"/>
              <x v="160"/>
              <x v="162"/>
              <x v="163"/>
              <x v="165"/>
              <x v="166"/>
              <x v="169"/>
              <x v="170"/>
              <x v="171"/>
              <x v="172"/>
              <x v="175"/>
              <x v="177"/>
              <x v="179"/>
              <x v="180"/>
              <x v="181"/>
              <x v="182"/>
              <x v="183"/>
              <x v="184"/>
            </reference>
          </references>
        </pivotArea>
      </pivotAreas>
    </conditionalFormat>
    <conditionalFormat priority="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62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7"/>
              <x v="28"/>
              <x v="29"/>
              <x v="32"/>
              <x v="33"/>
              <x v="34"/>
              <x v="36"/>
              <x v="39"/>
              <x v="43"/>
              <x v="44"/>
              <x v="45"/>
              <x v="48"/>
              <x v="49"/>
              <x v="52"/>
              <x v="53"/>
              <x v="60"/>
              <x v="61"/>
              <x v="67"/>
              <x v="70"/>
              <x v="75"/>
              <x v="80"/>
              <x v="81"/>
              <x v="82"/>
              <x v="83"/>
              <x v="94"/>
              <x v="99"/>
              <x v="100"/>
              <x v="109"/>
              <x v="145"/>
              <x v="157"/>
              <x v="159"/>
              <x v="160"/>
              <x v="162"/>
              <x v="163"/>
              <x v="165"/>
              <x v="166"/>
              <x v="169"/>
              <x v="170"/>
              <x v="171"/>
              <x v="172"/>
              <x v="175"/>
              <x v="179"/>
              <x v="180"/>
              <x v="181"/>
              <x v="182"/>
              <x v="183"/>
              <x v="185"/>
            </reference>
          </references>
        </pivotArea>
      </pivotAreas>
    </conditionalFormat>
    <conditionalFormat priority="8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62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7"/>
              <x v="28"/>
              <x v="29"/>
              <x v="32"/>
              <x v="33"/>
              <x v="34"/>
              <x v="36"/>
              <x v="39"/>
              <x v="43"/>
              <x v="44"/>
              <x v="45"/>
              <x v="48"/>
              <x v="49"/>
              <x v="52"/>
              <x v="53"/>
              <x v="60"/>
              <x v="61"/>
              <x v="67"/>
              <x v="70"/>
              <x v="75"/>
              <x v="80"/>
              <x v="81"/>
              <x v="82"/>
              <x v="83"/>
              <x v="94"/>
              <x v="99"/>
              <x v="100"/>
              <x v="109"/>
              <x v="145"/>
              <x v="157"/>
              <x v="159"/>
              <x v="160"/>
              <x v="162"/>
              <x v="163"/>
              <x v="165"/>
              <x v="166"/>
              <x v="169"/>
              <x v="170"/>
              <x v="171"/>
              <x v="172"/>
              <x v="175"/>
              <x v="179"/>
              <x v="180"/>
              <x v="181"/>
              <x v="182"/>
              <x v="183"/>
              <x v="185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62"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4"/>
              <x v="25"/>
              <x v="27"/>
              <x v="28"/>
              <x v="29"/>
              <x v="32"/>
              <x v="33"/>
              <x v="34"/>
              <x v="36"/>
              <x v="39"/>
              <x v="43"/>
              <x v="44"/>
              <x v="45"/>
              <x v="48"/>
              <x v="49"/>
              <x v="52"/>
              <x v="53"/>
              <x v="60"/>
              <x v="61"/>
              <x v="67"/>
              <x v="70"/>
              <x v="75"/>
              <x v="80"/>
              <x v="81"/>
              <x v="82"/>
              <x v="83"/>
              <x v="94"/>
              <x v="99"/>
              <x v="100"/>
              <x v="109"/>
              <x v="145"/>
              <x v="157"/>
              <x v="159"/>
              <x v="160"/>
              <x v="162"/>
              <x v="163"/>
              <x v="165"/>
              <x v="166"/>
              <x v="169"/>
              <x v="170"/>
              <x v="171"/>
              <x v="172"/>
              <x v="175"/>
              <x v="179"/>
              <x v="180"/>
              <x v="181"/>
              <x v="182"/>
              <x v="183"/>
              <x v="185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53">
              <x v="0"/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2"/>
              <x v="26"/>
              <x v="27"/>
              <x v="28"/>
              <x v="29"/>
              <x v="32"/>
              <x v="33"/>
              <x v="34"/>
              <x v="36"/>
              <x v="43"/>
              <x v="44"/>
              <x v="45"/>
              <x v="48"/>
              <x v="49"/>
              <x v="52"/>
              <x v="53"/>
              <x v="60"/>
              <x v="61"/>
              <x v="72"/>
              <x v="73"/>
              <x v="81"/>
              <x v="83"/>
              <x v="84"/>
              <x v="94"/>
              <x v="99"/>
              <x v="100"/>
              <x v="106"/>
              <x v="145"/>
              <x v="157"/>
              <x v="159"/>
              <x v="160"/>
              <x v="161"/>
              <x v="162"/>
              <x v="163"/>
              <x v="165"/>
              <x v="167"/>
              <x v="169"/>
              <x v="172"/>
              <x v="175"/>
              <x v="179"/>
              <x v="186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53">
              <x v="0"/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2"/>
              <x v="26"/>
              <x v="27"/>
              <x v="28"/>
              <x v="29"/>
              <x v="32"/>
              <x v="33"/>
              <x v="34"/>
              <x v="36"/>
              <x v="43"/>
              <x v="44"/>
              <x v="45"/>
              <x v="48"/>
              <x v="49"/>
              <x v="52"/>
              <x v="53"/>
              <x v="60"/>
              <x v="61"/>
              <x v="72"/>
              <x v="73"/>
              <x v="81"/>
              <x v="83"/>
              <x v="84"/>
              <x v="94"/>
              <x v="99"/>
              <x v="100"/>
              <x v="106"/>
              <x v="145"/>
              <x v="157"/>
              <x v="159"/>
              <x v="160"/>
              <x v="161"/>
              <x v="162"/>
              <x v="163"/>
              <x v="165"/>
              <x v="167"/>
              <x v="169"/>
              <x v="172"/>
              <x v="175"/>
              <x v="179"/>
              <x v="186"/>
            </reference>
          </references>
        </pivotArea>
      </pivotAreas>
    </conditionalFormat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3">
              <x v="0"/>
              <x v="1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2"/>
              <x v="26"/>
              <x v="27"/>
              <x v="28"/>
              <x v="29"/>
              <x v="32"/>
              <x v="33"/>
              <x v="34"/>
              <x v="36"/>
              <x v="43"/>
              <x v="44"/>
              <x v="45"/>
              <x v="48"/>
              <x v="49"/>
              <x v="52"/>
              <x v="53"/>
              <x v="60"/>
              <x v="61"/>
              <x v="72"/>
              <x v="73"/>
              <x v="81"/>
              <x v="83"/>
              <x v="84"/>
              <x v="94"/>
              <x v="99"/>
              <x v="100"/>
              <x v="106"/>
              <x v="145"/>
              <x v="157"/>
              <x v="159"/>
              <x v="160"/>
              <x v="161"/>
              <x v="162"/>
              <x v="163"/>
              <x v="165"/>
              <x v="167"/>
              <x v="169"/>
              <x v="172"/>
              <x v="175"/>
              <x v="179"/>
              <x v="186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2" cacheId="2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Sydle - Seed">
  <location ref="E2:H4" firstHeaderRow="0" firstDataRow="1" firstDataCol="1"/>
  <pivotFields count="9">
    <pivotField axis="axisRow" dataField="1" showAll="0" sortType="descending">
      <items count="15">
        <item m="1" x="2"/>
        <item m="1" x="12"/>
        <item m="1" x="13"/>
        <item m="1" x="11"/>
        <item m="1" x="10"/>
        <item m="1" x="1"/>
        <item m="1" x="5"/>
        <item m="1" x="8"/>
        <item m="1" x="4"/>
        <item x="0"/>
        <item m="1" x="7"/>
        <item m="1" x="3"/>
        <item m="1" x="9"/>
        <item m="1" x="6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numFmtId="14" showAll="0"/>
    <pivotField showAll="0"/>
    <pivotField numFmtId="14" showAll="0"/>
    <pivotField showAll="0"/>
    <pivotField dataField="1" numFmtId="14" showAll="0"/>
    <pivotField dataField="1" numFmtId="14" showAll="0"/>
  </pivotFields>
  <rowFields count="1">
    <field x="0"/>
  </rowFields>
  <rowItems count="2"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ntagem de Atividade" fld="0" subtotal="count" baseField="0" baseItem="0"/>
    <dataField name="Máx de Aging" fld="7" subtotal="max" baseField="0" baseItem="9" numFmtId="1"/>
    <dataField name="Máx de Aging Mod" fld="8" subtotal="max" baseField="0" baseItem="9" numFmtId="1"/>
  </dataFields>
  <formats count="6">
    <format dxfId="42">
      <pivotArea type="all" dataOnly="0" outline="0" fieldPosition="0"/>
    </format>
    <format dxfId="41">
      <pivotArea outline="0" collapsedLevelsAreSubtotals="1" fieldPosition="0"/>
    </format>
    <format dxfId="40">
      <pivotArea field="0" type="button" dataOnly="0" labelOnly="1" outline="0" axis="axisRow" fieldPosition="0"/>
    </format>
    <format dxfId="39">
      <pivotArea dataOnly="0" labelOnly="1" fieldPosition="0">
        <references count="1">
          <reference field="0" count="0"/>
        </references>
      </pivotArea>
    </format>
    <format dxfId="38">
      <pivotArea dataOnly="0" labelOnly="1" grandRow="1" outline="0" fieldPosition="0"/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18">
    <conditionalFormat priority="28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8">
              <x v="0"/>
              <x v="1"/>
              <x v="2"/>
              <x v="3"/>
              <x v="4"/>
              <x v="5"/>
              <x v="6"/>
              <x v="7"/>
            </reference>
          </references>
        </pivotArea>
      </pivotAreas>
    </conditionalFormat>
    <conditionalFormat priority="286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8">
              <x v="0"/>
              <x v="1"/>
              <x v="2"/>
              <x v="3"/>
              <x v="4"/>
              <x v="5"/>
              <x v="6"/>
              <x v="7"/>
            </reference>
          </references>
        </pivotArea>
      </pivotAreas>
    </conditionalFormat>
    <conditionalFormat priority="28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8">
              <x v="0"/>
              <x v="1"/>
              <x v="2"/>
              <x v="3"/>
              <x v="4"/>
              <x v="5"/>
              <x v="6"/>
              <x v="7"/>
            </reference>
          </references>
        </pivotArea>
      </pivotAreas>
    </conditionalFormat>
    <conditionalFormat priority="27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7">
              <x v="0"/>
              <x v="2"/>
              <x v="3"/>
              <x v="4"/>
              <x v="5"/>
              <x v="7"/>
              <x v="8"/>
            </reference>
          </references>
        </pivotArea>
      </pivotAreas>
    </conditionalFormat>
    <conditionalFormat priority="27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7">
              <x v="0"/>
              <x v="2"/>
              <x v="3"/>
              <x v="4"/>
              <x v="5"/>
              <x v="7"/>
              <x v="8"/>
            </reference>
          </references>
        </pivotArea>
      </pivotAreas>
    </conditionalFormat>
    <conditionalFormat priority="275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7">
              <x v="0"/>
              <x v="2"/>
              <x v="3"/>
              <x v="4"/>
              <x v="5"/>
              <x v="7"/>
              <x v="8"/>
            </reference>
          </references>
        </pivotArea>
      </pivotAreas>
    </conditionalFormat>
    <conditionalFormat priority="25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7">
              <x v="1"/>
              <x v="2"/>
              <x v="3"/>
              <x v="4"/>
              <x v="5"/>
              <x v="8"/>
              <x v="10"/>
            </reference>
          </references>
        </pivotArea>
      </pivotAreas>
    </conditionalFormat>
    <conditionalFormat priority="252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7">
              <x v="1"/>
              <x v="2"/>
              <x v="3"/>
              <x v="4"/>
              <x v="5"/>
              <x v="8"/>
              <x v="10"/>
            </reference>
          </references>
        </pivotArea>
      </pivotAreas>
    </conditionalFormat>
    <conditionalFormat priority="251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7">
              <x v="1"/>
              <x v="2"/>
              <x v="3"/>
              <x v="4"/>
              <x v="5"/>
              <x v="8"/>
              <x v="10"/>
            </reference>
          </references>
        </pivotArea>
      </pivotAreas>
    </conditionalFormat>
    <conditionalFormat priority="250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9">
              <x v="1"/>
              <x v="2"/>
              <x v="3"/>
              <x v="4"/>
              <x v="5"/>
              <x v="6"/>
              <x v="8"/>
              <x v="10"/>
              <x v="11"/>
            </reference>
          </references>
        </pivotArea>
      </pivotAreas>
    </conditionalFormat>
    <conditionalFormat priority="249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9">
              <x v="1"/>
              <x v="2"/>
              <x v="3"/>
              <x v="4"/>
              <x v="5"/>
              <x v="6"/>
              <x v="8"/>
              <x v="10"/>
              <x v="11"/>
            </reference>
          </references>
        </pivotArea>
      </pivotAreas>
    </conditionalFormat>
    <conditionalFormat priority="248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9">
              <x v="1"/>
              <x v="2"/>
              <x v="3"/>
              <x v="4"/>
              <x v="5"/>
              <x v="6"/>
              <x v="8"/>
              <x v="10"/>
              <x v="11"/>
            </reference>
          </references>
        </pivotArea>
      </pivotAreas>
    </conditionalFormat>
    <conditionalFormat priority="22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7">
              <x v="1"/>
              <x v="2"/>
              <x v="3"/>
              <x v="4"/>
              <x v="7"/>
              <x v="8"/>
              <x v="12"/>
            </reference>
          </references>
        </pivotArea>
      </pivotAreas>
    </conditionalFormat>
    <conditionalFormat priority="225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7">
              <x v="1"/>
              <x v="2"/>
              <x v="3"/>
              <x v="4"/>
              <x v="7"/>
              <x v="8"/>
              <x v="12"/>
            </reference>
          </references>
        </pivotArea>
      </pivotAreas>
    </conditionalFormat>
    <conditionalFormat priority="224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7">
              <x v="1"/>
              <x v="2"/>
              <x v="3"/>
              <x v="4"/>
              <x v="7"/>
              <x v="8"/>
              <x v="12"/>
            </reference>
          </references>
        </pivotArea>
      </pivotAreas>
    </conditionalFormat>
    <conditionalFormat priority="136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4">
              <x v="0"/>
              <x v="3"/>
              <x v="6"/>
              <x v="11"/>
            </reference>
          </references>
        </pivotArea>
      </pivotAreas>
    </conditionalFormat>
    <conditionalFormat priority="135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4">
              <x v="0"/>
              <x v="3"/>
              <x v="6"/>
              <x v="11"/>
            </reference>
          </references>
        </pivotArea>
      </pivotAreas>
    </conditionalFormat>
    <conditionalFormat priority="13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4">
              <x v="0"/>
              <x v="3"/>
              <x v="6"/>
              <x v="1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1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SAE">
  <location ref="A2:C4" firstHeaderRow="0" firstDataRow="1" firstDataCol="1"/>
  <pivotFields count="1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descending">
      <items count="9">
        <item m="1" x="5"/>
        <item m="1" x="2"/>
        <item m="1" x="3"/>
        <item m="1" x="6"/>
        <item m="1" x="1"/>
        <item m="1" x="7"/>
        <item x="0"/>
        <item m="1" x="4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umFmtId="22" showAll="0"/>
    <pivotField showAll="0"/>
    <pivotField numFmtId="22" showAll="0"/>
    <pivotField showAll="0"/>
    <pivotField showAll="0"/>
    <pivotField dataField="1" numFmtId="22" showAll="0"/>
  </pivotFields>
  <rowFields count="1">
    <field x="10"/>
  </rowFields>
  <rowItems count="2"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ntagem de Assunto" fld="10" subtotal="count" baseField="0" baseItem="0"/>
    <dataField name="Máx de Aging" fld="17" subtotal="max" baseField="10" baseItem="0" numFmtId="1"/>
  </dataFields>
  <formats count="6">
    <format dxfId="48">
      <pivotArea type="all" dataOnly="0" outline="0" fieldPosition="0"/>
    </format>
    <format dxfId="47">
      <pivotArea outline="0" collapsedLevelsAreSubtotals="1" fieldPosition="0"/>
    </format>
    <format dxfId="46">
      <pivotArea field="10" type="button" dataOnly="0" labelOnly="1" outline="0" axis="axisRow" fieldPosition="0"/>
    </format>
    <format dxfId="45">
      <pivotArea dataOnly="0" labelOnly="1" fieldPosition="0">
        <references count="1">
          <reference field="10" count="0"/>
        </references>
      </pivotArea>
    </format>
    <format dxfId="44">
      <pivotArea dataOnly="0" labelOnly="1" grandRow="1" outline="0" fieldPosition="0"/>
    </format>
    <format dxfId="4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onditionalFormats count="4">
    <conditionalFormat priority="289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0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  <conditionalFormat priority="28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0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  <conditionalFormat priority="220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0" count="6">
              <x v="0"/>
              <x v="2"/>
              <x v="3"/>
              <x v="4"/>
              <x v="5"/>
              <x v="7"/>
            </reference>
          </references>
        </pivotArea>
      </pivotAreas>
    </conditionalFormat>
    <conditionalFormat priority="219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0" count="6">
              <x v="0"/>
              <x v="2"/>
              <x v="3"/>
              <x v="4"/>
              <x v="5"/>
              <x v="7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ela1" displayName="Tabela1" ref="A1:R2" insertRow="1" totalsRowShown="0" headerRowDxfId="97" dataDxfId="96" tableBorderDxfId="95">
  <autoFilter ref="A1:R2"/>
  <tableColumns count="18">
    <tableColumn id="1" name="Solicitação" dataDxfId="18"/>
    <tableColumn id="2" name="Polo" dataDxfId="17"/>
    <tableColumn id="3" name="Aluno" dataDxfId="16"/>
    <tableColumn id="4" name="Curso" dataDxfId="15"/>
    <tableColumn id="5" name="CPF" dataDxfId="14"/>
    <tableColumn id="6" name="Nome" dataDxfId="13"/>
    <tableColumn id="7" name="Qtde Sae" dataDxfId="12"/>
    <tableColumn id="8" name="Email" dataDxfId="11"/>
    <tableColumn id="9" name="Fila" dataDxfId="10"/>
    <tableColumn id="10" name="Área" dataDxfId="9"/>
    <tableColumn id="11" name="Assunto" dataDxfId="8"/>
    <tableColumn id="12" name="Status" dataDxfId="7"/>
    <tableColumn id="13" name="Data Solicitação" dataDxfId="6"/>
    <tableColumn id="14" name="Atualização" dataDxfId="5"/>
    <tableColumn id="15" name="Previsão" dataDxfId="4"/>
    <tableColumn id="16" name="Data do Atendimento" dataDxfId="3"/>
    <tableColumn id="17" name="Atendente" dataDxfId="2"/>
    <tableColumn id="18" name="Aging" dataDxfId="94">
      <calculatedColumnFormula>NOW()-M2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1:I2" insertRow="1" totalsRowShown="0" headerRowDxfId="93" headerRowBorderDxfId="92" tableBorderDxfId="91" totalsRowBorderDxfId="90">
  <autoFilter ref="A1:I2"/>
  <tableColumns count="9">
    <tableColumn id="1" name="Atividade" dataDxfId="89"/>
    <tableColumn id="2" name="seed" dataDxfId="88"/>
    <tableColumn id="3" name="polo" dataDxfId="87"/>
    <tableColumn id="4" name="Data de criação" dataDxfId="1"/>
    <tableColumn id="5" name="Usuário executor" dataDxfId="86"/>
    <tableColumn id="6" name="Data de última atualização" dataDxfId="0"/>
    <tableColumn id="7" name="Quantidade de Seeds" dataDxfId="85"/>
    <tableColumn id="8" name="Aging" dataDxfId="84">
      <calculatedColumnFormula>NOW()-D2</calculatedColumnFormula>
    </tableColumn>
    <tableColumn id="9" name="Aging Mod" dataDxfId="83">
      <calculatedColumnFormula>NOW()-F2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A1:N2" insertRow="1" totalsRowShown="0" headerRowDxfId="82" dataDxfId="80" headerRowBorderDxfId="81" tableBorderDxfId="79" totalsRowBorderDxfId="78">
  <autoFilter ref="A1:N2"/>
  <tableColumns count="14">
    <tableColumn id="1" name="ID" dataDxfId="77"/>
    <tableColumn id="2" name="Título" dataDxfId="76"/>
    <tableColumn id="3" name="Status" dataDxfId="75"/>
    <tableColumn id="4" name="Data de abertura" dataDxfId="22"/>
    <tableColumn id="5" name="Requerente - Requerente" dataDxfId="74"/>
    <tableColumn id="6" name="Requerente - Grupo requerente" dataDxfId="73"/>
    <tableColumn id="7" name="Atribuído para - Técnico" dataDxfId="72"/>
    <tableColumn id="8" name="Atribuído para - Grupo técnico" dataDxfId="71"/>
    <tableColumn id="9" name="Última atualização" dataDxfId="21"/>
    <tableColumn id="10" name="Tipo" dataDxfId="70"/>
    <tableColumn id="11" name="Aprovação - Aprovação" dataDxfId="69"/>
    <tableColumn id="12" name="Prioridade" dataDxfId="68"/>
    <tableColumn id="13" name="Aging" dataDxfId="67">
      <calculatedColumnFormula>NOW()-D2</calculatedColumnFormula>
    </tableColumn>
    <tableColumn id="14" name="Aging Mod" dataDxfId="66">
      <calculatedColumnFormula>NOW()-I2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Tabela4" displayName="Tabela4" ref="A1:N2" insertRow="1" totalsRowShown="0" headerRowDxfId="65" dataDxfId="63" headerRowBorderDxfId="64" tableBorderDxfId="62" totalsRowBorderDxfId="61">
  <autoFilter ref="A1:N2"/>
  <tableColumns count="14">
    <tableColumn id="1" name="ID" dataDxfId="60"/>
    <tableColumn id="2" name="Título" dataDxfId="59"/>
    <tableColumn id="3" name="Status" dataDxfId="58"/>
    <tableColumn id="4" name="Data de abertura" dataDxfId="20"/>
    <tableColumn id="5" name="Requerente - Requerente" dataDxfId="57"/>
    <tableColumn id="6" name="Requerente - Grupo requerente" dataDxfId="56"/>
    <tableColumn id="7" name="Atribuído para - Técnico" dataDxfId="55"/>
    <tableColumn id="8" name="Atribuído para - Grupo técnico" dataDxfId="54"/>
    <tableColumn id="9" name="Última atualização" dataDxfId="19"/>
    <tableColumn id="10" name="Tipo" dataDxfId="53"/>
    <tableColumn id="11" name="Aprovação - Aprovação" dataDxfId="52"/>
    <tableColumn id="12" name="Prioridade" dataDxfId="51"/>
    <tableColumn id="13" name="Aging" dataDxfId="50">
      <calculatedColumnFormula>NOW()-Tabela4[[#This Row],[Data de abertura]]</calculatedColumnFormula>
    </tableColumn>
    <tableColumn id="14" name="Aging Mod" dataDxfId="49">
      <calculatedColumnFormula>NOW()-I2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"/>
  <sheetViews>
    <sheetView showGridLines="0" zoomScale="85" zoomScaleNormal="85" workbookViewId="0">
      <selection activeCell="A2" sqref="A2"/>
    </sheetView>
  </sheetViews>
  <sheetFormatPr defaultRowHeight="15" x14ac:dyDescent="0.25"/>
  <cols>
    <col min="1" max="1" width="11.140625" customWidth="1"/>
    <col min="7" max="7" width="10.28515625" customWidth="1"/>
    <col min="11" max="11" width="9.42578125" customWidth="1"/>
    <col min="13" max="13" width="15.140625" customWidth="1"/>
    <col min="14" max="14" width="11.85546875" customWidth="1"/>
    <col min="15" max="15" width="9.7109375" customWidth="1"/>
    <col min="16" max="16" width="20.140625" customWidth="1"/>
    <col min="17" max="17" width="11.7109375" customWidth="1"/>
    <col min="18" max="18" width="15.85546875" bestFit="1" customWidth="1"/>
  </cols>
  <sheetData>
    <row r="1" spans="1:18" x14ac:dyDescent="0.25">
      <c r="A1" s="5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2" t="s">
        <v>16</v>
      </c>
      <c r="R1" s="3" t="s">
        <v>17</v>
      </c>
    </row>
    <row r="2" spans="1:18" x14ac:dyDescent="0.25">
      <c r="A2" s="18"/>
      <c r="B2" s="18"/>
      <c r="C2" s="18"/>
      <c r="D2" s="18"/>
      <c r="E2" s="19"/>
      <c r="F2" s="19"/>
      <c r="G2" s="19"/>
      <c r="H2" s="19"/>
      <c r="I2" s="19"/>
      <c r="J2" s="19"/>
      <c r="K2" s="19"/>
      <c r="L2" s="19"/>
      <c r="M2" s="20"/>
      <c r="N2" s="19"/>
      <c r="O2" s="20"/>
      <c r="P2" s="19"/>
      <c r="Q2" s="19"/>
      <c r="R2" s="21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"/>
  <sheetViews>
    <sheetView showGridLines="0" zoomScale="70" zoomScaleNormal="70" workbookViewId="0">
      <selection activeCell="A2" sqref="A2"/>
    </sheetView>
  </sheetViews>
  <sheetFormatPr defaultRowHeight="15" x14ac:dyDescent="0.25"/>
  <cols>
    <col min="1" max="1" width="11.7109375" customWidth="1"/>
    <col min="4" max="4" width="16.42578125" customWidth="1"/>
    <col min="5" max="5" width="18.140625" customWidth="1"/>
    <col min="6" max="6" width="26.28515625" customWidth="1"/>
    <col min="7" max="7" width="22" customWidth="1"/>
    <col min="8" max="8" width="12" bestFit="1" customWidth="1"/>
    <col min="9" max="9" width="12.5703125" customWidth="1"/>
  </cols>
  <sheetData>
    <row r="1" spans="1:9" x14ac:dyDescent="0.25">
      <c r="A1" s="11" t="s">
        <v>18</v>
      </c>
      <c r="B1" s="12" t="s">
        <v>19</v>
      </c>
      <c r="C1" s="12" t="s">
        <v>20</v>
      </c>
      <c r="D1" s="12" t="s">
        <v>21</v>
      </c>
      <c r="E1" s="12" t="s">
        <v>22</v>
      </c>
      <c r="F1" s="12" t="s">
        <v>23</v>
      </c>
      <c r="G1" s="12" t="s">
        <v>24</v>
      </c>
      <c r="H1" s="12" t="s">
        <v>17</v>
      </c>
      <c r="I1" s="13" t="s">
        <v>25</v>
      </c>
    </row>
    <row r="2" spans="1:9" x14ac:dyDescent="0.25">
      <c r="D2" s="17"/>
      <c r="F2" s="17"/>
      <c r="H2" s="22"/>
      <c r="I2" s="23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showGridLines="0" zoomScale="70" zoomScaleNormal="70" workbookViewId="0">
      <selection activeCell="A2" sqref="A2"/>
    </sheetView>
  </sheetViews>
  <sheetFormatPr defaultRowHeight="15" x14ac:dyDescent="0.25"/>
  <cols>
    <col min="4" max="4" width="17.85546875" customWidth="1"/>
    <col min="5" max="5" width="25.85546875" customWidth="1"/>
    <col min="6" max="6" width="31.28515625" customWidth="1"/>
    <col min="7" max="7" width="24" customWidth="1"/>
    <col min="8" max="8" width="29.5703125" customWidth="1"/>
    <col min="9" max="9" width="19.28515625" customWidth="1"/>
    <col min="11" max="11" width="23.28515625" customWidth="1"/>
    <col min="12" max="12" width="12.42578125" customWidth="1"/>
    <col min="13" max="14" width="17.7109375" bestFit="1" customWidth="1"/>
  </cols>
  <sheetData>
    <row r="1" spans="1:14" x14ac:dyDescent="0.25">
      <c r="A1" s="14" t="s">
        <v>26</v>
      </c>
      <c r="B1" s="15" t="s">
        <v>27</v>
      </c>
      <c r="C1" s="15" t="s">
        <v>11</v>
      </c>
      <c r="D1" s="15" t="s">
        <v>28</v>
      </c>
      <c r="E1" s="15" t="s">
        <v>29</v>
      </c>
      <c r="F1" s="15" t="s">
        <v>30</v>
      </c>
      <c r="G1" s="15" t="s">
        <v>31</v>
      </c>
      <c r="H1" s="15" t="s">
        <v>32</v>
      </c>
      <c r="I1" s="15" t="s">
        <v>33</v>
      </c>
      <c r="J1" s="15" t="s">
        <v>34</v>
      </c>
      <c r="K1" s="15" t="s">
        <v>35</v>
      </c>
      <c r="L1" s="15" t="s">
        <v>36</v>
      </c>
      <c r="M1" s="15" t="s">
        <v>17</v>
      </c>
      <c r="N1" s="16" t="s">
        <v>25</v>
      </c>
    </row>
    <row r="2" spans="1:14" x14ac:dyDescent="0.25">
      <c r="D2" s="4"/>
      <c r="I2" s="4"/>
      <c r="M2" s="24"/>
      <c r="N2" s="25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showGridLines="0" zoomScale="70" zoomScaleNormal="70" workbookViewId="0">
      <selection activeCell="A2" sqref="A2"/>
    </sheetView>
  </sheetViews>
  <sheetFormatPr defaultRowHeight="15" x14ac:dyDescent="0.25"/>
  <cols>
    <col min="4" max="4" width="17.85546875" customWidth="1"/>
    <col min="5" max="5" width="25.85546875" customWidth="1"/>
    <col min="6" max="6" width="31.28515625" customWidth="1"/>
    <col min="7" max="7" width="24" customWidth="1"/>
    <col min="8" max="8" width="29.5703125" customWidth="1"/>
    <col min="9" max="9" width="19.28515625" customWidth="1"/>
    <col min="11" max="11" width="23.28515625" customWidth="1"/>
    <col min="12" max="12" width="12.42578125" customWidth="1"/>
    <col min="13" max="14" width="15.85546875" bestFit="1" customWidth="1"/>
  </cols>
  <sheetData>
    <row r="1" spans="1:14" x14ac:dyDescent="0.25">
      <c r="A1" s="14" t="s">
        <v>26</v>
      </c>
      <c r="B1" s="15" t="s">
        <v>27</v>
      </c>
      <c r="C1" s="15" t="s">
        <v>11</v>
      </c>
      <c r="D1" s="15" t="s">
        <v>28</v>
      </c>
      <c r="E1" s="15" t="s">
        <v>29</v>
      </c>
      <c r="F1" s="15" t="s">
        <v>30</v>
      </c>
      <c r="G1" s="15" t="s">
        <v>31</v>
      </c>
      <c r="H1" s="15" t="s">
        <v>32</v>
      </c>
      <c r="I1" s="15" t="s">
        <v>33</v>
      </c>
      <c r="J1" s="15" t="s">
        <v>34</v>
      </c>
      <c r="K1" s="15" t="s">
        <v>35</v>
      </c>
      <c r="L1" s="15" t="s">
        <v>36</v>
      </c>
      <c r="M1" s="15" t="s">
        <v>17</v>
      </c>
      <c r="N1" s="16" t="s">
        <v>25</v>
      </c>
    </row>
    <row r="2" spans="1:14" x14ac:dyDescent="0.25">
      <c r="D2" s="4"/>
      <c r="I2" s="4"/>
      <c r="M2" s="26"/>
      <c r="N2" s="25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S4"/>
  <sheetViews>
    <sheetView showGridLines="0" tabSelected="1" topLeftCell="C1" zoomScale="55" zoomScaleNormal="55" workbookViewId="0">
      <selection activeCell="F49" sqref="F49"/>
    </sheetView>
  </sheetViews>
  <sheetFormatPr defaultRowHeight="15" x14ac:dyDescent="0.25"/>
  <cols>
    <col min="1" max="1" width="15.42578125" customWidth="1"/>
    <col min="2" max="2" width="28.7109375" customWidth="1"/>
    <col min="3" max="3" width="18.5703125" customWidth="1"/>
    <col min="4" max="4" width="1.7109375" customWidth="1"/>
    <col min="5" max="5" width="21.140625" customWidth="1"/>
    <col min="6" max="6" width="30.5703125" customWidth="1"/>
    <col min="7" max="7" width="18.5703125" customWidth="1"/>
    <col min="8" max="8" width="25.140625" customWidth="1"/>
    <col min="9" max="10" width="1.7109375" customWidth="1"/>
    <col min="11" max="11" width="34.7109375" customWidth="1"/>
    <col min="12" max="12" width="25.85546875" customWidth="1"/>
    <col min="13" max="13" width="18.5703125" customWidth="1"/>
    <col min="14" max="14" width="25.140625" customWidth="1"/>
    <col min="15" max="15" width="1.7109375" customWidth="1"/>
    <col min="16" max="16" width="31.5703125" customWidth="1"/>
    <col min="17" max="17" width="25.85546875" customWidth="1"/>
    <col min="18" max="18" width="18.5703125" customWidth="1"/>
    <col min="19" max="19" width="25.140625" customWidth="1"/>
  </cols>
  <sheetData>
    <row r="2" spans="1:19" x14ac:dyDescent="0.25">
      <c r="A2" s="6" t="s">
        <v>40</v>
      </c>
      <c r="B2" s="7" t="s">
        <v>38</v>
      </c>
      <c r="C2" s="7" t="s">
        <v>39</v>
      </c>
      <c r="E2" s="6" t="s">
        <v>43</v>
      </c>
      <c r="F2" s="7" t="s">
        <v>41</v>
      </c>
      <c r="G2" s="7" t="s">
        <v>39</v>
      </c>
      <c r="H2" s="7" t="s">
        <v>42</v>
      </c>
      <c r="K2" s="6" t="s">
        <v>45</v>
      </c>
      <c r="L2" s="7" t="s">
        <v>44</v>
      </c>
      <c r="M2" s="7" t="s">
        <v>39</v>
      </c>
      <c r="N2" s="7" t="s">
        <v>42</v>
      </c>
      <c r="P2" s="6" t="s">
        <v>46</v>
      </c>
      <c r="Q2" s="7" t="s">
        <v>44</v>
      </c>
      <c r="R2" s="7" t="s">
        <v>39</v>
      </c>
      <c r="S2" s="7" t="s">
        <v>42</v>
      </c>
    </row>
    <row r="3" spans="1:19" x14ac:dyDescent="0.25">
      <c r="A3" s="8" t="s">
        <v>47</v>
      </c>
      <c r="B3" s="9"/>
      <c r="C3" s="10"/>
      <c r="E3" s="8" t="s">
        <v>47</v>
      </c>
      <c r="F3" s="9"/>
      <c r="G3" s="10"/>
      <c r="H3" s="10"/>
      <c r="K3" s="8" t="s">
        <v>47</v>
      </c>
      <c r="L3" s="9"/>
      <c r="M3" s="10"/>
      <c r="N3" s="10"/>
      <c r="P3" s="8" t="s">
        <v>47</v>
      </c>
      <c r="Q3" s="9"/>
      <c r="R3" s="10"/>
      <c r="S3" s="10"/>
    </row>
    <row r="4" spans="1:19" x14ac:dyDescent="0.25">
      <c r="A4" s="8" t="s">
        <v>37</v>
      </c>
      <c r="B4" s="9"/>
      <c r="C4" s="10"/>
      <c r="E4" s="8" t="s">
        <v>37</v>
      </c>
      <c r="F4" s="9"/>
      <c r="G4" s="10"/>
      <c r="H4" s="10"/>
      <c r="K4" s="8" t="s">
        <v>37</v>
      </c>
      <c r="L4" s="9"/>
      <c r="M4" s="10"/>
      <c r="N4" s="10"/>
      <c r="P4" s="8" t="s">
        <v>37</v>
      </c>
      <c r="Q4" s="9"/>
      <c r="R4" s="10"/>
      <c r="S4" s="10"/>
    </row>
  </sheetData>
  <conditionalFormatting pivot="1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SAE</vt:lpstr>
      <vt:lpstr>Sydle-Seed</vt:lpstr>
      <vt:lpstr>GLPI-CSTI</vt:lpstr>
      <vt:lpstr>GLPI-M.I</vt:lpstr>
      <vt:lpstr>Backlog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Vitor Fernandes</dc:creator>
  <cp:lastModifiedBy>Vitor Fernandes</cp:lastModifiedBy>
  <dcterms:created xsi:type="dcterms:W3CDTF">2022-05-17T10:34:49Z</dcterms:created>
  <dcterms:modified xsi:type="dcterms:W3CDTF">2022-11-19T13:06:38Z</dcterms:modified>
</cp:coreProperties>
</file>