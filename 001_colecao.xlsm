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vitor.fernandes\Downloads\"/>
    </mc:Choice>
  </mc:AlternateContent>
  <xr:revisionPtr revIDLastSave="0" documentId="13_ncr:1_{C72FBDB5-BF78-47F8-B53D-CF527902774A}" xr6:coauthVersionLast="47" xr6:coauthVersionMax="47" xr10:uidLastSave="{00000000-0000-0000-0000-000000000000}"/>
  <bookViews>
    <workbookView xWindow="-120" yWindow="-120" windowWidth="29040" windowHeight="15840" activeTab="2" xr2:uid="{FEB2B0FF-393D-49C1-A069-BC3B5D081C3B}"/>
  </bookViews>
  <sheets>
    <sheet name="T. MÊS" sheetId="5" r:id="rId1"/>
    <sheet name="T. COLEÇÃO" sheetId="6" r:id="rId2"/>
    <sheet name="DADOS" sheetId="7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7" l="1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</calcChain>
</file>

<file path=xl/sharedStrings.xml><?xml version="1.0" encoding="utf-8"?>
<sst xmlns="http://schemas.openxmlformats.org/spreadsheetml/2006/main" count="567" uniqueCount="167">
  <si>
    <t>NOME / VOLUME</t>
  </si>
  <si>
    <t>COLEÇÃO</t>
  </si>
  <si>
    <t>TIPO</t>
  </si>
  <si>
    <t>MÊS / ANO</t>
  </si>
  <si>
    <t>V. COMPRA</t>
  </si>
  <si>
    <t>V. VENDA</t>
  </si>
  <si>
    <t>GROOT GOLD</t>
  </si>
  <si>
    <t>GUARDIANS OF THE GALAXY VOL.2</t>
  </si>
  <si>
    <t>ARMORED BATMAN (UNMASKED)</t>
  </si>
  <si>
    <t>BATMAN THE DARK KNIGHT RETURNS</t>
  </si>
  <si>
    <t>CABLE</t>
  </si>
  <si>
    <t>X-MAN</t>
  </si>
  <si>
    <t>JON SNOW</t>
  </si>
  <si>
    <t>GAME OF TRONES</t>
  </si>
  <si>
    <t>DROGON</t>
  </si>
  <si>
    <t>NIGNT KING</t>
  </si>
  <si>
    <t>DAENERYS TARGARYEN</t>
  </si>
  <si>
    <t>PREDATOR</t>
  </si>
  <si>
    <t>NEBULA</t>
  </si>
  <si>
    <t>AVENGERS</t>
  </si>
  <si>
    <t>THE PROFESSOR</t>
  </si>
  <si>
    <t>LA CASA DE PALEL</t>
  </si>
  <si>
    <t>DENVER</t>
  </si>
  <si>
    <t>CORRUPTER VENUM</t>
  </si>
  <si>
    <t>VENUM</t>
  </si>
  <si>
    <t>DEADPOOL / VENOM</t>
  </si>
  <si>
    <t>MARVEL</t>
  </si>
  <si>
    <t>HOWARD WOLOWITZ AS BATMAN</t>
  </si>
  <si>
    <t>BIG BANG THEORY</t>
  </si>
  <si>
    <t>INFARMOUS IRON MEN</t>
  </si>
  <si>
    <t>CARNAGE (CARLA UNGER)</t>
  </si>
  <si>
    <t>WILE E. COYOTE AS CYBORG</t>
  </si>
  <si>
    <t>DC LOONEY TUNES</t>
  </si>
  <si>
    <t>SABRETOOTH</t>
  </si>
  <si>
    <t>WAR MACHINE</t>
  </si>
  <si>
    <t>ANT-MAN</t>
  </si>
  <si>
    <t>GOKU (WORLD TOURNAMENT)</t>
  </si>
  <si>
    <t>DRAGONBALL Z</t>
  </si>
  <si>
    <t>WOODY WOODPECKER</t>
  </si>
  <si>
    <t>DRAGON SHIRYU</t>
  </si>
  <si>
    <t>SANT SEIYA</t>
  </si>
  <si>
    <t>CYGNUS HYOGA</t>
  </si>
  <si>
    <t>COLOSSUS</t>
  </si>
  <si>
    <t>ANDROMEDA SHUN</t>
  </si>
  <si>
    <t>EL CHAPULIN COLORADO</t>
  </si>
  <si>
    <t>CHAVO</t>
  </si>
  <si>
    <t>EL CHAVO</t>
  </si>
  <si>
    <t>PHOENIX IKKI</t>
  </si>
  <si>
    <t>GANDALF</t>
  </si>
  <si>
    <t>LORD OF THE RINGS</t>
  </si>
  <si>
    <t>FRODO BAGGINS</t>
  </si>
  <si>
    <t>TINKER BELL</t>
  </si>
  <si>
    <t>DISNEP</t>
  </si>
  <si>
    <t>SORCERES MICKEY</t>
  </si>
  <si>
    <t>MR BEAN PAJAMAS</t>
  </si>
  <si>
    <t>MR BEAN</t>
  </si>
  <si>
    <t>SUPER SAIYAN GOKU</t>
  </si>
  <si>
    <t>DARKSEID</t>
  </si>
  <si>
    <t>DC COMICS</t>
  </si>
  <si>
    <t>LOFFY GEAR FOUR</t>
  </si>
  <si>
    <t>ONE PIECE</t>
  </si>
  <si>
    <t>LOFFYTARO</t>
  </si>
  <si>
    <t>PEGASUS SEIYA</t>
  </si>
  <si>
    <t>STAN LEE</t>
  </si>
  <si>
    <t>SAM WINCHESTER</t>
  </si>
  <si>
    <t>SOBRENATURAL</t>
  </si>
  <si>
    <t>DEN WINCHESTER</t>
  </si>
  <si>
    <t>POP FUNKO</t>
  </si>
  <si>
    <t>MARÇO DE 2021</t>
  </si>
  <si>
    <t>ABRIL DE 2021</t>
  </si>
  <si>
    <t>MAIO DE 2021</t>
  </si>
  <si>
    <t>JUNHO DE 2021</t>
  </si>
  <si>
    <t>JULHO DE 2021</t>
  </si>
  <si>
    <t>AGOSTO DE 2021</t>
  </si>
  <si>
    <t>SETEMBRO DE 2021</t>
  </si>
  <si>
    <t>OUTUBRO DE 2021</t>
  </si>
  <si>
    <t>NOVEMBRO DE 2021</t>
  </si>
  <si>
    <t>DEZEMBRO DE 2021</t>
  </si>
  <si>
    <t>MARÇO DE 2022</t>
  </si>
  <si>
    <t>ABRIL DE 2022</t>
  </si>
  <si>
    <t>JUNHO DE 2022</t>
  </si>
  <si>
    <t>CAPITÃO AMERICA</t>
  </si>
  <si>
    <t>VINGADORES</t>
  </si>
  <si>
    <t>HOMEM DE FERRO</t>
  </si>
  <si>
    <t>MINIATURA SUPERMEM</t>
  </si>
  <si>
    <t>LIGA DA JUSTIÇA</t>
  </si>
  <si>
    <t>MINIATURA MULHER MARAVILHA</t>
  </si>
  <si>
    <t>MINIATURA CORINGA</t>
  </si>
  <si>
    <t>MINIATURA FLASH</t>
  </si>
  <si>
    <t>MINIATURA BATMAN</t>
  </si>
  <si>
    <t>MINIATURA  WOODY</t>
  </si>
  <si>
    <t>TOY STORY</t>
  </si>
  <si>
    <t>MINIATURA BUZZ</t>
  </si>
  <si>
    <t>MINIATURA  REX</t>
  </si>
  <si>
    <t>MINIATURA FORK</t>
  </si>
  <si>
    <t>MINIATURA MINION BOB</t>
  </si>
  <si>
    <t>MINIONS</t>
  </si>
  <si>
    <t>MINIATURA MINION KEVIN</t>
  </si>
  <si>
    <t>MINIATURA KID GRU</t>
  </si>
  <si>
    <t>MINIATURA MINION DAVE</t>
  </si>
  <si>
    <t>MINIATURA MINION STUART</t>
  </si>
  <si>
    <t>MINIATURA HOMER</t>
  </si>
  <si>
    <t>SIMPSON</t>
  </si>
  <si>
    <t>MINIATURA BART</t>
  </si>
  <si>
    <t>MINIATURA VELMA</t>
  </si>
  <si>
    <t>MINIATURA LISA</t>
  </si>
  <si>
    <t>MINIATURA MEGUE</t>
  </si>
  <si>
    <t>PANTERA NEGRA</t>
  </si>
  <si>
    <t>MINIATURA HE-MAN</t>
  </si>
  <si>
    <t>HE-MEN</t>
  </si>
  <si>
    <t>MINIATURA ESQUELETO</t>
  </si>
  <si>
    <t>MINIATURA GORPO</t>
  </si>
  <si>
    <t>MINIATURA</t>
  </si>
  <si>
    <t>MINIATURA SUNNY</t>
  </si>
  <si>
    <t>MONKEY. D. LUFFY</t>
  </si>
  <si>
    <t>RORONOA ZORO</t>
  </si>
  <si>
    <t>FRANKY</t>
  </si>
  <si>
    <t>MINIATURA MERRY</t>
  </si>
  <si>
    <t>TONY TONY CHOPPER</t>
  </si>
  <si>
    <t>MINIATURA SHANKS</t>
  </si>
  <si>
    <t>EUSTASS KID</t>
  </si>
  <si>
    <t>ESTÁTUAS</t>
  </si>
  <si>
    <t>MAIO DE 2022</t>
  </si>
  <si>
    <t>V1</t>
  </si>
  <si>
    <t>V2</t>
  </si>
  <si>
    <t>V3</t>
  </si>
  <si>
    <t>V4</t>
  </si>
  <si>
    <t>V5</t>
  </si>
  <si>
    <t>V6</t>
  </si>
  <si>
    <t>V7</t>
  </si>
  <si>
    <t>V8</t>
  </si>
  <si>
    <t>V9</t>
  </si>
  <si>
    <t>V10</t>
  </si>
  <si>
    <t>V11</t>
  </si>
  <si>
    <t>V12</t>
  </si>
  <si>
    <t>V13</t>
  </si>
  <si>
    <t>V14</t>
  </si>
  <si>
    <t>V15</t>
  </si>
  <si>
    <t>V16</t>
  </si>
  <si>
    <t>V17</t>
  </si>
  <si>
    <t>V18</t>
  </si>
  <si>
    <t>V19</t>
  </si>
  <si>
    <t>V20</t>
  </si>
  <si>
    <t>V21</t>
  </si>
  <si>
    <t>V22</t>
  </si>
  <si>
    <t>V23</t>
  </si>
  <si>
    <t>V0</t>
  </si>
  <si>
    <t>ONE PIECE 3em1</t>
  </si>
  <si>
    <t>ONE-PUNCH MAN</t>
  </si>
  <si>
    <t>JUJUTSU KAISEN</t>
  </si>
  <si>
    <t>MANGÁ</t>
  </si>
  <si>
    <t>V. LUCRO</t>
  </si>
  <si>
    <t>Rótulos de Linha</t>
  </si>
  <si>
    <t>Total Geral</t>
  </si>
  <si>
    <t>Contagem de COLEÇÃO</t>
  </si>
  <si>
    <t>Soma de V. COMPRA</t>
  </si>
  <si>
    <t>Soma de V. VENDA</t>
  </si>
  <si>
    <t>Soma de V. LUCRO</t>
  </si>
  <si>
    <t>Contagem de TIPO</t>
  </si>
  <si>
    <t>Contagem de MÊS / ANO</t>
  </si>
  <si>
    <t>TABELA VALOR COLEÇÃO</t>
  </si>
  <si>
    <t>TABELA QTD. PEÇAS</t>
  </si>
  <si>
    <t>TABELA VALOR POR MÊS</t>
  </si>
  <si>
    <t>TABELA DE TIPO</t>
  </si>
  <si>
    <t>Vitor Fernandes</t>
  </si>
  <si>
    <t xml:space="preserve">Criado por                          </t>
  </si>
  <si>
    <t xml:space="preserve">Criado por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</si>
</sst>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&quot;R$&quot;\ #,##0.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u/>
      <sz val="25"/>
      <color theme="0"/>
      <name val="Calibri"/>
      <family val="2"/>
      <scheme val="minor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0" xfId="0" applyNumberFormat="1"/>
    <xf numFmtId="164" fontId="0" fillId="0" borderId="2" xfId="1" applyNumberFormat="1" applyFont="1" applyBorder="1" applyAlignment="1">
      <alignment horizontal="center" vertical="center"/>
    </xf>
    <xf numFmtId="164" fontId="0" fillId="0" borderId="3" xfId="1" applyNumberFormat="1" applyFont="1" applyBorder="1" applyAlignment="1">
      <alignment horizontal="center" vertical="center"/>
    </xf>
    <xf numFmtId="164" fontId="0" fillId="0" borderId="0" xfId="2" applyNumberFormat="1" applyFont="1" applyAlignment="1">
      <alignment horizontal="center" vertical="center"/>
    </xf>
    <xf numFmtId="164" fontId="0" fillId="0" borderId="0" xfId="2" applyNumberFormat="1" applyFont="1" applyBorder="1" applyAlignment="1">
      <alignment horizontal="center" vertical="center"/>
    </xf>
    <xf numFmtId="0" fontId="0" fillId="0" borderId="2" xfId="0" pivotButton="1" applyBorder="1"/>
    <xf numFmtId="0" fontId="0" fillId="0" borderId="2" xfId="0" applyBorder="1"/>
    <xf numFmtId="0" fontId="0" fillId="0" borderId="2" xfId="0" applyBorder="1" applyAlignment="1">
      <alignment horizontal="left"/>
    </xf>
    <xf numFmtId="165" fontId="0" fillId="0" borderId="2" xfId="0" applyNumberFormat="1" applyBorder="1"/>
    <xf numFmtId="0" fontId="0" fillId="0" borderId="2" xfId="0" pivotButton="1" applyBorder="1" applyAlignment="1">
      <alignment horizontal="center" vertical="center"/>
    </xf>
    <xf numFmtId="0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0" fontId="0" fillId="0" borderId="1" xfId="0" pivotButton="1" applyBorder="1" applyAlignment="1">
      <alignment horizontal="center" vertical="center"/>
    </xf>
    <xf numFmtId="44" fontId="0" fillId="0" borderId="6" xfId="0" applyNumberFormat="1" applyBorder="1" applyAlignment="1">
      <alignment horizontal="center" vertical="center"/>
    </xf>
    <xf numFmtId="44" fontId="0" fillId="0" borderId="8" xfId="0" applyNumberFormat="1" applyBorder="1" applyAlignment="1">
      <alignment horizontal="center" vertical="center"/>
    </xf>
    <xf numFmtId="44" fontId="0" fillId="0" borderId="7" xfId="0" applyNumberFormat="1" applyBorder="1" applyAlignment="1">
      <alignment horizontal="center" vertical="center"/>
    </xf>
    <xf numFmtId="0" fontId="0" fillId="0" borderId="7" xfId="0" applyBorder="1"/>
    <xf numFmtId="0" fontId="0" fillId="0" borderId="6" xfId="0" applyBorder="1"/>
    <xf numFmtId="0" fontId="0" fillId="0" borderId="8" xfId="0" applyBorder="1"/>
    <xf numFmtId="44" fontId="0" fillId="0" borderId="10" xfId="0" applyNumberFormat="1" applyBorder="1" applyAlignment="1">
      <alignment horizontal="center" vertical="center"/>
    </xf>
    <xf numFmtId="44" fontId="0" fillId="0" borderId="11" xfId="0" applyNumberFormat="1" applyBorder="1" applyAlignment="1">
      <alignment horizontal="center" vertical="center"/>
    </xf>
    <xf numFmtId="44" fontId="0" fillId="0" borderId="4" xfId="0" applyNumberForma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0" borderId="0" xfId="0" applyFont="1" applyAlignment="1">
      <alignment horizontal="right"/>
    </xf>
    <xf numFmtId="14" fontId="3" fillId="0" borderId="0" xfId="0" applyNumberFormat="1" applyFont="1" applyAlignment="1">
      <alignment horizontal="right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2" borderId="2" xfId="0" applyFont="1" applyFill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2" borderId="0" xfId="0" applyFont="1" applyFill="1" applyBorder="1" applyAlignment="1" applyProtection="1">
      <alignment horizontal="center" vertical="center"/>
      <protection locked="0"/>
    </xf>
  </cellXfs>
  <cellStyles count="3">
    <cellStyle name="Moeda" xfId="1" builtinId="4"/>
    <cellStyle name="Normal" xfId="0" builtinId="0"/>
    <cellStyle name="Porcentagem" xfId="2" builtinId="5"/>
  </cellStyles>
  <dxfs count="89">
    <dxf>
      <numFmt numFmtId="164" formatCode="_-[$R$-416]\ * #,##0.00_-;\-[$R$-416]\ * #,##0.00_-;_-[$R$-416]\ * &quot;-&quot;??_-;_-@_-"/>
      <alignment horizontal="center" vertical="center" textRotation="0" wrapText="0" indent="0" justifyLastLine="0" shrinkToFit="0" readingOrder="0"/>
    </dxf>
    <dxf>
      <numFmt numFmtId="164" formatCode="_-[$R$-416]\ * #,##0.00_-;\-[$R$-416]\ * #,##0.00_-;_-[$R$-416]\ * &quot;-&quot;??_-;_-@_-"/>
    </dxf>
    <dxf>
      <numFmt numFmtId="164" formatCode="_-[$R$-416]\ * #,##0.00_-;\-[$R$-416]\ * #,##0.00_-;_-[$R$-416]\ * &quot;-&quot;??_-;_-@_-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&quot;R$&quot;\ #,##0.00"/>
    </dxf>
    <dxf>
      <alignment vertical="center"/>
    </dxf>
    <dxf>
      <alignment vertical="center"/>
    </dxf>
    <dxf>
      <alignment horizontal="center"/>
    </dxf>
    <dxf>
      <alignment horizontal="center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5" formatCode="&quot;R$&quot;\ #,##0.00"/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horizontal="center"/>
    </dxf>
    <dxf>
      <numFmt numFmtId="34" formatCode="_-&quot;R$&quot;\ * #,##0.00_-;\-&quot;R$&quot;\ * #,##0.00_-;_-&quot;R$&quot;\ * &quot;-&quot;??_-;_-@_-"/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tor" refreshedDate="44730.590309606479" createdVersion="8" refreshedVersion="8" minRefreshableVersion="3" recordCount="109" xr:uid="{1600262B-E951-40B1-BCF9-31DD2C36782D}">
  <cacheSource type="worksheet">
    <worksheetSource name="Tabela1"/>
  </cacheSource>
  <cacheFields count="7">
    <cacheField name="NOME / VOLUME" numFmtId="0">
      <sharedItems/>
    </cacheField>
    <cacheField name="COLEÇÃO" numFmtId="0">
      <sharedItems count="30">
        <s v="GUARDIANS OF THE GALAXY VOL.2"/>
        <s v="BATMAN THE DARK KNIGHT RETURNS"/>
        <s v="X-MAN"/>
        <s v="GAME OF TRONES"/>
        <s v="PREDATOR"/>
        <s v="AVENGERS"/>
        <s v="LA CASA DE PALEL"/>
        <s v="VENUM"/>
        <s v="MARVEL"/>
        <s v="BIG BANG THEORY"/>
        <s v="DC LOONEY TUNES"/>
        <s v="DRAGONBALL Z"/>
        <s v="WOODY WOODPECKER"/>
        <s v="SANT SEIYA"/>
        <s v="CHAVO"/>
        <s v="LORD OF THE RINGS"/>
        <s v="DISNEP"/>
        <s v="MR BEAN"/>
        <s v="DC COMICS"/>
        <s v="ONE PIECE"/>
        <s v="SOBRENATURAL"/>
        <s v="VINGADORES"/>
        <s v="LIGA DA JUSTIÇA"/>
        <s v="TOY STORY"/>
        <s v="MINIONS"/>
        <s v="SIMPSON"/>
        <s v="HE-MEN"/>
        <s v="ONE PIECE 3em1"/>
        <s v="ONE-PUNCH MAN"/>
        <s v="JUJUTSU KAISEN"/>
      </sharedItems>
    </cacheField>
    <cacheField name="TIPO" numFmtId="0">
      <sharedItems count="3">
        <s v="POP FUNKO"/>
        <s v="ESTÁTUAS"/>
        <s v="MANGÁ"/>
      </sharedItems>
    </cacheField>
    <cacheField name="MÊS / ANO" numFmtId="0">
      <sharedItems count="14">
        <s v="MARÇO DE 2021"/>
        <s v="ABRIL DE 2021"/>
        <s v="MAIO DE 2021"/>
        <s v="JUNHO DE 2021"/>
        <s v="JULHO DE 2021"/>
        <s v="AGOSTO DE 2021"/>
        <s v="SETEMBRO DE 2021"/>
        <s v="OUTUBRO DE 2021"/>
        <s v="NOVEMBRO DE 2021"/>
        <s v="DEZEMBRO DE 2021"/>
        <s v="MARÇO DE 2022"/>
        <s v="ABRIL DE 2022"/>
        <s v="JUNHO DE 2022"/>
        <s v="MAIO DE 2022"/>
      </sharedItems>
    </cacheField>
    <cacheField name="V. COMPRA" numFmtId="164">
      <sharedItems containsSemiMixedTypes="0" containsString="0" containsNumber="1" minValue="0" maxValue="284.89999999999998"/>
    </cacheField>
    <cacheField name="V. VENDA" numFmtId="164">
      <sharedItems containsSemiMixedTypes="0" containsString="0" containsNumber="1" minValue="3" maxValue="319.99"/>
    </cacheField>
    <cacheField name="V. LUCRO" numFmtId="164">
      <sharedItems containsSemiMixedTypes="0" containsString="0" containsNumber="1" minValue="-50" maxValue="319.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">
  <r>
    <s v="GROOT GOLD"/>
    <x v="0"/>
    <x v="0"/>
    <x v="0"/>
    <n v="63.25"/>
    <n v="120"/>
    <n v="56.75"/>
  </r>
  <r>
    <s v="ARMORED BATMAN (UNMASKED)"/>
    <x v="1"/>
    <x v="0"/>
    <x v="0"/>
    <n v="84.9"/>
    <n v="229.9"/>
    <n v="145"/>
  </r>
  <r>
    <s v="CABLE"/>
    <x v="2"/>
    <x v="0"/>
    <x v="1"/>
    <n v="103.32"/>
    <n v="159.9"/>
    <n v="56.580000000000013"/>
  </r>
  <r>
    <s v="JON SNOW"/>
    <x v="3"/>
    <x v="0"/>
    <x v="1"/>
    <n v="52.75"/>
    <n v="80"/>
    <n v="27.25"/>
  </r>
  <r>
    <s v="DROGON"/>
    <x v="3"/>
    <x v="0"/>
    <x v="1"/>
    <n v="55.59"/>
    <n v="80"/>
    <n v="24.409999999999997"/>
  </r>
  <r>
    <s v="NIGNT KING"/>
    <x v="3"/>
    <x v="0"/>
    <x v="1"/>
    <n v="50.66"/>
    <n v="80"/>
    <n v="29.340000000000003"/>
  </r>
  <r>
    <s v="DAENERYS TARGARYEN"/>
    <x v="3"/>
    <x v="0"/>
    <x v="1"/>
    <n v="50.45"/>
    <n v="80"/>
    <n v="29.549999999999997"/>
  </r>
  <r>
    <s v="PREDATOR"/>
    <x v="4"/>
    <x v="0"/>
    <x v="2"/>
    <n v="170"/>
    <n v="175"/>
    <n v="5"/>
  </r>
  <r>
    <s v="NEBULA"/>
    <x v="5"/>
    <x v="0"/>
    <x v="2"/>
    <n v="120"/>
    <n v="150"/>
    <n v="30"/>
  </r>
  <r>
    <s v="THE PROFESSOR"/>
    <x v="6"/>
    <x v="0"/>
    <x v="2"/>
    <n v="0"/>
    <n v="159.9"/>
    <n v="159.9"/>
  </r>
  <r>
    <s v="DENVER"/>
    <x v="6"/>
    <x v="0"/>
    <x v="2"/>
    <n v="0"/>
    <n v="142.97"/>
    <n v="142.97"/>
  </r>
  <r>
    <s v="CORRUPTER VENUM"/>
    <x v="7"/>
    <x v="0"/>
    <x v="3"/>
    <n v="0"/>
    <n v="213.52"/>
    <n v="213.52"/>
  </r>
  <r>
    <s v="DEADPOOL / VENOM"/>
    <x v="8"/>
    <x v="0"/>
    <x v="3"/>
    <n v="0"/>
    <n v="130"/>
    <n v="130"/>
  </r>
  <r>
    <s v="HOWARD WOLOWITZ AS BATMAN"/>
    <x v="9"/>
    <x v="0"/>
    <x v="4"/>
    <n v="0"/>
    <n v="319.99"/>
    <n v="319.99"/>
  </r>
  <r>
    <s v="INFARMOUS IRON MEN"/>
    <x v="8"/>
    <x v="0"/>
    <x v="4"/>
    <n v="170"/>
    <n v="120"/>
    <n v="-50"/>
  </r>
  <r>
    <s v="CARNAGE (CARLA UNGER)"/>
    <x v="7"/>
    <x v="0"/>
    <x v="4"/>
    <n v="170"/>
    <n v="164.9"/>
    <n v="-5.0999999999999943"/>
  </r>
  <r>
    <s v="WILE E. COYOTE AS CYBORG"/>
    <x v="10"/>
    <x v="0"/>
    <x v="4"/>
    <n v="0"/>
    <n v="147"/>
    <n v="147"/>
  </r>
  <r>
    <s v="SABRETOOTH"/>
    <x v="2"/>
    <x v="0"/>
    <x v="5"/>
    <n v="80"/>
    <n v="138.9"/>
    <n v="58.900000000000006"/>
  </r>
  <r>
    <s v="WAR MACHINE"/>
    <x v="5"/>
    <x v="0"/>
    <x v="5"/>
    <n v="100"/>
    <n v="218.5"/>
    <n v="118.5"/>
  </r>
  <r>
    <s v="ANT-MAN"/>
    <x v="5"/>
    <x v="0"/>
    <x v="5"/>
    <n v="100"/>
    <n v="189"/>
    <n v="89"/>
  </r>
  <r>
    <s v="GOKU (WORLD TOURNAMENT)"/>
    <x v="11"/>
    <x v="0"/>
    <x v="6"/>
    <n v="80"/>
    <n v="127.9"/>
    <n v="47.900000000000006"/>
  </r>
  <r>
    <s v="WOODY WOODPECKER"/>
    <x v="12"/>
    <x v="0"/>
    <x v="6"/>
    <n v="80"/>
    <n v="149.99"/>
    <n v="69.990000000000009"/>
  </r>
  <r>
    <s v="DRAGON SHIRYU"/>
    <x v="13"/>
    <x v="0"/>
    <x v="6"/>
    <n v="98.9"/>
    <n v="150.9"/>
    <n v="52"/>
  </r>
  <r>
    <s v="CYGNUS HYOGA"/>
    <x v="13"/>
    <x v="0"/>
    <x v="6"/>
    <n v="99.9"/>
    <n v="150.9"/>
    <n v="51"/>
  </r>
  <r>
    <s v="COLOSSUS"/>
    <x v="8"/>
    <x v="0"/>
    <x v="7"/>
    <n v="150"/>
    <n v="130.5"/>
    <n v="-19.5"/>
  </r>
  <r>
    <s v="ANDROMEDA SHUN"/>
    <x v="13"/>
    <x v="0"/>
    <x v="7"/>
    <n v="145"/>
    <n v="150.9"/>
    <n v="5.9000000000000057"/>
  </r>
  <r>
    <s v="EL CHAPULIN COLORADO"/>
    <x v="14"/>
    <x v="0"/>
    <x v="7"/>
    <n v="0"/>
    <n v="139.9"/>
    <n v="139.9"/>
  </r>
  <r>
    <s v="EL CHAVO"/>
    <x v="14"/>
    <x v="0"/>
    <x v="7"/>
    <n v="145"/>
    <n v="134.99"/>
    <n v="-10.009999999999991"/>
  </r>
  <r>
    <s v="PHOENIX IKKI"/>
    <x v="13"/>
    <x v="0"/>
    <x v="8"/>
    <n v="142.4"/>
    <n v="150.9"/>
    <n v="8.5"/>
  </r>
  <r>
    <s v="GANDALF"/>
    <x v="15"/>
    <x v="0"/>
    <x v="8"/>
    <n v="129.9"/>
    <n v="271.89999999999998"/>
    <n v="141.99999999999997"/>
  </r>
  <r>
    <s v="FRODO BAGGINS"/>
    <x v="15"/>
    <x v="0"/>
    <x v="8"/>
    <n v="129.9"/>
    <n v="154.6"/>
    <n v="24.699999999999989"/>
  </r>
  <r>
    <s v="TINKER BELL"/>
    <x v="16"/>
    <x v="0"/>
    <x v="8"/>
    <n v="129.9"/>
    <n v="139.99"/>
    <n v="10.090000000000003"/>
  </r>
  <r>
    <s v="SORCERES MICKEY"/>
    <x v="16"/>
    <x v="0"/>
    <x v="9"/>
    <n v="130"/>
    <n v="169.99"/>
    <n v="39.990000000000009"/>
  </r>
  <r>
    <s v="MR BEAN PAJAMAS"/>
    <x v="17"/>
    <x v="0"/>
    <x v="9"/>
    <n v="120"/>
    <n v="125"/>
    <n v="5"/>
  </r>
  <r>
    <s v="SUPER SAIYAN GOKU"/>
    <x v="11"/>
    <x v="0"/>
    <x v="9"/>
    <n v="125"/>
    <n v="122.5"/>
    <n v="-2.5"/>
  </r>
  <r>
    <s v="DARKSEID"/>
    <x v="18"/>
    <x v="0"/>
    <x v="9"/>
    <n v="125"/>
    <n v="130"/>
    <n v="5"/>
  </r>
  <r>
    <s v="LOFFY GEAR FOUR"/>
    <x v="19"/>
    <x v="0"/>
    <x v="9"/>
    <n v="150"/>
    <n v="200"/>
    <n v="50"/>
  </r>
  <r>
    <s v="LOFFYTARO"/>
    <x v="19"/>
    <x v="0"/>
    <x v="9"/>
    <n v="180"/>
    <n v="200"/>
    <n v="20"/>
  </r>
  <r>
    <s v="PEGASUS SEIYA"/>
    <x v="13"/>
    <x v="0"/>
    <x v="10"/>
    <n v="129.9"/>
    <n v="150.9"/>
    <n v="21"/>
  </r>
  <r>
    <s v="STAN LEE"/>
    <x v="0"/>
    <x v="0"/>
    <x v="11"/>
    <n v="150"/>
    <n v="189.9"/>
    <n v="39.900000000000006"/>
  </r>
  <r>
    <s v="SAM WINCHESTER"/>
    <x v="20"/>
    <x v="0"/>
    <x v="12"/>
    <n v="159.9"/>
    <n v="175.22"/>
    <n v="15.319999999999993"/>
  </r>
  <r>
    <s v="DEN WINCHESTER"/>
    <x v="20"/>
    <x v="0"/>
    <x v="12"/>
    <n v="129.9"/>
    <n v="134.9"/>
    <n v="5"/>
  </r>
  <r>
    <s v="CAPITÃO AMERICA"/>
    <x v="21"/>
    <x v="1"/>
    <x v="1"/>
    <n v="99.9"/>
    <n v="80"/>
    <n v="-19.900000000000006"/>
  </r>
  <r>
    <s v="HOMEM DE FERRO"/>
    <x v="21"/>
    <x v="1"/>
    <x v="2"/>
    <n v="99"/>
    <n v="80"/>
    <n v="-19"/>
  </r>
  <r>
    <s v="MINIATURA SUPERMEM"/>
    <x v="22"/>
    <x v="1"/>
    <x v="2"/>
    <n v="0"/>
    <n v="13"/>
    <n v="13"/>
  </r>
  <r>
    <s v="MINIATURA MULHER MARAVILHA"/>
    <x v="22"/>
    <x v="1"/>
    <x v="2"/>
    <n v="0"/>
    <n v="13"/>
    <n v="13"/>
  </r>
  <r>
    <s v="MINIATURA CORINGA"/>
    <x v="22"/>
    <x v="1"/>
    <x v="2"/>
    <n v="0"/>
    <n v="13"/>
    <n v="13"/>
  </r>
  <r>
    <s v="MINIATURA FLASH"/>
    <x v="22"/>
    <x v="1"/>
    <x v="2"/>
    <n v="0"/>
    <n v="13"/>
    <n v="13"/>
  </r>
  <r>
    <s v="MINIATURA BATMAN"/>
    <x v="22"/>
    <x v="1"/>
    <x v="2"/>
    <n v="0"/>
    <n v="13"/>
    <n v="13"/>
  </r>
  <r>
    <s v="MINIATURA BATMAN"/>
    <x v="22"/>
    <x v="1"/>
    <x v="2"/>
    <n v="0"/>
    <n v="13"/>
    <n v="13"/>
  </r>
  <r>
    <s v="MINIATURA  WOODY"/>
    <x v="23"/>
    <x v="1"/>
    <x v="2"/>
    <n v="0"/>
    <n v="13"/>
    <n v="13"/>
  </r>
  <r>
    <s v="MINIATURA BUZZ"/>
    <x v="23"/>
    <x v="1"/>
    <x v="2"/>
    <n v="0"/>
    <n v="13"/>
    <n v="13"/>
  </r>
  <r>
    <s v="MINIATURA  REX"/>
    <x v="23"/>
    <x v="1"/>
    <x v="2"/>
    <n v="0"/>
    <n v="13"/>
    <n v="13"/>
  </r>
  <r>
    <s v="MINIATURA FORK"/>
    <x v="23"/>
    <x v="1"/>
    <x v="2"/>
    <n v="0"/>
    <n v="13"/>
    <n v="13"/>
  </r>
  <r>
    <s v="MINIATURA MINION BOB"/>
    <x v="24"/>
    <x v="1"/>
    <x v="2"/>
    <n v="0"/>
    <n v="13"/>
    <n v="13"/>
  </r>
  <r>
    <s v="MINIATURA MINION KEVIN"/>
    <x v="24"/>
    <x v="1"/>
    <x v="2"/>
    <n v="0"/>
    <n v="13"/>
    <n v="13"/>
  </r>
  <r>
    <s v="MINIATURA KID GRU"/>
    <x v="24"/>
    <x v="1"/>
    <x v="2"/>
    <n v="0"/>
    <n v="13"/>
    <n v="13"/>
  </r>
  <r>
    <s v="MINIATURA MINION DAVE"/>
    <x v="24"/>
    <x v="1"/>
    <x v="2"/>
    <n v="0"/>
    <n v="13"/>
    <n v="13"/>
  </r>
  <r>
    <s v="MINIATURA MINION STUART"/>
    <x v="24"/>
    <x v="1"/>
    <x v="2"/>
    <n v="0"/>
    <n v="13"/>
    <n v="13"/>
  </r>
  <r>
    <s v="MINIATURA HOMER"/>
    <x v="25"/>
    <x v="1"/>
    <x v="3"/>
    <n v="2.5"/>
    <n v="3"/>
    <n v="0.5"/>
  </r>
  <r>
    <s v="MINIATURA BART"/>
    <x v="25"/>
    <x v="1"/>
    <x v="3"/>
    <n v="2.5"/>
    <n v="3"/>
    <n v="0.5"/>
  </r>
  <r>
    <s v="MINIATURA VELMA"/>
    <x v="25"/>
    <x v="1"/>
    <x v="3"/>
    <n v="2.5"/>
    <n v="3"/>
    <n v="0.5"/>
  </r>
  <r>
    <s v="MINIATURA LISA"/>
    <x v="25"/>
    <x v="1"/>
    <x v="3"/>
    <n v="2.5"/>
    <n v="3"/>
    <n v="0.5"/>
  </r>
  <r>
    <s v="MINIATURA MEGUE"/>
    <x v="25"/>
    <x v="1"/>
    <x v="3"/>
    <n v="2.5"/>
    <n v="3"/>
    <n v="0.5"/>
  </r>
  <r>
    <s v="PANTERA NEGRA"/>
    <x v="21"/>
    <x v="1"/>
    <x v="3"/>
    <n v="99"/>
    <n v="80"/>
    <n v="-19"/>
  </r>
  <r>
    <s v="MINIATURA HE-MAN"/>
    <x v="26"/>
    <x v="1"/>
    <x v="3"/>
    <n v="0"/>
    <n v="13"/>
    <n v="13"/>
  </r>
  <r>
    <s v="MINIATURA ESQUELETO"/>
    <x v="26"/>
    <x v="1"/>
    <x v="3"/>
    <n v="0"/>
    <n v="13"/>
    <n v="13"/>
  </r>
  <r>
    <s v="MINIATURA GORPO"/>
    <x v="26"/>
    <x v="1"/>
    <x v="3"/>
    <n v="0"/>
    <n v="13"/>
    <n v="13"/>
  </r>
  <r>
    <s v="MINIATURA"/>
    <x v="26"/>
    <x v="1"/>
    <x v="3"/>
    <n v="0"/>
    <n v="13"/>
    <n v="13"/>
  </r>
  <r>
    <s v="MINIATURA"/>
    <x v="26"/>
    <x v="1"/>
    <x v="3"/>
    <n v="0"/>
    <n v="13"/>
    <n v="13"/>
  </r>
  <r>
    <s v="MINIATURA SUNNY"/>
    <x v="19"/>
    <x v="1"/>
    <x v="10"/>
    <n v="14"/>
    <n v="20"/>
    <n v="6"/>
  </r>
  <r>
    <s v="MONKEY. D. LUFFY"/>
    <x v="19"/>
    <x v="1"/>
    <x v="11"/>
    <n v="239.9"/>
    <n v="280"/>
    <n v="40.099999999999994"/>
  </r>
  <r>
    <s v="RORONOA ZORO"/>
    <x v="19"/>
    <x v="1"/>
    <x v="13"/>
    <n v="239.9"/>
    <n v="289.89999999999998"/>
    <n v="49.999999999999972"/>
  </r>
  <r>
    <s v="FRANKY"/>
    <x v="19"/>
    <x v="1"/>
    <x v="13"/>
    <n v="239.9"/>
    <n v="280"/>
    <n v="40.099999999999994"/>
  </r>
  <r>
    <s v="MINIATURA MERRY"/>
    <x v="19"/>
    <x v="1"/>
    <x v="13"/>
    <n v="16"/>
    <n v="20"/>
    <n v="4"/>
  </r>
  <r>
    <s v="TONY TONY CHOPPER"/>
    <x v="19"/>
    <x v="1"/>
    <x v="13"/>
    <n v="100"/>
    <n v="80"/>
    <n v="-20"/>
  </r>
  <r>
    <s v="MINIATURA SHANKS"/>
    <x v="19"/>
    <x v="1"/>
    <x v="13"/>
    <n v="80"/>
    <n v="99"/>
    <n v="19"/>
  </r>
  <r>
    <s v="TONY TONY CHOPPER"/>
    <x v="19"/>
    <x v="1"/>
    <x v="12"/>
    <n v="284.89999999999998"/>
    <n v="299.89999999999998"/>
    <n v="15"/>
  </r>
  <r>
    <s v="EUSTASS KID"/>
    <x v="19"/>
    <x v="1"/>
    <x v="12"/>
    <n v="249.9"/>
    <n v="249.9"/>
    <n v="0"/>
  </r>
  <r>
    <s v="V1"/>
    <x v="27"/>
    <x v="2"/>
    <x v="11"/>
    <n v="49.9"/>
    <n v="49.9"/>
    <n v="0"/>
  </r>
  <r>
    <s v="V1"/>
    <x v="28"/>
    <x v="2"/>
    <x v="13"/>
    <n v="21.74"/>
    <n v="38.9"/>
    <n v="17.16"/>
  </r>
  <r>
    <s v="V2"/>
    <x v="28"/>
    <x v="2"/>
    <x v="13"/>
    <n v="21.74"/>
    <n v="24.9"/>
    <n v="3.16"/>
  </r>
  <r>
    <s v="V3"/>
    <x v="28"/>
    <x v="2"/>
    <x v="13"/>
    <n v="21.74"/>
    <n v="44.9"/>
    <n v="23.16"/>
  </r>
  <r>
    <s v="V4"/>
    <x v="28"/>
    <x v="2"/>
    <x v="13"/>
    <n v="21.74"/>
    <n v="24.9"/>
    <n v="3.16"/>
  </r>
  <r>
    <s v="V5"/>
    <x v="28"/>
    <x v="2"/>
    <x v="13"/>
    <n v="21.74"/>
    <n v="39.9"/>
    <n v="18.16"/>
  </r>
  <r>
    <s v="V6"/>
    <x v="28"/>
    <x v="2"/>
    <x v="13"/>
    <n v="21.74"/>
    <n v="24.9"/>
    <n v="3.16"/>
  </r>
  <r>
    <s v="V7"/>
    <x v="28"/>
    <x v="2"/>
    <x v="13"/>
    <n v="21.74"/>
    <n v="53.62"/>
    <n v="31.88"/>
  </r>
  <r>
    <s v="V8"/>
    <x v="28"/>
    <x v="2"/>
    <x v="13"/>
    <n v="21.74"/>
    <n v="27.9"/>
    <n v="6.16"/>
  </r>
  <r>
    <s v="V9"/>
    <x v="28"/>
    <x v="2"/>
    <x v="13"/>
    <n v="21.74"/>
    <n v="24.9"/>
    <n v="3.16"/>
  </r>
  <r>
    <s v="V10"/>
    <x v="28"/>
    <x v="2"/>
    <x v="13"/>
    <n v="21.74"/>
    <n v="24.9"/>
    <n v="3.16"/>
  </r>
  <r>
    <s v="V11"/>
    <x v="28"/>
    <x v="2"/>
    <x v="13"/>
    <n v="21.74"/>
    <n v="24.9"/>
    <n v="3.16"/>
  </r>
  <r>
    <s v="V12"/>
    <x v="28"/>
    <x v="2"/>
    <x v="13"/>
    <n v="21.74"/>
    <n v="24.9"/>
    <n v="3.16"/>
  </r>
  <r>
    <s v="V13"/>
    <x v="28"/>
    <x v="2"/>
    <x v="13"/>
    <n v="21.74"/>
    <n v="24.9"/>
    <n v="3.16"/>
  </r>
  <r>
    <s v="V14"/>
    <x v="28"/>
    <x v="2"/>
    <x v="13"/>
    <n v="21.74"/>
    <n v="24.9"/>
    <n v="3.16"/>
  </r>
  <r>
    <s v="V15"/>
    <x v="28"/>
    <x v="2"/>
    <x v="13"/>
    <n v="21.74"/>
    <n v="24.9"/>
    <n v="3.16"/>
  </r>
  <r>
    <s v="V16"/>
    <x v="28"/>
    <x v="2"/>
    <x v="13"/>
    <n v="21.74"/>
    <n v="29.9"/>
    <n v="8.16"/>
  </r>
  <r>
    <s v="V17"/>
    <x v="28"/>
    <x v="2"/>
    <x v="13"/>
    <n v="21.74"/>
    <n v="24.9"/>
    <n v="3.16"/>
  </r>
  <r>
    <s v="V18"/>
    <x v="28"/>
    <x v="2"/>
    <x v="13"/>
    <n v="21.74"/>
    <n v="27.9"/>
    <n v="6.16"/>
  </r>
  <r>
    <s v="V19"/>
    <x v="28"/>
    <x v="2"/>
    <x v="13"/>
    <n v="21.74"/>
    <n v="24.9"/>
    <n v="3.16"/>
  </r>
  <r>
    <s v="V20"/>
    <x v="28"/>
    <x v="2"/>
    <x v="13"/>
    <n v="21.74"/>
    <n v="24.9"/>
    <n v="3.16"/>
  </r>
  <r>
    <s v="V21"/>
    <x v="28"/>
    <x v="2"/>
    <x v="13"/>
    <n v="21.74"/>
    <n v="24.9"/>
    <n v="3.16"/>
  </r>
  <r>
    <s v="V22"/>
    <x v="28"/>
    <x v="2"/>
    <x v="13"/>
    <n v="21.73"/>
    <n v="24.9"/>
    <n v="3.1699999999999982"/>
  </r>
  <r>
    <s v="V23"/>
    <x v="28"/>
    <x v="2"/>
    <x v="13"/>
    <n v="21.73"/>
    <n v="29.9"/>
    <n v="8.1699999999999982"/>
  </r>
  <r>
    <s v="V0"/>
    <x v="29"/>
    <x v="2"/>
    <x v="12"/>
    <n v="39.9"/>
    <n v="39.9"/>
    <n v="0"/>
  </r>
  <r>
    <s v="V1"/>
    <x v="29"/>
    <x v="2"/>
    <x v="12"/>
    <n v="29.9"/>
    <n v="39.9"/>
    <n v="10"/>
  </r>
  <r>
    <s v="V2"/>
    <x v="29"/>
    <x v="2"/>
    <x v="12"/>
    <n v="29.9"/>
    <n v="39.9"/>
    <n v="10"/>
  </r>
  <r>
    <s v="V3"/>
    <x v="29"/>
    <x v="2"/>
    <x v="12"/>
    <n v="29.9"/>
    <n v="39.9"/>
    <n v="10"/>
  </r>
  <r>
    <s v="V4"/>
    <x v="29"/>
    <x v="2"/>
    <x v="12"/>
    <n v="29.9"/>
    <n v="39.9"/>
    <n v="10"/>
  </r>
  <r>
    <s v="V5"/>
    <x v="29"/>
    <x v="2"/>
    <x v="12"/>
    <n v="29.9"/>
    <n v="39.9"/>
    <n v="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DBC6CA-E7DF-4B05-8841-EF0ECC1C1426}" name="Tabela dinâmica5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D18" firstHeaderRow="0" firstDataRow="1" firstDataCol="1"/>
  <pivotFields count="7">
    <pivotField showAll="0"/>
    <pivotField showAll="0"/>
    <pivotField showAll="0"/>
    <pivotField axis="axisRow" showAll="0" sortType="descending">
      <items count="15">
        <item x="1"/>
        <item x="11"/>
        <item x="5"/>
        <item x="9"/>
        <item x="4"/>
        <item x="3"/>
        <item x="12"/>
        <item x="2"/>
        <item x="13"/>
        <item x="0"/>
        <item x="10"/>
        <item x="8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numFmtId="164" showAll="0"/>
    <pivotField dataField="1" numFmtId="164" showAll="0"/>
    <pivotField dataField="1" numFmtId="164" showAll="0"/>
  </pivotFields>
  <rowFields count="1">
    <field x="3"/>
  </rowFields>
  <rowItems count="15">
    <i>
      <x v="7"/>
    </i>
    <i>
      <x v="4"/>
    </i>
    <i>
      <x v="5"/>
    </i>
    <i>
      <x v="2"/>
    </i>
    <i>
      <x v="8"/>
    </i>
    <i>
      <x v="13"/>
    </i>
    <i>
      <x v="9"/>
    </i>
    <i>
      <x v="11"/>
    </i>
    <i>
      <x/>
    </i>
    <i>
      <x v="3"/>
    </i>
    <i>
      <x v="12"/>
    </i>
    <i>
      <x v="6"/>
    </i>
    <i>
      <x v="1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. COMPRA" fld="4" baseField="0" baseItem="0"/>
    <dataField name="Soma de V. VENDA" fld="5" baseField="0" baseItem="0"/>
    <dataField name="Soma de V. LUCRO" fld="6" baseField="0" baseItem="0"/>
  </dataFields>
  <formats count="18">
    <format dxfId="70">
      <pivotArea outline="0" collapsedLevelsAreSubtotals="1" fieldPosition="0"/>
    </format>
    <format dxfId="69">
      <pivotArea outline="0" collapsedLevelsAreSubtotals="1" fieldPosition="0"/>
    </format>
    <format dxfId="68">
      <pivotArea outline="0" collapsedLevelsAreSubtotals="1" fieldPosition="0"/>
    </format>
    <format dxfId="67">
      <pivotArea field="3" type="button" dataOnly="0" labelOnly="1" outline="0" axis="axisRow" fieldPosition="0"/>
    </format>
    <format dxfId="66">
      <pivotArea dataOnly="0" labelOnly="1" fieldPosition="0">
        <references count="1">
          <reference field="3" count="0"/>
        </references>
      </pivotArea>
    </format>
    <format dxfId="65">
      <pivotArea dataOnly="0" labelOnly="1" grandRow="1" outline="0" fieldPosition="0"/>
    </format>
    <format dxfId="64">
      <pivotArea field="3" type="button" dataOnly="0" labelOnly="1" outline="0" axis="axisRow" fieldPosition="0"/>
    </format>
    <format dxfId="63">
      <pivotArea dataOnly="0" labelOnly="1" fieldPosition="0">
        <references count="1">
          <reference field="3" count="0"/>
        </references>
      </pivotArea>
    </format>
    <format dxfId="62">
      <pivotArea dataOnly="0" labelOnly="1" grandRow="1" outline="0" fieldPosition="0"/>
    </format>
    <format dxfId="61">
      <pivotArea type="all" dataOnly="0" outline="0" fieldPosition="0"/>
    </format>
    <format dxfId="60">
      <pivotArea outline="0" collapsedLevelsAreSubtotals="1" fieldPosition="0"/>
    </format>
    <format dxfId="59">
      <pivotArea field="3" type="button" dataOnly="0" labelOnly="1" outline="0" axis="axisRow" fieldPosition="0"/>
    </format>
    <format dxfId="58">
      <pivotArea dataOnly="0" labelOnly="1" fieldPosition="0">
        <references count="1">
          <reference field="3" count="0"/>
        </references>
      </pivotArea>
    </format>
    <format dxfId="57">
      <pivotArea dataOnly="0" labelOnly="1" grandRow="1" outline="0" fieldPosition="0"/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outline="0" collapsedLevelsAreSubtotals="1" fieldPosition="0"/>
    </format>
    <format dxfId="54">
      <pivotArea dataOnly="0" labelOnly="1" fieldPosition="0">
        <references count="1">
          <reference field="3" count="0"/>
        </references>
      </pivotArea>
    </format>
    <format dxfId="53">
      <pivotArea dataOnly="0" labelOnly="1" grandRow="1" outline="0" fieldPosition="0"/>
    </format>
  </formats>
  <conditionalFormats count="3"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B51451-08D6-4DAD-B301-8F98A60C7091}" name="Tabela dinâmica6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G18" firstHeaderRow="1" firstDataRow="1" firstDataCol="1"/>
  <pivotFields count="7">
    <pivotField showAll="0"/>
    <pivotField showAll="0"/>
    <pivotField showAll="0"/>
    <pivotField axis="axisRow" dataField="1" showAll="0" sortType="descending">
      <items count="15">
        <item x="1"/>
        <item x="11"/>
        <item x="5"/>
        <item x="9"/>
        <item x="4"/>
        <item x="3"/>
        <item x="12"/>
        <item x="2"/>
        <item x="13"/>
        <item x="0"/>
        <item x="10"/>
        <item x="8"/>
        <item x="7"/>
        <item x="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numFmtId="164" showAll="0"/>
    <pivotField numFmtId="164" showAll="0"/>
    <pivotField numFmtId="164" showAll="0"/>
  </pivotFields>
  <rowFields count="1">
    <field x="3"/>
  </rowFields>
  <rowItems count="15">
    <i>
      <x v="8"/>
    </i>
    <i>
      <x v="7"/>
    </i>
    <i>
      <x v="5"/>
    </i>
    <i>
      <x v="6"/>
    </i>
    <i>
      <x/>
    </i>
    <i>
      <x v="3"/>
    </i>
    <i>
      <x v="11"/>
    </i>
    <i>
      <x v="13"/>
    </i>
    <i>
      <x v="12"/>
    </i>
    <i>
      <x v="4"/>
    </i>
    <i>
      <x v="2"/>
    </i>
    <i>
      <x v="1"/>
    </i>
    <i>
      <x v="10"/>
    </i>
    <i>
      <x v="9"/>
    </i>
    <i t="grand">
      <x/>
    </i>
  </rowItems>
  <colItems count="1">
    <i/>
  </colItems>
  <dataFields count="1">
    <dataField name="Contagem de MÊS / ANO" fld="3" subtotal="count" baseField="0" baseItem="0"/>
  </dataFields>
  <formats count="18">
    <format dxfId="88">
      <pivotArea type="all" dataOnly="0" outline="0" fieldPosition="0"/>
    </format>
    <format dxfId="87">
      <pivotArea outline="0" collapsedLevelsAreSubtotals="1" fieldPosition="0"/>
    </format>
    <format dxfId="86">
      <pivotArea field="3" type="button" dataOnly="0" labelOnly="1" outline="0" axis="axisRow" fieldPosition="0"/>
    </format>
    <format dxfId="85">
      <pivotArea dataOnly="0" labelOnly="1" fieldPosition="0">
        <references count="1">
          <reference field="3" count="0"/>
        </references>
      </pivotArea>
    </format>
    <format dxfId="84">
      <pivotArea dataOnly="0" labelOnly="1" grandRow="1" outline="0" fieldPosition="0"/>
    </format>
    <format dxfId="83">
      <pivotArea dataOnly="0" labelOnly="1" outline="0" axis="axisValues" fieldPosition="0"/>
    </format>
    <format dxfId="82">
      <pivotArea type="all" dataOnly="0" outline="0" fieldPosition="0"/>
    </format>
    <format dxfId="81">
      <pivotArea outline="0" collapsedLevelsAreSubtotals="1" fieldPosition="0"/>
    </format>
    <format dxfId="80">
      <pivotArea field="3" type="button" dataOnly="0" labelOnly="1" outline="0" axis="axisRow" fieldPosition="0"/>
    </format>
    <format dxfId="79">
      <pivotArea dataOnly="0" labelOnly="1" fieldPosition="0">
        <references count="1">
          <reference field="3" count="0"/>
        </references>
      </pivotArea>
    </format>
    <format dxfId="78">
      <pivotArea dataOnly="0" labelOnly="1" grandRow="1" outline="0" fieldPosition="0"/>
    </format>
    <format dxfId="77">
      <pivotArea dataOnly="0" labelOnly="1" outline="0" axis="axisValues" fieldPosition="0"/>
    </format>
    <format dxfId="76">
      <pivotArea type="all" dataOnly="0" outline="0" fieldPosition="0"/>
    </format>
    <format dxfId="75">
      <pivotArea outline="0" collapsedLevelsAreSubtotals="1" fieldPosition="0"/>
    </format>
    <format dxfId="74">
      <pivotArea field="3" type="button" dataOnly="0" labelOnly="1" outline="0" axis="axisRow" fieldPosition="0"/>
    </format>
    <format dxfId="73">
      <pivotArea dataOnly="0" labelOnly="1" fieldPosition="0">
        <references count="1">
          <reference field="3" count="0"/>
        </references>
      </pivotArea>
    </format>
    <format dxfId="72">
      <pivotArea dataOnly="0" labelOnly="1" grandRow="1" outline="0" fieldPosition="0"/>
    </format>
    <format dxfId="71">
      <pivotArea dataOnly="0" labelOnly="1" outline="0" axis="axisValues" fieldPosition="0"/>
    </format>
  </formats>
  <conditionalFormats count="1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3" count="14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8D194C-6559-49CB-BEF8-5DCA6CA05A5C}" name="Tabela dinâmica8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F3:G34" firstHeaderRow="1" firstDataRow="1" firstDataCol="1"/>
  <pivotFields count="7">
    <pivotField showAll="0"/>
    <pivotField axis="axisRow" dataField="1" showAll="0" sortType="descending">
      <items count="31">
        <item x="5"/>
        <item x="1"/>
        <item x="9"/>
        <item x="14"/>
        <item x="18"/>
        <item x="10"/>
        <item x="16"/>
        <item x="11"/>
        <item x="3"/>
        <item x="0"/>
        <item x="26"/>
        <item x="29"/>
        <item x="6"/>
        <item x="22"/>
        <item x="15"/>
        <item x="8"/>
        <item x="24"/>
        <item x="17"/>
        <item x="19"/>
        <item x="27"/>
        <item x="28"/>
        <item x="4"/>
        <item x="13"/>
        <item x="25"/>
        <item x="20"/>
        <item x="23"/>
        <item x="7"/>
        <item x="21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164" showAll="0"/>
    <pivotField numFmtId="164" showAll="0"/>
    <pivotField numFmtId="164" showAll="0"/>
  </pivotFields>
  <rowFields count="1">
    <field x="1"/>
  </rowFields>
  <rowItems count="31">
    <i>
      <x v="20"/>
    </i>
    <i>
      <x v="18"/>
    </i>
    <i>
      <x v="11"/>
    </i>
    <i>
      <x v="13"/>
    </i>
    <i>
      <x v="22"/>
    </i>
    <i>
      <x v="10"/>
    </i>
    <i>
      <x v="23"/>
    </i>
    <i>
      <x v="16"/>
    </i>
    <i>
      <x v="25"/>
    </i>
    <i>
      <x v="8"/>
    </i>
    <i>
      <x v="27"/>
    </i>
    <i>
      <x v="15"/>
    </i>
    <i>
      <x/>
    </i>
    <i>
      <x v="6"/>
    </i>
    <i>
      <x v="9"/>
    </i>
    <i>
      <x v="24"/>
    </i>
    <i>
      <x v="12"/>
    </i>
    <i>
      <x v="26"/>
    </i>
    <i>
      <x v="3"/>
    </i>
    <i>
      <x v="7"/>
    </i>
    <i>
      <x v="29"/>
    </i>
    <i>
      <x v="14"/>
    </i>
    <i>
      <x v="21"/>
    </i>
    <i>
      <x v="2"/>
    </i>
    <i>
      <x v="19"/>
    </i>
    <i>
      <x v="4"/>
    </i>
    <i>
      <x v="28"/>
    </i>
    <i>
      <x v="17"/>
    </i>
    <i>
      <x v="1"/>
    </i>
    <i>
      <x v="5"/>
    </i>
    <i t="grand">
      <x/>
    </i>
  </rowItems>
  <colItems count="1">
    <i/>
  </colItems>
  <dataFields count="1">
    <dataField name="Contagem de COLEÇÃO" fld="1" subtotal="count" baseField="0" baseItem="0"/>
  </dataFields>
  <formats count="18">
    <format dxfId="22">
      <pivotArea type="all" dataOnly="0" outline="0" fieldPosition="0"/>
    </format>
    <format dxfId="21">
      <pivotArea outline="0" collapsedLevelsAreSubtotals="1" fieldPosition="0"/>
    </format>
    <format dxfId="20">
      <pivotArea field="1" type="button" dataOnly="0" labelOnly="1" outline="0" axis="axisRow" fieldPosition="0"/>
    </format>
    <format dxfId="19">
      <pivotArea dataOnly="0" labelOnly="1" fieldPosition="0">
        <references count="1">
          <reference field="1" count="0"/>
        </references>
      </pivotArea>
    </format>
    <format dxfId="18">
      <pivotArea dataOnly="0" labelOnly="1" grandRow="1" outline="0" fieldPosition="0"/>
    </format>
    <format dxfId="17">
      <pivotArea dataOnly="0" labelOnly="1" outline="0" axis="axisValues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 axis="axisRow" fieldPosition="0"/>
    </format>
    <format dxfId="13">
      <pivotArea dataOnly="0" labelOnly="1" fieldPosition="0">
        <references count="1">
          <reference field="1" count="0"/>
        </references>
      </pivotArea>
    </format>
    <format dxfId="12">
      <pivotArea dataOnly="0" labelOnly="1" grandRow="1" outline="0" fieldPosition="0"/>
    </format>
    <format dxfId="11">
      <pivotArea dataOnly="0" labelOnly="1" outline="0" axis="axisValues" fieldPosition="0"/>
    </format>
    <format dxfId="10">
      <pivotArea type="all" dataOnly="0" outline="0" fieldPosition="0"/>
    </format>
    <format dxfId="9">
      <pivotArea outline="0" collapsedLevelsAreSubtotals="1" fieldPosition="0"/>
    </format>
    <format dxfId="8">
      <pivotArea field="1" type="button" dataOnly="0" labelOnly="1" outline="0" axis="axisRow" fieldPosition="0"/>
    </format>
    <format dxfId="7">
      <pivotArea dataOnly="0" labelOnly="1" fieldPosition="0">
        <references count="1">
          <reference field="1" count="0"/>
        </references>
      </pivotArea>
    </format>
    <format dxfId="6">
      <pivotArea dataOnly="0" labelOnly="1" grandRow="1" outline="0" fieldPosition="0"/>
    </format>
    <format dxfId="5">
      <pivotArea dataOnly="0" labelOnly="1" outline="0" axis="axisValues" fieldPosition="0"/>
    </format>
  </formats>
  <conditionalFormats count="1">
    <conditionalFormat priority="8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BE07D9-9221-4092-B7A5-7273B96E5ABE}" name="Tabela dinâmica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A3:D34" firstHeaderRow="0" firstDataRow="1" firstDataCol="1"/>
  <pivotFields count="7">
    <pivotField showAll="0"/>
    <pivotField axis="axisRow" showAll="0" sortType="descending">
      <items count="31">
        <item x="5"/>
        <item x="1"/>
        <item x="9"/>
        <item x="14"/>
        <item x="18"/>
        <item x="10"/>
        <item x="16"/>
        <item x="11"/>
        <item x="3"/>
        <item x="0"/>
        <item x="26"/>
        <item x="29"/>
        <item x="6"/>
        <item x="22"/>
        <item x="15"/>
        <item x="8"/>
        <item x="24"/>
        <item x="17"/>
        <item x="19"/>
        <item x="27"/>
        <item x="28"/>
        <item x="4"/>
        <item x="13"/>
        <item x="25"/>
        <item x="20"/>
        <item x="23"/>
        <item x="7"/>
        <item x="21"/>
        <item x="12"/>
        <item x="2"/>
        <item t="default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showAll="0"/>
    <pivotField showAll="0"/>
    <pivotField dataField="1" numFmtId="164" showAll="0"/>
    <pivotField dataField="1" numFmtId="164" showAll="0"/>
    <pivotField dataField="1" numFmtId="164" showAll="0"/>
  </pivotFields>
  <rowFields count="1">
    <field x="1"/>
  </rowFields>
  <rowItems count="31">
    <i>
      <x v="2"/>
    </i>
    <i>
      <x v="12"/>
    </i>
    <i>
      <x/>
    </i>
    <i>
      <x v="18"/>
    </i>
    <i>
      <x v="26"/>
    </i>
    <i>
      <x v="14"/>
    </i>
    <i>
      <x v="20"/>
    </i>
    <i>
      <x v="5"/>
    </i>
    <i>
      <x v="1"/>
    </i>
    <i>
      <x v="22"/>
    </i>
    <i>
      <x v="3"/>
    </i>
    <i>
      <x v="29"/>
    </i>
    <i>
      <x v="8"/>
    </i>
    <i>
      <x v="9"/>
    </i>
    <i>
      <x v="13"/>
    </i>
    <i>
      <x v="28"/>
    </i>
    <i>
      <x v="16"/>
    </i>
    <i>
      <x v="10"/>
    </i>
    <i>
      <x v="15"/>
    </i>
    <i>
      <x v="25"/>
    </i>
    <i>
      <x v="6"/>
    </i>
    <i>
      <x v="11"/>
    </i>
    <i>
      <x v="7"/>
    </i>
    <i>
      <x v="24"/>
    </i>
    <i>
      <x v="4"/>
    </i>
    <i>
      <x v="21"/>
    </i>
    <i>
      <x v="17"/>
    </i>
    <i>
      <x v="23"/>
    </i>
    <i>
      <x v="19"/>
    </i>
    <i>
      <x v="27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V. COMPRA" fld="4" baseField="1" baseItem="2"/>
    <dataField name="Soma de V. VENDA" fld="5" baseField="0" baseItem="0"/>
    <dataField name="Soma de V. LUCRO" fld="6" baseField="0" baseItem="0"/>
  </dataFields>
  <formats count="19">
    <format dxfId="41">
      <pivotArea outline="0" collapsedLevelsAreSubtotals="1" fieldPosition="0"/>
    </format>
    <format dxfId="40">
      <pivotArea type="all" dataOnly="0" outline="0" fieldPosition="0"/>
    </format>
    <format dxfId="39">
      <pivotArea outline="0" collapsedLevelsAreSubtotals="1" fieldPosition="0"/>
    </format>
    <format dxfId="38">
      <pivotArea field="1" type="button" dataOnly="0" labelOnly="1" outline="0" axis="axisRow" fieldPosition="0"/>
    </format>
    <format dxfId="37">
      <pivotArea dataOnly="0" labelOnly="1" fieldPosition="0">
        <references count="1">
          <reference field="1" count="0"/>
        </references>
      </pivotArea>
    </format>
    <format dxfId="36">
      <pivotArea dataOnly="0" labelOnly="1" grandRow="1" outline="0" fieldPosition="0"/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grandRow="1" outline="0" fieldPosition="0"/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type="all" dataOnly="0" outline="0" fieldPosition="0"/>
    </format>
    <format dxfId="27">
      <pivotArea outline="0" collapsedLevelsAreSubtotals="1" fieldPosition="0"/>
    </format>
    <format dxfId="26">
      <pivotArea field="1" type="button" dataOnly="0" labelOnly="1" outline="0" axis="axisRow" fieldPosition="0"/>
    </format>
    <format dxfId="25">
      <pivotArea dataOnly="0" labelOnly="1" fieldPosition="0">
        <references count="1">
          <reference field="1" count="0"/>
        </references>
      </pivotArea>
    </format>
    <format dxfId="24">
      <pivotArea dataOnly="0" labelOnly="1" grandRow="1" outline="0" fieldPosition="0"/>
    </format>
    <format dxfId="2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4">
    <conditionalFormat priority="1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0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1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  <conditionalFormat priority="12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1" count="30">
              <x v="0"/>
              <x v="1"/>
              <x v="2"/>
              <x v="3"/>
              <x v="4"/>
              <x v="5"/>
              <x v="6"/>
              <x v="7"/>
              <x v="8"/>
              <x v="9"/>
              <x v="10"/>
              <x v="11"/>
              <x v="12"/>
              <x v="13"/>
              <x v="14"/>
              <x v="15"/>
              <x v="16"/>
              <x v="17"/>
              <x v="18"/>
              <x v="19"/>
              <x v="20"/>
              <x v="21"/>
              <x v="22"/>
              <x v="23"/>
              <x v="24"/>
              <x v="25"/>
              <x v="26"/>
              <x v="27"/>
              <x v="28"/>
              <x v="29"/>
            </reference>
          </references>
        </pivotArea>
      </pivotAreas>
    </conditionalFormat>
  </conditional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F063CA-072D-4110-9B0C-8855752C984B}" name="Tabela dinâmica9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3:M7" firstHeaderRow="0" firstDataRow="1" firstDataCol="1"/>
  <pivotFields count="7">
    <pivotField showAll="0"/>
    <pivotField showAll="0"/>
    <pivotField axis="axisRow" dataField="1" showAll="0" sortType="descending">
      <items count="4">
        <item x="1"/>
        <item x="2"/>
        <item x="0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dataField="1" numFmtId="164" showAll="0"/>
    <pivotField dataField="1" numFmtId="164" showAll="0"/>
    <pivotField dataField="1" numFmtId="164" showAll="0"/>
  </pivotFields>
  <rowFields count="1">
    <field x="2"/>
  </rowFields>
  <rowItems count="4">
    <i>
      <x v="2"/>
    </i>
    <i>
      <x/>
    </i>
    <i>
      <x v="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Contagem de TIPO" fld="2" subtotal="count" baseField="0" baseItem="0"/>
    <dataField name="Soma de V. COMPRA" fld="4" baseField="0" baseItem="0" numFmtId="165"/>
    <dataField name="Soma de V. VENDA" fld="5" baseField="0" baseItem="0" numFmtId="165"/>
    <dataField name="Soma de V. LUCRO" fld="6" baseField="0" baseItem="0" numFmtId="165"/>
  </dataFields>
  <formats count="11">
    <format dxfId="52">
      <pivotArea outline="0" collapsedLevelsAreSubtotals="1" fieldPosition="0">
        <references count="1">
          <reference field="4294967294" count="3" selected="0">
            <x v="1"/>
            <x v="2"/>
            <x v="3"/>
          </reference>
        </references>
      </pivotArea>
    </format>
    <format dxfId="51">
      <pivotArea type="all" dataOnly="0" outline="0" fieldPosition="0"/>
    </format>
    <format dxfId="50">
      <pivotArea outline="0" collapsedLevelsAreSubtotals="1" fieldPosition="0"/>
    </format>
    <format dxfId="49">
      <pivotArea field="2" type="button" dataOnly="0" labelOnly="1" outline="0" axis="axisRow" fieldPosition="0"/>
    </format>
    <format dxfId="48">
      <pivotArea dataOnly="0" labelOnly="1" fieldPosition="0">
        <references count="1">
          <reference field="2" count="0"/>
        </references>
      </pivotArea>
    </format>
    <format dxfId="47">
      <pivotArea dataOnly="0" labelOnly="1" grandRow="1" outline="0" fieldPosition="0"/>
    </format>
    <format dxfId="4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4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4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42">
      <pivotArea dataOnly="0" labelOnly="1" outline="0" fieldPosition="0">
        <references count="1">
          <reference field="4294967294" count="1">
            <x v="0"/>
          </reference>
        </references>
      </pivotArea>
    </format>
  </formats>
  <conditionalFormats count="4">
    <conditionalFormat priority="4">
      <pivotAreas count="1">
        <pivotArea type="data" collapsedLevelsAreSubtotals="1" fieldPosition="0">
          <references count="2">
            <reference field="4294967294" count="1" selected="0">
              <x v="3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5">
      <pivotAreas count="1">
        <pivotArea type="data" collapsedLevelsAreSubtotals="1" fieldPosition="0">
          <references count="2">
            <reference field="4294967294" count="1" selected="0">
              <x v="2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6">
      <pivotAreas count="1">
        <pivotArea type="data" collapsedLevelsAreSubtotals="1" fieldPosition="0">
          <references count="2">
            <reference field="4294967294" count="1" selected="0">
              <x v="1"/>
            </reference>
            <reference field="2" count="3">
              <x v="0"/>
              <x v="1"/>
              <x v="2"/>
            </reference>
          </references>
        </pivotArea>
      </pivotAreas>
    </conditionalFormat>
    <conditionalFormat priority="7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2" count="3">
              <x v="0"/>
              <x v="1"/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C16FD6-89DA-4769-8330-640E879485F6}" name="Tabela1" displayName="Tabela1" ref="A1:G110" totalsRowShown="0">
  <autoFilter ref="A1:G110" xr:uid="{34C16FD6-89DA-4769-8330-640E879485F6}"/>
  <tableColumns count="7">
    <tableColumn id="1" xr3:uid="{E6BE06C9-E09C-48E8-B1E6-BE2452134D3E}" name="NOME / VOLUME" dataDxfId="4"/>
    <tableColumn id="2" xr3:uid="{12533797-0B68-4BE8-B4BE-2BE9D1193850}" name="COLEÇÃO" dataDxfId="3"/>
    <tableColumn id="3" xr3:uid="{E93A90CC-7EE4-491B-9B2E-1E03B7B1CC0D}" name="TIPO"/>
    <tableColumn id="4" xr3:uid="{3C30FB65-2F99-4AC1-83CF-0CB5B5AE1FB1}" name="MÊS / ANO"/>
    <tableColumn id="5" xr3:uid="{87F5020F-AA3F-42B0-8923-23B54FF9034E}" name="V. COMPRA" dataDxfId="2"/>
    <tableColumn id="6" xr3:uid="{2FB1A4F2-B8D0-48B2-92B2-D7531A8CCB53}" name="V. VENDA" dataDxfId="1"/>
    <tableColumn id="7" xr3:uid="{0E0FC62D-E5CB-4378-BEC5-67999A24132B}" name="V. LUCRO" dataDxfId="0" dataCellStyle="Porcentagem">
      <calculatedColumnFormula>Tabela1[[#This Row],[V. VENDA]]-Tabela1[[#This Row],[V. COMPRA]]</calculatedColumnFormula>
    </tableColumn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5.xml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E8B7C-6E97-4BA3-8536-AE5382333198}">
  <dimension ref="A1:G22"/>
  <sheetViews>
    <sheetView showGridLines="0" workbookViewId="0">
      <selection activeCell="A19" sqref="A19"/>
    </sheetView>
  </sheetViews>
  <sheetFormatPr defaultRowHeight="15" x14ac:dyDescent="0.25"/>
  <cols>
    <col min="1" max="1" width="20.28515625" style="32" bestFit="1" customWidth="1"/>
    <col min="2" max="2" width="19.5703125" style="32" bestFit="1" customWidth="1"/>
    <col min="3" max="3" width="17.85546875" style="32" bestFit="1" customWidth="1"/>
    <col min="4" max="4" width="17.5703125" style="32" bestFit="1" customWidth="1"/>
    <col min="5" max="5" width="9.140625" style="32"/>
    <col min="6" max="6" width="20.28515625" style="32" bestFit="1" customWidth="1"/>
    <col min="7" max="7" width="23.28515625" style="32" bestFit="1" customWidth="1"/>
    <col min="8" max="16384" width="9.140625" style="32"/>
  </cols>
  <sheetData>
    <row r="1" spans="1:7" ht="15" customHeight="1" x14ac:dyDescent="0.25">
      <c r="A1" s="28" t="s">
        <v>162</v>
      </c>
      <c r="B1" s="28"/>
      <c r="C1" s="28"/>
      <c r="D1" s="28"/>
      <c r="F1" s="28" t="s">
        <v>161</v>
      </c>
      <c r="G1" s="28"/>
    </row>
    <row r="2" spans="1:7" ht="15" customHeight="1" x14ac:dyDescent="0.25">
      <c r="A2" s="28"/>
      <c r="B2" s="28"/>
      <c r="C2" s="28"/>
      <c r="D2" s="28"/>
      <c r="F2" s="28"/>
      <c r="G2" s="28"/>
    </row>
    <row r="3" spans="1:7" x14ac:dyDescent="0.25">
      <c r="A3" s="18" t="s">
        <v>152</v>
      </c>
      <c r="B3" s="22" t="s">
        <v>155</v>
      </c>
      <c r="C3" s="23" t="s">
        <v>156</v>
      </c>
      <c r="D3" s="24" t="s">
        <v>157</v>
      </c>
      <c r="F3" s="18" t="s">
        <v>152</v>
      </c>
      <c r="G3" s="1" t="s">
        <v>159</v>
      </c>
    </row>
    <row r="4" spans="1:7" x14ac:dyDescent="0.25">
      <c r="A4" s="1" t="s">
        <v>70</v>
      </c>
      <c r="B4" s="21">
        <v>389</v>
      </c>
      <c r="C4" s="19">
        <v>902.87</v>
      </c>
      <c r="D4" s="20">
        <v>513.87</v>
      </c>
      <c r="F4" s="2" t="s">
        <v>122</v>
      </c>
      <c r="G4" s="16">
        <v>28</v>
      </c>
    </row>
    <row r="5" spans="1:7" x14ac:dyDescent="0.25">
      <c r="A5" s="2" t="s">
        <v>72</v>
      </c>
      <c r="B5" s="25">
        <v>340</v>
      </c>
      <c r="C5" s="26">
        <v>751.89</v>
      </c>
      <c r="D5" s="27">
        <v>411.89</v>
      </c>
      <c r="F5" s="2" t="s">
        <v>70</v>
      </c>
      <c r="G5" s="16">
        <v>20</v>
      </c>
    </row>
    <row r="6" spans="1:7" x14ac:dyDescent="0.25">
      <c r="A6" s="2" t="s">
        <v>71</v>
      </c>
      <c r="B6" s="25">
        <v>111.5</v>
      </c>
      <c r="C6" s="26">
        <v>503.52</v>
      </c>
      <c r="D6" s="27">
        <v>392.02</v>
      </c>
      <c r="F6" s="2" t="s">
        <v>71</v>
      </c>
      <c r="G6" s="16">
        <v>13</v>
      </c>
    </row>
    <row r="7" spans="1:7" x14ac:dyDescent="0.25">
      <c r="A7" s="2" t="s">
        <v>73</v>
      </c>
      <c r="B7" s="25">
        <v>280</v>
      </c>
      <c r="C7" s="26">
        <v>546.4</v>
      </c>
      <c r="D7" s="27">
        <v>266.39999999999998</v>
      </c>
      <c r="F7" s="2" t="s">
        <v>80</v>
      </c>
      <c r="G7" s="16">
        <v>10</v>
      </c>
    </row>
    <row r="8" spans="1:7" x14ac:dyDescent="0.25">
      <c r="A8" s="2" t="s">
        <v>122</v>
      </c>
      <c r="B8" s="25">
        <v>1175.8000000000002</v>
      </c>
      <c r="C8" s="26">
        <v>1435.3200000000013</v>
      </c>
      <c r="D8" s="27">
        <v>259.51999999999987</v>
      </c>
      <c r="F8" s="2" t="s">
        <v>69</v>
      </c>
      <c r="G8" s="16">
        <v>6</v>
      </c>
    </row>
    <row r="9" spans="1:7" x14ac:dyDescent="0.25">
      <c r="A9" s="2" t="s">
        <v>74</v>
      </c>
      <c r="B9" s="25">
        <v>358.79999999999995</v>
      </c>
      <c r="C9" s="26">
        <v>579.68999999999994</v>
      </c>
      <c r="D9" s="27">
        <v>220.89000000000001</v>
      </c>
      <c r="F9" s="2" t="s">
        <v>77</v>
      </c>
      <c r="G9" s="16">
        <v>6</v>
      </c>
    </row>
    <row r="10" spans="1:7" x14ac:dyDescent="0.25">
      <c r="A10" s="2" t="s">
        <v>68</v>
      </c>
      <c r="B10" s="25">
        <v>148.15</v>
      </c>
      <c r="C10" s="26">
        <v>349.9</v>
      </c>
      <c r="D10" s="27">
        <v>201.75</v>
      </c>
      <c r="F10" s="2" t="s">
        <v>76</v>
      </c>
      <c r="G10" s="16">
        <v>4</v>
      </c>
    </row>
    <row r="11" spans="1:7" x14ac:dyDescent="0.25">
      <c r="A11" s="2" t="s">
        <v>76</v>
      </c>
      <c r="B11" s="25">
        <v>532.1</v>
      </c>
      <c r="C11" s="26">
        <v>717.39</v>
      </c>
      <c r="D11" s="27">
        <v>185.28999999999996</v>
      </c>
      <c r="F11" s="2" t="s">
        <v>74</v>
      </c>
      <c r="G11" s="16">
        <v>4</v>
      </c>
    </row>
    <row r="12" spans="1:7" x14ac:dyDescent="0.25">
      <c r="A12" s="2" t="s">
        <v>69</v>
      </c>
      <c r="B12" s="25">
        <v>412.66999999999996</v>
      </c>
      <c r="C12" s="26">
        <v>559.9</v>
      </c>
      <c r="D12" s="27">
        <v>147.22999999999999</v>
      </c>
      <c r="F12" s="2" t="s">
        <v>75</v>
      </c>
      <c r="G12" s="16">
        <v>4</v>
      </c>
    </row>
    <row r="13" spans="1:7" x14ac:dyDescent="0.25">
      <c r="A13" s="2" t="s">
        <v>77</v>
      </c>
      <c r="B13" s="25">
        <v>830</v>
      </c>
      <c r="C13" s="26">
        <v>947.49</v>
      </c>
      <c r="D13" s="27">
        <v>117.49000000000001</v>
      </c>
      <c r="F13" s="2" t="s">
        <v>72</v>
      </c>
      <c r="G13" s="16">
        <v>4</v>
      </c>
    </row>
    <row r="14" spans="1:7" x14ac:dyDescent="0.25">
      <c r="A14" s="2" t="s">
        <v>75</v>
      </c>
      <c r="B14" s="25">
        <v>440</v>
      </c>
      <c r="C14" s="26">
        <v>556.29</v>
      </c>
      <c r="D14" s="27">
        <v>116.29000000000002</v>
      </c>
      <c r="F14" s="2" t="s">
        <v>73</v>
      </c>
      <c r="G14" s="16">
        <v>3</v>
      </c>
    </row>
    <row r="15" spans="1:7" x14ac:dyDescent="0.25">
      <c r="A15" s="2" t="s">
        <v>80</v>
      </c>
      <c r="B15" s="25">
        <v>1013.9999999999999</v>
      </c>
      <c r="C15" s="26">
        <v>1099.32</v>
      </c>
      <c r="D15" s="27">
        <v>85.32</v>
      </c>
      <c r="F15" s="2" t="s">
        <v>79</v>
      </c>
      <c r="G15" s="16">
        <v>3</v>
      </c>
    </row>
    <row r="16" spans="1:7" x14ac:dyDescent="0.25">
      <c r="A16" s="2" t="s">
        <v>79</v>
      </c>
      <c r="B16" s="25">
        <v>439.79999999999995</v>
      </c>
      <c r="C16" s="26">
        <v>519.79999999999995</v>
      </c>
      <c r="D16" s="27">
        <v>80</v>
      </c>
      <c r="F16" s="2" t="s">
        <v>78</v>
      </c>
      <c r="G16" s="16">
        <v>2</v>
      </c>
    </row>
    <row r="17" spans="1:7" x14ac:dyDescent="0.25">
      <c r="A17" s="2" t="s">
        <v>78</v>
      </c>
      <c r="B17" s="25">
        <v>143.9</v>
      </c>
      <c r="C17" s="26">
        <v>170.9</v>
      </c>
      <c r="D17" s="27">
        <v>27</v>
      </c>
      <c r="F17" s="2" t="s">
        <v>68</v>
      </c>
      <c r="G17" s="16">
        <v>2</v>
      </c>
    </row>
    <row r="18" spans="1:7" x14ac:dyDescent="0.25">
      <c r="A18" s="1" t="s">
        <v>153</v>
      </c>
      <c r="B18" s="25">
        <v>6615.72</v>
      </c>
      <c r="C18" s="26">
        <v>9640.6800000000021</v>
      </c>
      <c r="D18" s="27">
        <v>3024.9599999999996</v>
      </c>
      <c r="F18" s="2" t="s">
        <v>153</v>
      </c>
      <c r="G18" s="16">
        <v>109</v>
      </c>
    </row>
    <row r="20" spans="1:7" x14ac:dyDescent="0.25">
      <c r="A20" s="29" t="s">
        <v>166</v>
      </c>
    </row>
    <row r="21" spans="1:7" x14ac:dyDescent="0.25">
      <c r="A21" s="29" t="s">
        <v>164</v>
      </c>
    </row>
    <row r="22" spans="1:7" x14ac:dyDescent="0.25">
      <c r="A22" s="30">
        <v>44762</v>
      </c>
    </row>
  </sheetData>
  <sheetProtection algorithmName="SHA-512" hashValue="4Ffv0H3gtUbBEbzuUU1qyC2HaKXBQ936LR+QtJGFMJE9DfZQ+SpPN1CTyygfWAiFxYmfDCve4pEWH0ScqCfBMw==" saltValue="4WxYhJo9mtVD0Lqwtg9B5Q==" spinCount="100000" sheet="1" objects="1" scenarios="1" selectLockedCells="1" pivotTables="0"/>
  <mergeCells count="2">
    <mergeCell ref="A1:D2"/>
    <mergeCell ref="F1:G2"/>
  </mergeCells>
  <conditionalFormatting pivot="1" sqref="D4:D17">
    <cfRule type="colorScale" priority="4">
      <colorScale>
        <cfvo type="min"/>
        <cfvo type="max"/>
        <color rgb="FFFFEF9C"/>
        <color rgb="FF63BE7B"/>
      </colorScale>
    </cfRule>
  </conditionalFormatting>
  <conditionalFormatting pivot="1" sqref="C4:C17">
    <cfRule type="colorScale" priority="3">
      <colorScale>
        <cfvo type="min"/>
        <cfvo type="max"/>
        <color rgb="FFFFEF9C"/>
        <color rgb="FF63BE7B"/>
      </colorScale>
    </cfRule>
  </conditionalFormatting>
  <conditionalFormatting pivot="1" sqref="B4:B1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G4:G17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{4853BC3E-CA27-4889-BB29-C83D2763D3F9}</x14:id>
        </ext>
      </extLst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4853BC3E-CA27-4889-BB29-C83D2763D3F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G4:G17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4CD51-81AD-4EFD-A6D7-51BC889F4614}">
  <dimension ref="A1:M38"/>
  <sheetViews>
    <sheetView showGridLines="0" workbookViewId="0">
      <selection sqref="A1:D2"/>
    </sheetView>
  </sheetViews>
  <sheetFormatPr defaultRowHeight="15" x14ac:dyDescent="0.25"/>
  <cols>
    <col min="1" max="1" width="34.28515625" style="31" bestFit="1" customWidth="1"/>
    <col min="2" max="2" width="19.5703125" style="31" bestFit="1" customWidth="1"/>
    <col min="3" max="3" width="17.85546875" style="31" bestFit="1" customWidth="1"/>
    <col min="4" max="4" width="17.5703125" style="31" bestFit="1" customWidth="1"/>
    <col min="5" max="5" width="9.140625" style="31"/>
    <col min="6" max="6" width="34.28515625" style="31" bestFit="1" customWidth="1"/>
    <col min="7" max="7" width="21.85546875" style="31" bestFit="1" customWidth="1"/>
    <col min="8" max="8" width="9.140625" style="31"/>
    <col min="9" max="9" width="18" style="31" bestFit="1" customWidth="1"/>
    <col min="10" max="10" width="17.5703125" style="31" bestFit="1" customWidth="1"/>
    <col min="11" max="11" width="19.5703125" style="31" bestFit="1" customWidth="1"/>
    <col min="12" max="12" width="17.85546875" style="31" bestFit="1" customWidth="1"/>
    <col min="13" max="13" width="17.5703125" style="31" bestFit="1" customWidth="1"/>
    <col min="14" max="16384" width="9.140625" style="31"/>
  </cols>
  <sheetData>
    <row r="1" spans="1:13" ht="15" customHeight="1" x14ac:dyDescent="0.25">
      <c r="A1" s="33" t="s">
        <v>160</v>
      </c>
      <c r="B1" s="33"/>
      <c r="C1" s="33"/>
      <c r="D1" s="33"/>
      <c r="E1" s="32"/>
      <c r="F1" s="33" t="s">
        <v>161</v>
      </c>
      <c r="G1" s="33"/>
      <c r="I1" s="34" t="s">
        <v>163</v>
      </c>
      <c r="J1" s="35"/>
      <c r="K1" s="35"/>
      <c r="L1" s="35"/>
      <c r="M1" s="35"/>
    </row>
    <row r="2" spans="1:13" ht="15" customHeight="1" x14ac:dyDescent="0.25">
      <c r="A2" s="33"/>
      <c r="B2" s="33"/>
      <c r="C2" s="33"/>
      <c r="D2" s="33"/>
      <c r="E2" s="32"/>
      <c r="F2" s="33"/>
      <c r="G2" s="33"/>
      <c r="I2" s="34"/>
      <c r="J2" s="35"/>
      <c r="K2" s="35"/>
      <c r="L2" s="35"/>
      <c r="M2" s="35"/>
    </row>
    <row r="3" spans="1:13" x14ac:dyDescent="0.25">
      <c r="A3" s="15" t="s">
        <v>152</v>
      </c>
      <c r="B3" s="2" t="s">
        <v>155</v>
      </c>
      <c r="C3" s="2" t="s">
        <v>156</v>
      </c>
      <c r="D3" s="2" t="s">
        <v>157</v>
      </c>
      <c r="F3" s="18" t="s">
        <v>152</v>
      </c>
      <c r="G3" s="1" t="s">
        <v>154</v>
      </c>
      <c r="H3" s="32"/>
      <c r="I3" s="11" t="s">
        <v>152</v>
      </c>
      <c r="J3" s="2" t="s">
        <v>158</v>
      </c>
      <c r="K3" s="12" t="s">
        <v>155</v>
      </c>
      <c r="L3" s="12" t="s">
        <v>156</v>
      </c>
      <c r="M3" s="12" t="s">
        <v>157</v>
      </c>
    </row>
    <row r="4" spans="1:13" x14ac:dyDescent="0.25">
      <c r="A4" s="2" t="s">
        <v>28</v>
      </c>
      <c r="B4" s="17">
        <v>0</v>
      </c>
      <c r="C4" s="17">
        <v>319.99</v>
      </c>
      <c r="D4" s="17">
        <v>319.99</v>
      </c>
      <c r="F4" s="2" t="s">
        <v>148</v>
      </c>
      <c r="G4" s="16">
        <v>23</v>
      </c>
      <c r="H4" s="32"/>
      <c r="I4" s="13" t="s">
        <v>67</v>
      </c>
      <c r="J4" s="16">
        <v>42</v>
      </c>
      <c r="K4" s="14">
        <v>4101.5200000000004</v>
      </c>
      <c r="L4" s="14">
        <v>6551.2599999999993</v>
      </c>
      <c r="M4" s="14">
        <v>2449.7400000000007</v>
      </c>
    </row>
    <row r="5" spans="1:13" x14ac:dyDescent="0.25">
      <c r="A5" s="2" t="s">
        <v>21</v>
      </c>
      <c r="B5" s="17">
        <v>0</v>
      </c>
      <c r="C5" s="17">
        <v>302.87</v>
      </c>
      <c r="D5" s="17">
        <v>302.87</v>
      </c>
      <c r="F5" s="2" t="s">
        <v>60</v>
      </c>
      <c r="G5" s="16">
        <v>11</v>
      </c>
      <c r="H5" s="32"/>
      <c r="I5" s="13" t="s">
        <v>121</v>
      </c>
      <c r="J5" s="16">
        <v>37</v>
      </c>
      <c r="K5" s="14">
        <v>1774.9</v>
      </c>
      <c r="L5" s="14">
        <v>2133.7000000000003</v>
      </c>
      <c r="M5" s="14">
        <v>358.79999999999995</v>
      </c>
    </row>
    <row r="6" spans="1:13" x14ac:dyDescent="0.25">
      <c r="A6" s="2" t="s">
        <v>19</v>
      </c>
      <c r="B6" s="17">
        <v>320</v>
      </c>
      <c r="C6" s="17">
        <v>557.5</v>
      </c>
      <c r="D6" s="17">
        <v>237.5</v>
      </c>
      <c r="F6" s="2" t="s">
        <v>149</v>
      </c>
      <c r="G6" s="16">
        <v>6</v>
      </c>
      <c r="H6" s="32"/>
      <c r="I6" s="13" t="s">
        <v>150</v>
      </c>
      <c r="J6" s="16">
        <v>30</v>
      </c>
      <c r="K6" s="14">
        <v>739.3</v>
      </c>
      <c r="L6" s="14">
        <v>955.71999999999957</v>
      </c>
      <c r="M6" s="14">
        <v>216.41999999999993</v>
      </c>
    </row>
    <row r="7" spans="1:13" x14ac:dyDescent="0.25">
      <c r="A7" s="2" t="s">
        <v>60</v>
      </c>
      <c r="B7" s="17">
        <v>1794.5</v>
      </c>
      <c r="C7" s="17">
        <v>2018.7000000000003</v>
      </c>
      <c r="D7" s="17">
        <v>224.19999999999996</v>
      </c>
      <c r="F7" s="2" t="s">
        <v>85</v>
      </c>
      <c r="G7" s="16">
        <v>6</v>
      </c>
      <c r="H7" s="32"/>
      <c r="I7" s="13" t="s">
        <v>153</v>
      </c>
      <c r="J7" s="16">
        <v>109</v>
      </c>
      <c r="K7" s="14">
        <v>6615.7199999999957</v>
      </c>
      <c r="L7" s="14">
        <v>9640.6799999999985</v>
      </c>
      <c r="M7" s="14">
        <v>3024.9600000000009</v>
      </c>
    </row>
    <row r="8" spans="1:13" x14ac:dyDescent="0.25">
      <c r="A8" s="2" t="s">
        <v>24</v>
      </c>
      <c r="B8" s="17">
        <v>170</v>
      </c>
      <c r="C8" s="17">
        <v>378.42</v>
      </c>
      <c r="D8" s="17">
        <v>208.42000000000002</v>
      </c>
      <c r="F8" s="2" t="s">
        <v>40</v>
      </c>
      <c r="G8" s="16">
        <v>5</v>
      </c>
      <c r="H8" s="32"/>
      <c r="I8" s="32"/>
      <c r="J8" s="32"/>
      <c r="K8" s="32"/>
    </row>
    <row r="9" spans="1:13" x14ac:dyDescent="0.25">
      <c r="A9" s="2" t="s">
        <v>49</v>
      </c>
      <c r="B9" s="17">
        <v>259.8</v>
      </c>
      <c r="C9" s="17">
        <v>426.5</v>
      </c>
      <c r="D9" s="17">
        <v>166.69999999999996</v>
      </c>
      <c r="F9" s="2" t="s">
        <v>109</v>
      </c>
      <c r="G9" s="16">
        <v>5</v>
      </c>
      <c r="H9" s="32"/>
      <c r="I9" s="32"/>
      <c r="J9" s="32"/>
      <c r="K9" s="32"/>
    </row>
    <row r="10" spans="1:13" x14ac:dyDescent="0.25">
      <c r="A10" s="2" t="s">
        <v>148</v>
      </c>
      <c r="B10" s="17">
        <v>500.00000000000017</v>
      </c>
      <c r="C10" s="17">
        <v>666.41999999999973</v>
      </c>
      <c r="D10" s="17">
        <v>166.41999999999993</v>
      </c>
      <c r="F10" s="2" t="s">
        <v>102</v>
      </c>
      <c r="G10" s="16">
        <v>5</v>
      </c>
      <c r="H10" s="32"/>
      <c r="I10" s="32"/>
      <c r="J10" s="32"/>
      <c r="K10" s="32"/>
    </row>
    <row r="11" spans="1:13" x14ac:dyDescent="0.25">
      <c r="A11" s="2" t="s">
        <v>32</v>
      </c>
      <c r="B11" s="17">
        <v>0</v>
      </c>
      <c r="C11" s="17">
        <v>147</v>
      </c>
      <c r="D11" s="17">
        <v>147</v>
      </c>
      <c r="F11" s="2" t="s">
        <v>96</v>
      </c>
      <c r="G11" s="16">
        <v>5</v>
      </c>
      <c r="H11" s="32"/>
      <c r="I11" s="32"/>
      <c r="J11" s="32"/>
      <c r="K11" s="32"/>
    </row>
    <row r="12" spans="1:13" x14ac:dyDescent="0.25">
      <c r="A12" s="2" t="s">
        <v>9</v>
      </c>
      <c r="B12" s="17">
        <v>84.9</v>
      </c>
      <c r="C12" s="17">
        <v>229.9</v>
      </c>
      <c r="D12" s="17">
        <v>145</v>
      </c>
      <c r="F12" s="2" t="s">
        <v>91</v>
      </c>
      <c r="G12" s="16">
        <v>4</v>
      </c>
      <c r="H12" s="32"/>
      <c r="I12" s="32"/>
      <c r="J12" s="32"/>
      <c r="K12" s="32"/>
    </row>
    <row r="13" spans="1:13" x14ac:dyDescent="0.25">
      <c r="A13" s="2" t="s">
        <v>40</v>
      </c>
      <c r="B13" s="17">
        <v>616.1</v>
      </c>
      <c r="C13" s="17">
        <v>754.5</v>
      </c>
      <c r="D13" s="17">
        <v>138.4</v>
      </c>
      <c r="F13" s="2" t="s">
        <v>13</v>
      </c>
      <c r="G13" s="16">
        <v>4</v>
      </c>
      <c r="H13" s="32"/>
      <c r="I13" s="32"/>
      <c r="J13" s="32"/>
      <c r="K13" s="32"/>
    </row>
    <row r="14" spans="1:13" x14ac:dyDescent="0.25">
      <c r="A14" s="2" t="s">
        <v>45</v>
      </c>
      <c r="B14" s="17">
        <v>145</v>
      </c>
      <c r="C14" s="17">
        <v>274.89</v>
      </c>
      <c r="D14" s="17">
        <v>129.89000000000001</v>
      </c>
      <c r="F14" s="2" t="s">
        <v>82</v>
      </c>
      <c r="G14" s="16">
        <v>3</v>
      </c>
      <c r="H14" s="32"/>
      <c r="I14" s="32"/>
      <c r="J14" s="32"/>
      <c r="K14" s="32"/>
    </row>
    <row r="15" spans="1:13" x14ac:dyDescent="0.25">
      <c r="A15" s="2" t="s">
        <v>11</v>
      </c>
      <c r="B15" s="17">
        <v>183.32</v>
      </c>
      <c r="C15" s="17">
        <v>298.8</v>
      </c>
      <c r="D15" s="17">
        <v>115.48000000000002</v>
      </c>
      <c r="F15" s="2" t="s">
        <v>26</v>
      </c>
      <c r="G15" s="16">
        <v>3</v>
      </c>
      <c r="H15" s="32"/>
      <c r="I15" s="32"/>
      <c r="J15" s="32"/>
      <c r="K15" s="32"/>
    </row>
    <row r="16" spans="1:13" x14ac:dyDescent="0.25">
      <c r="A16" s="2" t="s">
        <v>13</v>
      </c>
      <c r="B16" s="17">
        <v>209.45</v>
      </c>
      <c r="C16" s="17">
        <v>320</v>
      </c>
      <c r="D16" s="17">
        <v>110.55</v>
      </c>
      <c r="F16" s="2" t="s">
        <v>19</v>
      </c>
      <c r="G16" s="16">
        <v>3</v>
      </c>
      <c r="H16" s="32"/>
      <c r="I16" s="32"/>
      <c r="J16" s="32"/>
      <c r="K16" s="32"/>
    </row>
    <row r="17" spans="1:11" x14ac:dyDescent="0.25">
      <c r="A17" s="2" t="s">
        <v>7</v>
      </c>
      <c r="B17" s="17">
        <v>213.25</v>
      </c>
      <c r="C17" s="17">
        <v>309.89999999999998</v>
      </c>
      <c r="D17" s="17">
        <v>96.65</v>
      </c>
      <c r="F17" s="2" t="s">
        <v>52</v>
      </c>
      <c r="G17" s="16">
        <v>2</v>
      </c>
      <c r="H17" s="32"/>
      <c r="I17" s="32"/>
      <c r="J17" s="32"/>
      <c r="K17" s="32"/>
    </row>
    <row r="18" spans="1:11" x14ac:dyDescent="0.25">
      <c r="A18" s="2" t="s">
        <v>85</v>
      </c>
      <c r="B18" s="17">
        <v>0</v>
      </c>
      <c r="C18" s="17">
        <v>78</v>
      </c>
      <c r="D18" s="17">
        <v>78</v>
      </c>
      <c r="F18" s="2" t="s">
        <v>7</v>
      </c>
      <c r="G18" s="16">
        <v>2</v>
      </c>
      <c r="H18" s="32"/>
      <c r="I18" s="32"/>
      <c r="J18" s="32"/>
      <c r="K18" s="32"/>
    </row>
    <row r="19" spans="1:11" x14ac:dyDescent="0.25">
      <c r="A19" s="2" t="s">
        <v>38</v>
      </c>
      <c r="B19" s="17">
        <v>80</v>
      </c>
      <c r="C19" s="17">
        <v>149.99</v>
      </c>
      <c r="D19" s="17">
        <v>69.990000000000009</v>
      </c>
      <c r="F19" s="2" t="s">
        <v>65</v>
      </c>
      <c r="G19" s="16">
        <v>2</v>
      </c>
      <c r="H19" s="32"/>
      <c r="I19" s="32"/>
      <c r="J19" s="32"/>
      <c r="K19" s="32"/>
    </row>
    <row r="20" spans="1:11" x14ac:dyDescent="0.25">
      <c r="A20" s="2" t="s">
        <v>96</v>
      </c>
      <c r="B20" s="17">
        <v>0</v>
      </c>
      <c r="C20" s="17">
        <v>65</v>
      </c>
      <c r="D20" s="17">
        <v>65</v>
      </c>
      <c r="F20" s="2" t="s">
        <v>21</v>
      </c>
      <c r="G20" s="16">
        <v>2</v>
      </c>
      <c r="H20" s="32"/>
      <c r="I20" s="32"/>
      <c r="J20" s="32"/>
      <c r="K20" s="32"/>
    </row>
    <row r="21" spans="1:11" x14ac:dyDescent="0.25">
      <c r="A21" s="2" t="s">
        <v>109</v>
      </c>
      <c r="B21" s="17">
        <v>0</v>
      </c>
      <c r="C21" s="17">
        <v>65</v>
      </c>
      <c r="D21" s="17">
        <v>65</v>
      </c>
      <c r="F21" s="2" t="s">
        <v>24</v>
      </c>
      <c r="G21" s="16">
        <v>2</v>
      </c>
    </row>
    <row r="22" spans="1:11" x14ac:dyDescent="0.25">
      <c r="A22" s="2" t="s">
        <v>26</v>
      </c>
      <c r="B22" s="17">
        <v>320</v>
      </c>
      <c r="C22" s="17">
        <v>380.5</v>
      </c>
      <c r="D22" s="17">
        <v>60.5</v>
      </c>
      <c r="F22" s="2" t="s">
        <v>45</v>
      </c>
      <c r="G22" s="16">
        <v>2</v>
      </c>
    </row>
    <row r="23" spans="1:11" x14ac:dyDescent="0.25">
      <c r="A23" s="2" t="s">
        <v>91</v>
      </c>
      <c r="B23" s="17">
        <v>0</v>
      </c>
      <c r="C23" s="17">
        <v>52</v>
      </c>
      <c r="D23" s="17">
        <v>52</v>
      </c>
      <c r="F23" s="2" t="s">
        <v>37</v>
      </c>
      <c r="G23" s="16">
        <v>2</v>
      </c>
    </row>
    <row r="24" spans="1:11" x14ac:dyDescent="0.25">
      <c r="A24" s="2" t="s">
        <v>52</v>
      </c>
      <c r="B24" s="17">
        <v>259.89999999999998</v>
      </c>
      <c r="C24" s="17">
        <v>309.98</v>
      </c>
      <c r="D24" s="17">
        <v>50.080000000000013</v>
      </c>
      <c r="F24" s="2" t="s">
        <v>11</v>
      </c>
      <c r="G24" s="16">
        <v>2</v>
      </c>
    </row>
    <row r="25" spans="1:11" x14ac:dyDescent="0.25">
      <c r="A25" s="2" t="s">
        <v>149</v>
      </c>
      <c r="B25" s="17">
        <v>189.4</v>
      </c>
      <c r="C25" s="17">
        <v>239.4</v>
      </c>
      <c r="D25" s="17">
        <v>50</v>
      </c>
      <c r="F25" s="2" t="s">
        <v>49</v>
      </c>
      <c r="G25" s="16">
        <v>2</v>
      </c>
    </row>
    <row r="26" spans="1:11" x14ac:dyDescent="0.25">
      <c r="A26" s="2" t="s">
        <v>37</v>
      </c>
      <c r="B26" s="17">
        <v>205</v>
      </c>
      <c r="C26" s="17">
        <v>250.4</v>
      </c>
      <c r="D26" s="17">
        <v>45.400000000000006</v>
      </c>
      <c r="F26" s="2" t="s">
        <v>17</v>
      </c>
      <c r="G26" s="16">
        <v>1</v>
      </c>
    </row>
    <row r="27" spans="1:11" x14ac:dyDescent="0.25">
      <c r="A27" s="2" t="s">
        <v>65</v>
      </c>
      <c r="B27" s="17">
        <v>289.8</v>
      </c>
      <c r="C27" s="17">
        <v>310.12</v>
      </c>
      <c r="D27" s="17">
        <v>20.319999999999993</v>
      </c>
      <c r="F27" s="2" t="s">
        <v>28</v>
      </c>
      <c r="G27" s="16">
        <v>1</v>
      </c>
    </row>
    <row r="28" spans="1:11" x14ac:dyDescent="0.25">
      <c r="A28" s="2" t="s">
        <v>58</v>
      </c>
      <c r="B28" s="17">
        <v>125</v>
      </c>
      <c r="C28" s="17">
        <v>130</v>
      </c>
      <c r="D28" s="17">
        <v>5</v>
      </c>
      <c r="F28" s="2" t="s">
        <v>147</v>
      </c>
      <c r="G28" s="16">
        <v>1</v>
      </c>
    </row>
    <row r="29" spans="1:11" x14ac:dyDescent="0.25">
      <c r="A29" s="2" t="s">
        <v>17</v>
      </c>
      <c r="B29" s="17">
        <v>170</v>
      </c>
      <c r="C29" s="17">
        <v>175</v>
      </c>
      <c r="D29" s="17">
        <v>5</v>
      </c>
      <c r="F29" s="2" t="s">
        <v>58</v>
      </c>
      <c r="G29" s="16">
        <v>1</v>
      </c>
    </row>
    <row r="30" spans="1:11" x14ac:dyDescent="0.25">
      <c r="A30" s="2" t="s">
        <v>55</v>
      </c>
      <c r="B30" s="17">
        <v>120</v>
      </c>
      <c r="C30" s="17">
        <v>125</v>
      </c>
      <c r="D30" s="17">
        <v>5</v>
      </c>
      <c r="F30" s="2" t="s">
        <v>38</v>
      </c>
      <c r="G30" s="16">
        <v>1</v>
      </c>
    </row>
    <row r="31" spans="1:11" x14ac:dyDescent="0.25">
      <c r="A31" s="2" t="s">
        <v>102</v>
      </c>
      <c r="B31" s="17">
        <v>12.5</v>
      </c>
      <c r="C31" s="17">
        <v>15</v>
      </c>
      <c r="D31" s="17">
        <v>2.5</v>
      </c>
      <c r="F31" s="2" t="s">
        <v>55</v>
      </c>
      <c r="G31" s="16">
        <v>1</v>
      </c>
    </row>
    <row r="32" spans="1:11" x14ac:dyDescent="0.25">
      <c r="A32" s="2" t="s">
        <v>147</v>
      </c>
      <c r="B32" s="17">
        <v>49.9</v>
      </c>
      <c r="C32" s="17">
        <v>49.9</v>
      </c>
      <c r="D32" s="17">
        <v>0</v>
      </c>
      <c r="F32" s="2" t="s">
        <v>9</v>
      </c>
      <c r="G32" s="16">
        <v>1</v>
      </c>
    </row>
    <row r="33" spans="1:7" x14ac:dyDescent="0.25">
      <c r="A33" s="2" t="s">
        <v>82</v>
      </c>
      <c r="B33" s="17">
        <v>297.89999999999998</v>
      </c>
      <c r="C33" s="17">
        <v>240</v>
      </c>
      <c r="D33" s="17">
        <v>-57.900000000000006</v>
      </c>
      <c r="F33" s="2" t="s">
        <v>32</v>
      </c>
      <c r="G33" s="16">
        <v>1</v>
      </c>
    </row>
    <row r="34" spans="1:7" x14ac:dyDescent="0.25">
      <c r="A34" s="2" t="s">
        <v>153</v>
      </c>
      <c r="B34" s="17">
        <v>6615.7199999999993</v>
      </c>
      <c r="C34" s="17">
        <v>9640.68</v>
      </c>
      <c r="D34" s="17">
        <v>3024.9600000000005</v>
      </c>
      <c r="F34" s="2" t="s">
        <v>153</v>
      </c>
      <c r="G34" s="16">
        <v>109</v>
      </c>
    </row>
    <row r="36" spans="1:7" x14ac:dyDescent="0.25">
      <c r="A36" s="29" t="s">
        <v>165</v>
      </c>
    </row>
    <row r="37" spans="1:7" x14ac:dyDescent="0.25">
      <c r="A37" s="29" t="s">
        <v>164</v>
      </c>
    </row>
    <row r="38" spans="1:7" x14ac:dyDescent="0.25">
      <c r="A38" s="30">
        <v>44762</v>
      </c>
    </row>
  </sheetData>
  <sheetProtection algorithmName="SHA-512" hashValue="Xe5Pg5OKVfRFqH4VnXkdTOMWa4/Q3BmAzKGxs99ofJoE7IV5oOn+QKvF9eiMK1S53xMxYv1UTo+FEfusrfRaxQ==" saltValue="3miFQtDGz+WlHoqzIvrNyQ==" spinCount="100000" sheet="1" objects="1" scenarios="1" selectLockedCells="1" pivotTables="0"/>
  <mergeCells count="3">
    <mergeCell ref="A1:D2"/>
    <mergeCell ref="F1:G2"/>
    <mergeCell ref="I1:M2"/>
  </mergeCells>
  <conditionalFormatting pivot="1" sqref="D4:D33">
    <cfRule type="colorScale" priority="12">
      <colorScale>
        <cfvo type="min"/>
        <cfvo type="max"/>
        <color rgb="FFFFEF9C"/>
        <color rgb="FF63BE7B"/>
      </colorScale>
    </cfRule>
  </conditionalFormatting>
  <conditionalFormatting pivot="1" sqref="C4:C33">
    <cfRule type="colorScale" priority="11">
      <colorScale>
        <cfvo type="min"/>
        <cfvo type="max"/>
        <color rgb="FFFFEF9C"/>
        <color rgb="FF63BE7B"/>
      </colorScale>
    </cfRule>
  </conditionalFormatting>
  <conditionalFormatting pivot="1" sqref="B4:B33">
    <cfRule type="colorScale" priority="10">
      <colorScale>
        <cfvo type="min"/>
        <cfvo type="max"/>
        <color rgb="FFFFEF9C"/>
        <color rgb="FF63BE7B"/>
      </colorScale>
    </cfRule>
  </conditionalFormatting>
  <conditionalFormatting pivot="1" sqref="B4:B3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G4:G33">
    <cfRule type="dataBar" priority="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{073B6104-A8BB-428A-B8A9-A6F69035831A}</x14:id>
        </ext>
      </extLst>
    </cfRule>
  </conditionalFormatting>
  <conditionalFormatting pivot="1" sqref="J4:J6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{C5D3EAC3-09C4-42D6-929B-790657C38392}</x14:id>
        </ext>
      </extLst>
    </cfRule>
  </conditionalFormatting>
  <conditionalFormatting pivot="1" sqref="K4:K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pivot="1" sqref="L4:L6">
    <cfRule type="colorScale" priority="5">
      <colorScale>
        <cfvo type="min"/>
        <cfvo type="max"/>
        <color rgb="FFFFEF9C"/>
        <color rgb="FF63BE7B"/>
      </colorScale>
    </cfRule>
  </conditionalFormatting>
  <conditionalFormatting pivot="1" sqref="M4:M6">
    <cfRule type="colorScale" priority="4">
      <colorScale>
        <cfvo type="min"/>
        <cfvo type="max"/>
        <color rgb="FFFFEF9C"/>
        <color rgb="FF63BE7B"/>
      </colorScale>
    </cfRule>
  </conditionalFormatting>
  <pageMargins left="0.511811024" right="0.511811024" top="0.78740157499999996" bottom="0.78740157499999996" header="0.31496062000000002" footer="0.31496062000000002"/>
  <extLst>
    <ext xmlns:x14="http://schemas.microsoft.com/office/spreadsheetml/2009/9/main" uri="{78C0D931-6437-407d-A8EE-F0AAD7539E65}">
      <x14:conditionalFormattings>
        <x14:conditionalFormatting xmlns:xm="http://schemas.microsoft.com/office/excel/2006/main" pivot="1">
          <x14:cfRule type="dataBar" id="{073B6104-A8BB-428A-B8A9-A6F69035831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G4:G33</xm:sqref>
        </x14:conditionalFormatting>
        <x14:conditionalFormatting xmlns:xm="http://schemas.microsoft.com/office/excel/2006/main" pivot="1">
          <x14:cfRule type="dataBar" id="{C5D3EAC3-09C4-42D6-929B-790657C3839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J4:J6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9F21F-D2D0-4AB7-A8CD-B94DA4BB9A77}">
  <dimension ref="A1:G114"/>
  <sheetViews>
    <sheetView showGridLines="0" tabSelected="1" zoomScale="85" zoomScaleNormal="85" workbookViewId="0">
      <selection activeCell="H1" sqref="H1"/>
    </sheetView>
  </sheetViews>
  <sheetFormatPr defaultRowHeight="15" x14ac:dyDescent="0.25"/>
  <cols>
    <col min="1" max="1" width="31.42578125" style="32" bestFit="1" customWidth="1"/>
    <col min="2" max="2" width="34.28515625" style="32" bestFit="1" customWidth="1"/>
    <col min="3" max="3" width="11.42578125" style="32" bestFit="1" customWidth="1"/>
    <col min="4" max="4" width="19" style="32" bestFit="1" customWidth="1"/>
    <col min="5" max="5" width="13.5703125" style="32" bestFit="1" customWidth="1"/>
    <col min="6" max="6" width="11.85546875" style="32" bestFit="1" customWidth="1"/>
    <col min="7" max="7" width="11.5703125" style="32" bestFit="1" customWidth="1"/>
    <col min="8" max="16384" width="9.140625" style="32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151</v>
      </c>
    </row>
    <row r="2" spans="1:7" x14ac:dyDescent="0.25">
      <c r="A2" s="2" t="s">
        <v>6</v>
      </c>
      <c r="B2" s="2" t="s">
        <v>7</v>
      </c>
      <c r="C2" t="s">
        <v>67</v>
      </c>
      <c r="D2" t="s">
        <v>68</v>
      </c>
      <c r="E2" s="6">
        <v>63.25</v>
      </c>
      <c r="F2" s="6">
        <v>120</v>
      </c>
      <c r="G2" s="9">
        <f>Tabela1[[#This Row],[V. VENDA]]-Tabela1[[#This Row],[V. COMPRA]]</f>
        <v>56.75</v>
      </c>
    </row>
    <row r="3" spans="1:7" x14ac:dyDescent="0.25">
      <c r="A3" s="2" t="s">
        <v>8</v>
      </c>
      <c r="B3" s="2" t="s">
        <v>9</v>
      </c>
      <c r="C3" t="s">
        <v>67</v>
      </c>
      <c r="D3" t="s">
        <v>68</v>
      </c>
      <c r="E3" s="6">
        <v>84.9</v>
      </c>
      <c r="F3" s="6">
        <v>229.9</v>
      </c>
      <c r="G3" s="9">
        <f>Tabela1[[#This Row],[V. VENDA]]-Tabela1[[#This Row],[V. COMPRA]]</f>
        <v>145</v>
      </c>
    </row>
    <row r="4" spans="1:7" x14ac:dyDescent="0.25">
      <c r="A4" s="2" t="s">
        <v>10</v>
      </c>
      <c r="B4" s="2" t="s">
        <v>11</v>
      </c>
      <c r="C4" t="s">
        <v>67</v>
      </c>
      <c r="D4" t="s">
        <v>69</v>
      </c>
      <c r="E4" s="6">
        <v>103.32</v>
      </c>
      <c r="F4" s="6">
        <v>159.9</v>
      </c>
      <c r="G4" s="9">
        <f>Tabela1[[#This Row],[V. VENDA]]-Tabela1[[#This Row],[V. COMPRA]]</f>
        <v>56.580000000000013</v>
      </c>
    </row>
    <row r="5" spans="1:7" x14ac:dyDescent="0.25">
      <c r="A5" s="2" t="s">
        <v>12</v>
      </c>
      <c r="B5" s="2" t="s">
        <v>13</v>
      </c>
      <c r="C5" t="s">
        <v>67</v>
      </c>
      <c r="D5" t="s">
        <v>69</v>
      </c>
      <c r="E5" s="6">
        <v>52.75</v>
      </c>
      <c r="F5" s="6">
        <v>80</v>
      </c>
      <c r="G5" s="9">
        <f>Tabela1[[#This Row],[V. VENDA]]-Tabela1[[#This Row],[V. COMPRA]]</f>
        <v>27.25</v>
      </c>
    </row>
    <row r="6" spans="1:7" x14ac:dyDescent="0.25">
      <c r="A6" s="2" t="s">
        <v>14</v>
      </c>
      <c r="B6" s="2" t="s">
        <v>13</v>
      </c>
      <c r="C6" t="s">
        <v>67</v>
      </c>
      <c r="D6" t="s">
        <v>69</v>
      </c>
      <c r="E6" s="6">
        <v>55.59</v>
      </c>
      <c r="F6" s="6">
        <v>80</v>
      </c>
      <c r="G6" s="9">
        <f>Tabela1[[#This Row],[V. VENDA]]-Tabela1[[#This Row],[V. COMPRA]]</f>
        <v>24.409999999999997</v>
      </c>
    </row>
    <row r="7" spans="1:7" x14ac:dyDescent="0.25">
      <c r="A7" s="2" t="s">
        <v>15</v>
      </c>
      <c r="B7" s="2" t="s">
        <v>13</v>
      </c>
      <c r="C7" t="s">
        <v>67</v>
      </c>
      <c r="D7" t="s">
        <v>69</v>
      </c>
      <c r="E7" s="6">
        <v>50.66</v>
      </c>
      <c r="F7" s="6">
        <v>80</v>
      </c>
      <c r="G7" s="9">
        <f>Tabela1[[#This Row],[V. VENDA]]-Tabela1[[#This Row],[V. COMPRA]]</f>
        <v>29.340000000000003</v>
      </c>
    </row>
    <row r="8" spans="1:7" x14ac:dyDescent="0.25">
      <c r="A8" s="2" t="s">
        <v>16</v>
      </c>
      <c r="B8" s="2" t="s">
        <v>13</v>
      </c>
      <c r="C8" t="s">
        <v>67</v>
      </c>
      <c r="D8" t="s">
        <v>69</v>
      </c>
      <c r="E8" s="6">
        <v>50.45</v>
      </c>
      <c r="F8" s="6">
        <v>80</v>
      </c>
      <c r="G8" s="9">
        <f>Tabela1[[#This Row],[V. VENDA]]-Tabela1[[#This Row],[V. COMPRA]]</f>
        <v>29.549999999999997</v>
      </c>
    </row>
    <row r="9" spans="1:7" x14ac:dyDescent="0.25">
      <c r="A9" s="2" t="s">
        <v>17</v>
      </c>
      <c r="B9" s="2" t="s">
        <v>17</v>
      </c>
      <c r="C9" t="s">
        <v>67</v>
      </c>
      <c r="D9" t="s">
        <v>70</v>
      </c>
      <c r="E9" s="6">
        <v>170</v>
      </c>
      <c r="F9" s="6">
        <v>175</v>
      </c>
      <c r="G9" s="9">
        <f>Tabela1[[#This Row],[V. VENDA]]-Tabela1[[#This Row],[V. COMPRA]]</f>
        <v>5</v>
      </c>
    </row>
    <row r="10" spans="1:7" x14ac:dyDescent="0.25">
      <c r="A10" s="2" t="s">
        <v>18</v>
      </c>
      <c r="B10" s="2" t="s">
        <v>19</v>
      </c>
      <c r="C10" t="s">
        <v>67</v>
      </c>
      <c r="D10" t="s">
        <v>70</v>
      </c>
      <c r="E10" s="6">
        <v>120</v>
      </c>
      <c r="F10" s="6">
        <v>150</v>
      </c>
      <c r="G10" s="9">
        <f>Tabela1[[#This Row],[V. VENDA]]-Tabela1[[#This Row],[V. COMPRA]]</f>
        <v>30</v>
      </c>
    </row>
    <row r="11" spans="1:7" x14ac:dyDescent="0.25">
      <c r="A11" s="2" t="s">
        <v>20</v>
      </c>
      <c r="B11" s="2" t="s">
        <v>21</v>
      </c>
      <c r="C11" t="s">
        <v>67</v>
      </c>
      <c r="D11" t="s">
        <v>70</v>
      </c>
      <c r="E11" s="6">
        <v>0</v>
      </c>
      <c r="F11" s="6">
        <v>159.9</v>
      </c>
      <c r="G11" s="9">
        <f>Tabela1[[#This Row],[V. VENDA]]-Tabela1[[#This Row],[V. COMPRA]]</f>
        <v>159.9</v>
      </c>
    </row>
    <row r="12" spans="1:7" x14ac:dyDescent="0.25">
      <c r="A12" s="2" t="s">
        <v>22</v>
      </c>
      <c r="B12" s="2" t="s">
        <v>21</v>
      </c>
      <c r="C12" t="s">
        <v>67</v>
      </c>
      <c r="D12" t="s">
        <v>70</v>
      </c>
      <c r="E12" s="6">
        <v>0</v>
      </c>
      <c r="F12" s="6">
        <v>142.97</v>
      </c>
      <c r="G12" s="9">
        <f>Tabela1[[#This Row],[V. VENDA]]-Tabela1[[#This Row],[V. COMPRA]]</f>
        <v>142.97</v>
      </c>
    </row>
    <row r="13" spans="1:7" x14ac:dyDescent="0.25">
      <c r="A13" s="2" t="s">
        <v>23</v>
      </c>
      <c r="B13" s="2" t="s">
        <v>24</v>
      </c>
      <c r="C13" t="s">
        <v>67</v>
      </c>
      <c r="D13" t="s">
        <v>71</v>
      </c>
      <c r="E13" s="6">
        <v>0</v>
      </c>
      <c r="F13" s="6">
        <v>213.52</v>
      </c>
      <c r="G13" s="9">
        <f>Tabela1[[#This Row],[V. VENDA]]-Tabela1[[#This Row],[V. COMPRA]]</f>
        <v>213.52</v>
      </c>
    </row>
    <row r="14" spans="1:7" x14ac:dyDescent="0.25">
      <c r="A14" s="2" t="s">
        <v>25</v>
      </c>
      <c r="B14" s="2" t="s">
        <v>26</v>
      </c>
      <c r="C14" t="s">
        <v>67</v>
      </c>
      <c r="D14" t="s">
        <v>71</v>
      </c>
      <c r="E14" s="6">
        <v>0</v>
      </c>
      <c r="F14" s="6">
        <v>130</v>
      </c>
      <c r="G14" s="9">
        <f>Tabela1[[#This Row],[V. VENDA]]-Tabela1[[#This Row],[V. COMPRA]]</f>
        <v>130</v>
      </c>
    </row>
    <row r="15" spans="1:7" x14ac:dyDescent="0.25">
      <c r="A15" s="2" t="s">
        <v>27</v>
      </c>
      <c r="B15" s="2" t="s">
        <v>28</v>
      </c>
      <c r="C15" t="s">
        <v>67</v>
      </c>
      <c r="D15" t="s">
        <v>72</v>
      </c>
      <c r="E15" s="6">
        <v>0</v>
      </c>
      <c r="F15" s="6">
        <v>319.99</v>
      </c>
      <c r="G15" s="9">
        <f>Tabela1[[#This Row],[V. VENDA]]-Tabela1[[#This Row],[V. COMPRA]]</f>
        <v>319.99</v>
      </c>
    </row>
    <row r="16" spans="1:7" x14ac:dyDescent="0.25">
      <c r="A16" s="2" t="s">
        <v>29</v>
      </c>
      <c r="B16" s="2" t="s">
        <v>26</v>
      </c>
      <c r="C16" t="s">
        <v>67</v>
      </c>
      <c r="D16" t="s">
        <v>72</v>
      </c>
      <c r="E16" s="6">
        <v>170</v>
      </c>
      <c r="F16" s="6">
        <v>120</v>
      </c>
      <c r="G16" s="9">
        <f>Tabela1[[#This Row],[V. VENDA]]-Tabela1[[#This Row],[V. COMPRA]]</f>
        <v>-50</v>
      </c>
    </row>
    <row r="17" spans="1:7" x14ac:dyDescent="0.25">
      <c r="A17" s="2" t="s">
        <v>30</v>
      </c>
      <c r="B17" s="2" t="s">
        <v>24</v>
      </c>
      <c r="C17" t="s">
        <v>67</v>
      </c>
      <c r="D17" t="s">
        <v>72</v>
      </c>
      <c r="E17" s="6">
        <v>170</v>
      </c>
      <c r="F17" s="6">
        <v>164.9</v>
      </c>
      <c r="G17" s="9">
        <f>Tabela1[[#This Row],[V. VENDA]]-Tabela1[[#This Row],[V. COMPRA]]</f>
        <v>-5.0999999999999943</v>
      </c>
    </row>
    <row r="18" spans="1:7" x14ac:dyDescent="0.25">
      <c r="A18" s="2" t="s">
        <v>31</v>
      </c>
      <c r="B18" s="2" t="s">
        <v>32</v>
      </c>
      <c r="C18" t="s">
        <v>67</v>
      </c>
      <c r="D18" t="s">
        <v>72</v>
      </c>
      <c r="E18" s="6">
        <v>0</v>
      </c>
      <c r="F18" s="6">
        <v>147</v>
      </c>
      <c r="G18" s="9">
        <f>Tabela1[[#This Row],[V. VENDA]]-Tabela1[[#This Row],[V. COMPRA]]</f>
        <v>147</v>
      </c>
    </row>
    <row r="19" spans="1:7" x14ac:dyDescent="0.25">
      <c r="A19" s="2" t="s">
        <v>33</v>
      </c>
      <c r="B19" s="2" t="s">
        <v>11</v>
      </c>
      <c r="C19" t="s">
        <v>67</v>
      </c>
      <c r="D19" t="s">
        <v>73</v>
      </c>
      <c r="E19" s="6">
        <v>80</v>
      </c>
      <c r="F19" s="6">
        <v>138.9</v>
      </c>
      <c r="G19" s="9">
        <f>Tabela1[[#This Row],[V. VENDA]]-Tabela1[[#This Row],[V. COMPRA]]</f>
        <v>58.900000000000006</v>
      </c>
    </row>
    <row r="20" spans="1:7" x14ac:dyDescent="0.25">
      <c r="A20" s="2" t="s">
        <v>34</v>
      </c>
      <c r="B20" s="2" t="s">
        <v>19</v>
      </c>
      <c r="C20" t="s">
        <v>67</v>
      </c>
      <c r="D20" t="s">
        <v>73</v>
      </c>
      <c r="E20" s="6">
        <v>100</v>
      </c>
      <c r="F20" s="6">
        <v>218.5</v>
      </c>
      <c r="G20" s="9">
        <f>Tabela1[[#This Row],[V. VENDA]]-Tabela1[[#This Row],[V. COMPRA]]</f>
        <v>118.5</v>
      </c>
    </row>
    <row r="21" spans="1:7" x14ac:dyDescent="0.25">
      <c r="A21" s="2" t="s">
        <v>35</v>
      </c>
      <c r="B21" s="2" t="s">
        <v>19</v>
      </c>
      <c r="C21" t="s">
        <v>67</v>
      </c>
      <c r="D21" t="s">
        <v>73</v>
      </c>
      <c r="E21" s="6">
        <v>100</v>
      </c>
      <c r="F21" s="6">
        <v>189</v>
      </c>
      <c r="G21" s="9">
        <f>Tabela1[[#This Row],[V. VENDA]]-Tabela1[[#This Row],[V. COMPRA]]</f>
        <v>89</v>
      </c>
    </row>
    <row r="22" spans="1:7" x14ac:dyDescent="0.25">
      <c r="A22" s="2" t="s">
        <v>36</v>
      </c>
      <c r="B22" s="2" t="s">
        <v>37</v>
      </c>
      <c r="C22" t="s">
        <v>67</v>
      </c>
      <c r="D22" t="s">
        <v>74</v>
      </c>
      <c r="E22" s="6">
        <v>80</v>
      </c>
      <c r="F22" s="6">
        <v>127.9</v>
      </c>
      <c r="G22" s="9">
        <f>Tabela1[[#This Row],[V. VENDA]]-Tabela1[[#This Row],[V. COMPRA]]</f>
        <v>47.900000000000006</v>
      </c>
    </row>
    <row r="23" spans="1:7" x14ac:dyDescent="0.25">
      <c r="A23" s="2" t="s">
        <v>38</v>
      </c>
      <c r="B23" s="2" t="s">
        <v>38</v>
      </c>
      <c r="C23" t="s">
        <v>67</v>
      </c>
      <c r="D23" t="s">
        <v>74</v>
      </c>
      <c r="E23" s="6">
        <v>80</v>
      </c>
      <c r="F23" s="6">
        <v>149.99</v>
      </c>
      <c r="G23" s="9">
        <f>Tabela1[[#This Row],[V. VENDA]]-Tabela1[[#This Row],[V. COMPRA]]</f>
        <v>69.990000000000009</v>
      </c>
    </row>
    <row r="24" spans="1:7" x14ac:dyDescent="0.25">
      <c r="A24" s="2" t="s">
        <v>39</v>
      </c>
      <c r="B24" s="2" t="s">
        <v>40</v>
      </c>
      <c r="C24" t="s">
        <v>67</v>
      </c>
      <c r="D24" t="s">
        <v>74</v>
      </c>
      <c r="E24" s="6">
        <v>98.9</v>
      </c>
      <c r="F24" s="6">
        <v>150.9</v>
      </c>
      <c r="G24" s="9">
        <f>Tabela1[[#This Row],[V. VENDA]]-Tabela1[[#This Row],[V. COMPRA]]</f>
        <v>52</v>
      </c>
    </row>
    <row r="25" spans="1:7" x14ac:dyDescent="0.25">
      <c r="A25" s="2" t="s">
        <v>41</v>
      </c>
      <c r="B25" s="2" t="s">
        <v>40</v>
      </c>
      <c r="C25" t="s">
        <v>67</v>
      </c>
      <c r="D25" t="s">
        <v>74</v>
      </c>
      <c r="E25" s="6">
        <v>99.9</v>
      </c>
      <c r="F25" s="6">
        <v>150.9</v>
      </c>
      <c r="G25" s="9">
        <f>Tabela1[[#This Row],[V. VENDA]]-Tabela1[[#This Row],[V. COMPRA]]</f>
        <v>51</v>
      </c>
    </row>
    <row r="26" spans="1:7" x14ac:dyDescent="0.25">
      <c r="A26" s="2" t="s">
        <v>42</v>
      </c>
      <c r="B26" s="2" t="s">
        <v>26</v>
      </c>
      <c r="C26" t="s">
        <v>67</v>
      </c>
      <c r="D26" t="s">
        <v>75</v>
      </c>
      <c r="E26" s="6">
        <v>150</v>
      </c>
      <c r="F26" s="6">
        <v>130.5</v>
      </c>
      <c r="G26" s="9">
        <f>Tabela1[[#This Row],[V. VENDA]]-Tabela1[[#This Row],[V. COMPRA]]</f>
        <v>-19.5</v>
      </c>
    </row>
    <row r="27" spans="1:7" x14ac:dyDescent="0.25">
      <c r="A27" s="2" t="s">
        <v>43</v>
      </c>
      <c r="B27" s="2" t="s">
        <v>40</v>
      </c>
      <c r="C27" t="s">
        <v>67</v>
      </c>
      <c r="D27" t="s">
        <v>75</v>
      </c>
      <c r="E27" s="6">
        <v>145</v>
      </c>
      <c r="F27" s="6">
        <v>150.9</v>
      </c>
      <c r="G27" s="9">
        <f>Tabela1[[#This Row],[V. VENDA]]-Tabela1[[#This Row],[V. COMPRA]]</f>
        <v>5.9000000000000057</v>
      </c>
    </row>
    <row r="28" spans="1:7" x14ac:dyDescent="0.25">
      <c r="A28" s="2" t="s">
        <v>44</v>
      </c>
      <c r="B28" s="2" t="s">
        <v>45</v>
      </c>
      <c r="C28" t="s">
        <v>67</v>
      </c>
      <c r="D28" t="s">
        <v>75</v>
      </c>
      <c r="E28" s="6">
        <v>0</v>
      </c>
      <c r="F28" s="6">
        <v>139.9</v>
      </c>
      <c r="G28" s="9">
        <f>Tabela1[[#This Row],[V. VENDA]]-Tabela1[[#This Row],[V. COMPRA]]</f>
        <v>139.9</v>
      </c>
    </row>
    <row r="29" spans="1:7" x14ac:dyDescent="0.25">
      <c r="A29" s="2" t="s">
        <v>46</v>
      </c>
      <c r="B29" s="2" t="s">
        <v>45</v>
      </c>
      <c r="C29" t="s">
        <v>67</v>
      </c>
      <c r="D29" t="s">
        <v>75</v>
      </c>
      <c r="E29" s="6">
        <v>145</v>
      </c>
      <c r="F29" s="6">
        <v>134.99</v>
      </c>
      <c r="G29" s="9">
        <f>Tabela1[[#This Row],[V. VENDA]]-Tabela1[[#This Row],[V. COMPRA]]</f>
        <v>-10.009999999999991</v>
      </c>
    </row>
    <row r="30" spans="1:7" x14ac:dyDescent="0.25">
      <c r="A30" s="2" t="s">
        <v>47</v>
      </c>
      <c r="B30" s="2" t="s">
        <v>40</v>
      </c>
      <c r="C30" t="s">
        <v>67</v>
      </c>
      <c r="D30" t="s">
        <v>76</v>
      </c>
      <c r="E30" s="6">
        <v>142.4</v>
      </c>
      <c r="F30" s="6">
        <v>150.9</v>
      </c>
      <c r="G30" s="9">
        <f>Tabela1[[#This Row],[V. VENDA]]-Tabela1[[#This Row],[V. COMPRA]]</f>
        <v>8.5</v>
      </c>
    </row>
    <row r="31" spans="1:7" x14ac:dyDescent="0.25">
      <c r="A31" s="2" t="s">
        <v>48</v>
      </c>
      <c r="B31" s="2" t="s">
        <v>49</v>
      </c>
      <c r="C31" t="s">
        <v>67</v>
      </c>
      <c r="D31" t="s">
        <v>76</v>
      </c>
      <c r="E31" s="6">
        <v>129.9</v>
      </c>
      <c r="F31" s="6">
        <v>271.89999999999998</v>
      </c>
      <c r="G31" s="9">
        <f>Tabela1[[#This Row],[V. VENDA]]-Tabela1[[#This Row],[V. COMPRA]]</f>
        <v>141.99999999999997</v>
      </c>
    </row>
    <row r="32" spans="1:7" x14ac:dyDescent="0.25">
      <c r="A32" s="2" t="s">
        <v>50</v>
      </c>
      <c r="B32" s="2" t="s">
        <v>49</v>
      </c>
      <c r="C32" t="s">
        <v>67</v>
      </c>
      <c r="D32" t="s">
        <v>76</v>
      </c>
      <c r="E32" s="6">
        <v>129.9</v>
      </c>
      <c r="F32" s="6">
        <v>154.6</v>
      </c>
      <c r="G32" s="9">
        <f>Tabela1[[#This Row],[V. VENDA]]-Tabela1[[#This Row],[V. COMPRA]]</f>
        <v>24.699999999999989</v>
      </c>
    </row>
    <row r="33" spans="1:7" x14ac:dyDescent="0.25">
      <c r="A33" s="2" t="s">
        <v>51</v>
      </c>
      <c r="B33" s="2" t="s">
        <v>52</v>
      </c>
      <c r="C33" t="s">
        <v>67</v>
      </c>
      <c r="D33" t="s">
        <v>76</v>
      </c>
      <c r="E33" s="6">
        <v>129.9</v>
      </c>
      <c r="F33" s="6">
        <v>139.99</v>
      </c>
      <c r="G33" s="9">
        <f>Tabela1[[#This Row],[V. VENDA]]-Tabela1[[#This Row],[V. COMPRA]]</f>
        <v>10.090000000000003</v>
      </c>
    </row>
    <row r="34" spans="1:7" x14ac:dyDescent="0.25">
      <c r="A34" s="2" t="s">
        <v>53</v>
      </c>
      <c r="B34" s="2" t="s">
        <v>52</v>
      </c>
      <c r="C34" t="s">
        <v>67</v>
      </c>
      <c r="D34" t="s">
        <v>77</v>
      </c>
      <c r="E34" s="6">
        <v>130</v>
      </c>
      <c r="F34" s="6">
        <v>169.99</v>
      </c>
      <c r="G34" s="9">
        <f>Tabela1[[#This Row],[V. VENDA]]-Tabela1[[#This Row],[V. COMPRA]]</f>
        <v>39.990000000000009</v>
      </c>
    </row>
    <row r="35" spans="1:7" x14ac:dyDescent="0.25">
      <c r="A35" s="2" t="s">
        <v>54</v>
      </c>
      <c r="B35" s="2" t="s">
        <v>55</v>
      </c>
      <c r="C35" t="s">
        <v>67</v>
      </c>
      <c r="D35" t="s">
        <v>77</v>
      </c>
      <c r="E35" s="6">
        <v>120</v>
      </c>
      <c r="F35" s="6">
        <v>125</v>
      </c>
      <c r="G35" s="9">
        <f>Tabela1[[#This Row],[V. VENDA]]-Tabela1[[#This Row],[V. COMPRA]]</f>
        <v>5</v>
      </c>
    </row>
    <row r="36" spans="1:7" x14ac:dyDescent="0.25">
      <c r="A36" s="2" t="s">
        <v>56</v>
      </c>
      <c r="B36" s="2" t="s">
        <v>37</v>
      </c>
      <c r="C36" t="s">
        <v>67</v>
      </c>
      <c r="D36" t="s">
        <v>77</v>
      </c>
      <c r="E36" s="6">
        <v>125</v>
      </c>
      <c r="F36" s="6">
        <v>122.5</v>
      </c>
      <c r="G36" s="9">
        <f>Tabela1[[#This Row],[V. VENDA]]-Tabela1[[#This Row],[V. COMPRA]]</f>
        <v>-2.5</v>
      </c>
    </row>
    <row r="37" spans="1:7" x14ac:dyDescent="0.25">
      <c r="A37" s="2" t="s">
        <v>57</v>
      </c>
      <c r="B37" s="2" t="s">
        <v>58</v>
      </c>
      <c r="C37" t="s">
        <v>67</v>
      </c>
      <c r="D37" t="s">
        <v>77</v>
      </c>
      <c r="E37" s="6">
        <v>125</v>
      </c>
      <c r="F37" s="6">
        <v>130</v>
      </c>
      <c r="G37" s="9">
        <f>Tabela1[[#This Row],[V. VENDA]]-Tabela1[[#This Row],[V. COMPRA]]</f>
        <v>5</v>
      </c>
    </row>
    <row r="38" spans="1:7" x14ac:dyDescent="0.25">
      <c r="A38" s="2" t="s">
        <v>59</v>
      </c>
      <c r="B38" s="2" t="s">
        <v>60</v>
      </c>
      <c r="C38" t="s">
        <v>67</v>
      </c>
      <c r="D38" t="s">
        <v>77</v>
      </c>
      <c r="E38" s="6">
        <v>150</v>
      </c>
      <c r="F38" s="6">
        <v>200</v>
      </c>
      <c r="G38" s="9">
        <f>Tabela1[[#This Row],[V. VENDA]]-Tabela1[[#This Row],[V. COMPRA]]</f>
        <v>50</v>
      </c>
    </row>
    <row r="39" spans="1:7" x14ac:dyDescent="0.25">
      <c r="A39" s="2" t="s">
        <v>61</v>
      </c>
      <c r="B39" s="2" t="s">
        <v>60</v>
      </c>
      <c r="C39" t="s">
        <v>67</v>
      </c>
      <c r="D39" t="s">
        <v>77</v>
      </c>
      <c r="E39" s="6">
        <v>180</v>
      </c>
      <c r="F39" s="6">
        <v>200</v>
      </c>
      <c r="G39" s="9">
        <f>Tabela1[[#This Row],[V. VENDA]]-Tabela1[[#This Row],[V. COMPRA]]</f>
        <v>20</v>
      </c>
    </row>
    <row r="40" spans="1:7" x14ac:dyDescent="0.25">
      <c r="A40" s="2" t="s">
        <v>62</v>
      </c>
      <c r="B40" s="2" t="s">
        <v>40</v>
      </c>
      <c r="C40" t="s">
        <v>67</v>
      </c>
      <c r="D40" t="s">
        <v>78</v>
      </c>
      <c r="E40" s="6">
        <v>129.9</v>
      </c>
      <c r="F40" s="6">
        <v>150.9</v>
      </c>
      <c r="G40" s="9">
        <f>Tabela1[[#This Row],[V. VENDA]]-Tabela1[[#This Row],[V. COMPRA]]</f>
        <v>21</v>
      </c>
    </row>
    <row r="41" spans="1:7" x14ac:dyDescent="0.25">
      <c r="A41" s="2" t="s">
        <v>63</v>
      </c>
      <c r="B41" s="2" t="s">
        <v>7</v>
      </c>
      <c r="C41" t="s">
        <v>67</v>
      </c>
      <c r="D41" t="s">
        <v>79</v>
      </c>
      <c r="E41" s="6">
        <v>150</v>
      </c>
      <c r="F41" s="6">
        <v>189.9</v>
      </c>
      <c r="G41" s="9">
        <f>Tabela1[[#This Row],[V. VENDA]]-Tabela1[[#This Row],[V. COMPRA]]</f>
        <v>39.900000000000006</v>
      </c>
    </row>
    <row r="42" spans="1:7" x14ac:dyDescent="0.25">
      <c r="A42" s="2" t="s">
        <v>64</v>
      </c>
      <c r="B42" s="2" t="s">
        <v>65</v>
      </c>
      <c r="C42" t="s">
        <v>67</v>
      </c>
      <c r="D42" t="s">
        <v>80</v>
      </c>
      <c r="E42" s="6">
        <v>159.9</v>
      </c>
      <c r="F42" s="6">
        <v>175.22</v>
      </c>
      <c r="G42" s="9">
        <f>Tabela1[[#This Row],[V. VENDA]]-Tabela1[[#This Row],[V. COMPRA]]</f>
        <v>15.319999999999993</v>
      </c>
    </row>
    <row r="43" spans="1:7" x14ac:dyDescent="0.25">
      <c r="A43" s="3" t="s">
        <v>66</v>
      </c>
      <c r="B43" s="3" t="s">
        <v>65</v>
      </c>
      <c r="C43" t="s">
        <v>67</v>
      </c>
      <c r="D43" t="s">
        <v>80</v>
      </c>
      <c r="E43" s="6">
        <v>129.9</v>
      </c>
      <c r="F43" s="6">
        <v>134.9</v>
      </c>
      <c r="G43" s="9">
        <f>Tabela1[[#This Row],[V. VENDA]]-Tabela1[[#This Row],[V. COMPRA]]</f>
        <v>5</v>
      </c>
    </row>
    <row r="44" spans="1:7" x14ac:dyDescent="0.25">
      <c r="A44" s="2" t="s">
        <v>81</v>
      </c>
      <c r="B44" s="2" t="s">
        <v>82</v>
      </c>
      <c r="C44" t="s">
        <v>121</v>
      </c>
      <c r="D44" s="2" t="s">
        <v>69</v>
      </c>
      <c r="E44" s="7">
        <v>99.9</v>
      </c>
      <c r="F44" s="7">
        <v>80</v>
      </c>
      <c r="G44" s="9">
        <f>Tabela1[[#This Row],[V. VENDA]]-Tabela1[[#This Row],[V. COMPRA]]</f>
        <v>-19.900000000000006</v>
      </c>
    </row>
    <row r="45" spans="1:7" x14ac:dyDescent="0.25">
      <c r="A45" s="2" t="s">
        <v>83</v>
      </c>
      <c r="B45" s="2" t="s">
        <v>82</v>
      </c>
      <c r="C45" t="s">
        <v>121</v>
      </c>
      <c r="D45" s="2" t="s">
        <v>70</v>
      </c>
      <c r="E45" s="7">
        <v>99</v>
      </c>
      <c r="F45" s="7">
        <v>80</v>
      </c>
      <c r="G45" s="9">
        <f>Tabela1[[#This Row],[V. VENDA]]-Tabela1[[#This Row],[V. COMPRA]]</f>
        <v>-19</v>
      </c>
    </row>
    <row r="46" spans="1:7" x14ac:dyDescent="0.25">
      <c r="A46" s="2" t="s">
        <v>84</v>
      </c>
      <c r="B46" s="2" t="s">
        <v>85</v>
      </c>
      <c r="C46" t="s">
        <v>121</v>
      </c>
      <c r="D46" s="2" t="s">
        <v>70</v>
      </c>
      <c r="E46" s="7">
        <v>0</v>
      </c>
      <c r="F46" s="7">
        <v>13</v>
      </c>
      <c r="G46" s="9">
        <f>Tabela1[[#This Row],[V. VENDA]]-Tabela1[[#This Row],[V. COMPRA]]</f>
        <v>13</v>
      </c>
    </row>
    <row r="47" spans="1:7" x14ac:dyDescent="0.25">
      <c r="A47" s="2" t="s">
        <v>86</v>
      </c>
      <c r="B47" s="2" t="s">
        <v>85</v>
      </c>
      <c r="C47" t="s">
        <v>121</v>
      </c>
      <c r="D47" s="2" t="s">
        <v>70</v>
      </c>
      <c r="E47" s="7">
        <v>0</v>
      </c>
      <c r="F47" s="7">
        <v>13</v>
      </c>
      <c r="G47" s="9">
        <f>Tabela1[[#This Row],[V. VENDA]]-Tabela1[[#This Row],[V. COMPRA]]</f>
        <v>13</v>
      </c>
    </row>
    <row r="48" spans="1:7" x14ac:dyDescent="0.25">
      <c r="A48" s="2" t="s">
        <v>87</v>
      </c>
      <c r="B48" s="2" t="s">
        <v>85</v>
      </c>
      <c r="C48" t="s">
        <v>121</v>
      </c>
      <c r="D48" s="2" t="s">
        <v>70</v>
      </c>
      <c r="E48" s="7">
        <v>0</v>
      </c>
      <c r="F48" s="7">
        <v>13</v>
      </c>
      <c r="G48" s="9">
        <f>Tabela1[[#This Row],[V. VENDA]]-Tabela1[[#This Row],[V. COMPRA]]</f>
        <v>13</v>
      </c>
    </row>
    <row r="49" spans="1:7" x14ac:dyDescent="0.25">
      <c r="A49" s="2" t="s">
        <v>88</v>
      </c>
      <c r="B49" s="2" t="s">
        <v>85</v>
      </c>
      <c r="C49" t="s">
        <v>121</v>
      </c>
      <c r="D49" s="2" t="s">
        <v>70</v>
      </c>
      <c r="E49" s="7">
        <v>0</v>
      </c>
      <c r="F49" s="7">
        <v>13</v>
      </c>
      <c r="G49" s="9">
        <f>Tabela1[[#This Row],[V. VENDA]]-Tabela1[[#This Row],[V. COMPRA]]</f>
        <v>13</v>
      </c>
    </row>
    <row r="50" spans="1:7" x14ac:dyDescent="0.25">
      <c r="A50" s="2" t="s">
        <v>89</v>
      </c>
      <c r="B50" s="2" t="s">
        <v>85</v>
      </c>
      <c r="C50" t="s">
        <v>121</v>
      </c>
      <c r="D50" s="2" t="s">
        <v>70</v>
      </c>
      <c r="E50" s="7">
        <v>0</v>
      </c>
      <c r="F50" s="7">
        <v>13</v>
      </c>
      <c r="G50" s="9">
        <f>Tabela1[[#This Row],[V. VENDA]]-Tabela1[[#This Row],[V. COMPRA]]</f>
        <v>13</v>
      </c>
    </row>
    <row r="51" spans="1:7" x14ac:dyDescent="0.25">
      <c r="A51" s="2" t="s">
        <v>89</v>
      </c>
      <c r="B51" s="2" t="s">
        <v>85</v>
      </c>
      <c r="C51" t="s">
        <v>121</v>
      </c>
      <c r="D51" s="2" t="s">
        <v>70</v>
      </c>
      <c r="E51" s="7">
        <v>0</v>
      </c>
      <c r="F51" s="7">
        <v>13</v>
      </c>
      <c r="G51" s="9">
        <f>Tabela1[[#This Row],[V. VENDA]]-Tabela1[[#This Row],[V. COMPRA]]</f>
        <v>13</v>
      </c>
    </row>
    <row r="52" spans="1:7" x14ac:dyDescent="0.25">
      <c r="A52" s="2" t="s">
        <v>90</v>
      </c>
      <c r="B52" s="2" t="s">
        <v>91</v>
      </c>
      <c r="C52" t="s">
        <v>121</v>
      </c>
      <c r="D52" s="2" t="s">
        <v>70</v>
      </c>
      <c r="E52" s="7">
        <v>0</v>
      </c>
      <c r="F52" s="7">
        <v>13</v>
      </c>
      <c r="G52" s="9">
        <f>Tabela1[[#This Row],[V. VENDA]]-Tabela1[[#This Row],[V. COMPRA]]</f>
        <v>13</v>
      </c>
    </row>
    <row r="53" spans="1:7" x14ac:dyDescent="0.25">
      <c r="A53" s="2" t="s">
        <v>92</v>
      </c>
      <c r="B53" s="2" t="s">
        <v>91</v>
      </c>
      <c r="C53" t="s">
        <v>121</v>
      </c>
      <c r="D53" s="2" t="s">
        <v>70</v>
      </c>
      <c r="E53" s="7">
        <v>0</v>
      </c>
      <c r="F53" s="7">
        <v>13</v>
      </c>
      <c r="G53" s="9">
        <f>Tabela1[[#This Row],[V. VENDA]]-Tabela1[[#This Row],[V. COMPRA]]</f>
        <v>13</v>
      </c>
    </row>
    <row r="54" spans="1:7" x14ac:dyDescent="0.25">
      <c r="A54" s="2" t="s">
        <v>93</v>
      </c>
      <c r="B54" s="2" t="s">
        <v>91</v>
      </c>
      <c r="C54" t="s">
        <v>121</v>
      </c>
      <c r="D54" s="2" t="s">
        <v>70</v>
      </c>
      <c r="E54" s="7">
        <v>0</v>
      </c>
      <c r="F54" s="7">
        <v>13</v>
      </c>
      <c r="G54" s="9">
        <f>Tabela1[[#This Row],[V. VENDA]]-Tabela1[[#This Row],[V. COMPRA]]</f>
        <v>13</v>
      </c>
    </row>
    <row r="55" spans="1:7" x14ac:dyDescent="0.25">
      <c r="A55" s="2" t="s">
        <v>94</v>
      </c>
      <c r="B55" s="2" t="s">
        <v>91</v>
      </c>
      <c r="C55" t="s">
        <v>121</v>
      </c>
      <c r="D55" s="2" t="s">
        <v>70</v>
      </c>
      <c r="E55" s="7">
        <v>0</v>
      </c>
      <c r="F55" s="7">
        <v>13</v>
      </c>
      <c r="G55" s="9">
        <f>Tabela1[[#This Row],[V. VENDA]]-Tabela1[[#This Row],[V. COMPRA]]</f>
        <v>13</v>
      </c>
    </row>
    <row r="56" spans="1:7" x14ac:dyDescent="0.25">
      <c r="A56" s="2" t="s">
        <v>95</v>
      </c>
      <c r="B56" s="2" t="s">
        <v>96</v>
      </c>
      <c r="C56" t="s">
        <v>121</v>
      </c>
      <c r="D56" s="2" t="s">
        <v>70</v>
      </c>
      <c r="E56" s="7">
        <v>0</v>
      </c>
      <c r="F56" s="7">
        <v>13</v>
      </c>
      <c r="G56" s="9">
        <f>Tabela1[[#This Row],[V. VENDA]]-Tabela1[[#This Row],[V. COMPRA]]</f>
        <v>13</v>
      </c>
    </row>
    <row r="57" spans="1:7" x14ac:dyDescent="0.25">
      <c r="A57" s="2" t="s">
        <v>97</v>
      </c>
      <c r="B57" s="2" t="s">
        <v>96</v>
      </c>
      <c r="C57" t="s">
        <v>121</v>
      </c>
      <c r="D57" s="2" t="s">
        <v>70</v>
      </c>
      <c r="E57" s="7">
        <v>0</v>
      </c>
      <c r="F57" s="7">
        <v>13</v>
      </c>
      <c r="G57" s="9">
        <f>Tabela1[[#This Row],[V. VENDA]]-Tabela1[[#This Row],[V. COMPRA]]</f>
        <v>13</v>
      </c>
    </row>
    <row r="58" spans="1:7" x14ac:dyDescent="0.25">
      <c r="A58" s="2" t="s">
        <v>98</v>
      </c>
      <c r="B58" s="2" t="s">
        <v>96</v>
      </c>
      <c r="C58" t="s">
        <v>121</v>
      </c>
      <c r="D58" s="2" t="s">
        <v>70</v>
      </c>
      <c r="E58" s="7">
        <v>0</v>
      </c>
      <c r="F58" s="7">
        <v>13</v>
      </c>
      <c r="G58" s="9">
        <f>Tabela1[[#This Row],[V. VENDA]]-Tabela1[[#This Row],[V. COMPRA]]</f>
        <v>13</v>
      </c>
    </row>
    <row r="59" spans="1:7" x14ac:dyDescent="0.25">
      <c r="A59" s="2" t="s">
        <v>99</v>
      </c>
      <c r="B59" s="2" t="s">
        <v>96</v>
      </c>
      <c r="C59" t="s">
        <v>121</v>
      </c>
      <c r="D59" s="2" t="s">
        <v>70</v>
      </c>
      <c r="E59" s="7">
        <v>0</v>
      </c>
      <c r="F59" s="7">
        <v>13</v>
      </c>
      <c r="G59" s="9">
        <f>Tabela1[[#This Row],[V. VENDA]]-Tabela1[[#This Row],[V. COMPRA]]</f>
        <v>13</v>
      </c>
    </row>
    <row r="60" spans="1:7" x14ac:dyDescent="0.25">
      <c r="A60" s="2" t="s">
        <v>100</v>
      </c>
      <c r="B60" s="2" t="s">
        <v>96</v>
      </c>
      <c r="C60" t="s">
        <v>121</v>
      </c>
      <c r="D60" s="2" t="s">
        <v>70</v>
      </c>
      <c r="E60" s="7">
        <v>0</v>
      </c>
      <c r="F60" s="7">
        <v>13</v>
      </c>
      <c r="G60" s="9">
        <f>Tabela1[[#This Row],[V. VENDA]]-Tabela1[[#This Row],[V. COMPRA]]</f>
        <v>13</v>
      </c>
    </row>
    <row r="61" spans="1:7" x14ac:dyDescent="0.25">
      <c r="A61" s="2" t="s">
        <v>101</v>
      </c>
      <c r="B61" s="2" t="s">
        <v>102</v>
      </c>
      <c r="C61" t="s">
        <v>121</v>
      </c>
      <c r="D61" s="2" t="s">
        <v>71</v>
      </c>
      <c r="E61" s="7">
        <v>2.5</v>
      </c>
      <c r="F61" s="7">
        <v>3</v>
      </c>
      <c r="G61" s="9">
        <f>Tabela1[[#This Row],[V. VENDA]]-Tabela1[[#This Row],[V. COMPRA]]</f>
        <v>0.5</v>
      </c>
    </row>
    <row r="62" spans="1:7" x14ac:dyDescent="0.25">
      <c r="A62" s="2" t="s">
        <v>103</v>
      </c>
      <c r="B62" s="2" t="s">
        <v>102</v>
      </c>
      <c r="C62" t="s">
        <v>121</v>
      </c>
      <c r="D62" s="2" t="s">
        <v>71</v>
      </c>
      <c r="E62" s="7">
        <v>2.5</v>
      </c>
      <c r="F62" s="7">
        <v>3</v>
      </c>
      <c r="G62" s="9">
        <f>Tabela1[[#This Row],[V. VENDA]]-Tabela1[[#This Row],[V. COMPRA]]</f>
        <v>0.5</v>
      </c>
    </row>
    <row r="63" spans="1:7" x14ac:dyDescent="0.25">
      <c r="A63" s="2" t="s">
        <v>104</v>
      </c>
      <c r="B63" s="2" t="s">
        <v>102</v>
      </c>
      <c r="C63" t="s">
        <v>121</v>
      </c>
      <c r="D63" s="2" t="s">
        <v>71</v>
      </c>
      <c r="E63" s="7">
        <v>2.5</v>
      </c>
      <c r="F63" s="7">
        <v>3</v>
      </c>
      <c r="G63" s="9">
        <f>Tabela1[[#This Row],[V. VENDA]]-Tabela1[[#This Row],[V. COMPRA]]</f>
        <v>0.5</v>
      </c>
    </row>
    <row r="64" spans="1:7" x14ac:dyDescent="0.25">
      <c r="A64" s="2" t="s">
        <v>105</v>
      </c>
      <c r="B64" s="2" t="s">
        <v>102</v>
      </c>
      <c r="C64" t="s">
        <v>121</v>
      </c>
      <c r="D64" s="2" t="s">
        <v>71</v>
      </c>
      <c r="E64" s="7">
        <v>2.5</v>
      </c>
      <c r="F64" s="7">
        <v>3</v>
      </c>
      <c r="G64" s="9">
        <f>Tabela1[[#This Row],[V. VENDA]]-Tabela1[[#This Row],[V. COMPRA]]</f>
        <v>0.5</v>
      </c>
    </row>
    <row r="65" spans="1:7" x14ac:dyDescent="0.25">
      <c r="A65" s="2" t="s">
        <v>106</v>
      </c>
      <c r="B65" s="2" t="s">
        <v>102</v>
      </c>
      <c r="C65" t="s">
        <v>121</v>
      </c>
      <c r="D65" s="2" t="s">
        <v>71</v>
      </c>
      <c r="E65" s="7">
        <v>2.5</v>
      </c>
      <c r="F65" s="7">
        <v>3</v>
      </c>
      <c r="G65" s="9">
        <f>Tabela1[[#This Row],[V. VENDA]]-Tabela1[[#This Row],[V. COMPRA]]</f>
        <v>0.5</v>
      </c>
    </row>
    <row r="66" spans="1:7" x14ac:dyDescent="0.25">
      <c r="A66" s="2" t="s">
        <v>107</v>
      </c>
      <c r="B66" s="2" t="s">
        <v>82</v>
      </c>
      <c r="C66" t="s">
        <v>121</v>
      </c>
      <c r="D66" s="2" t="s">
        <v>71</v>
      </c>
      <c r="E66" s="7">
        <v>99</v>
      </c>
      <c r="F66" s="7">
        <v>80</v>
      </c>
      <c r="G66" s="9">
        <f>Tabela1[[#This Row],[V. VENDA]]-Tabela1[[#This Row],[V. COMPRA]]</f>
        <v>-19</v>
      </c>
    </row>
    <row r="67" spans="1:7" x14ac:dyDescent="0.25">
      <c r="A67" s="2" t="s">
        <v>108</v>
      </c>
      <c r="B67" s="2" t="s">
        <v>109</v>
      </c>
      <c r="C67" t="s">
        <v>121</v>
      </c>
      <c r="D67" s="2" t="s">
        <v>71</v>
      </c>
      <c r="E67" s="7">
        <v>0</v>
      </c>
      <c r="F67" s="7">
        <v>13</v>
      </c>
      <c r="G67" s="9">
        <f>Tabela1[[#This Row],[V. VENDA]]-Tabela1[[#This Row],[V. COMPRA]]</f>
        <v>13</v>
      </c>
    </row>
    <row r="68" spans="1:7" x14ac:dyDescent="0.25">
      <c r="A68" s="2" t="s">
        <v>110</v>
      </c>
      <c r="B68" s="2" t="s">
        <v>109</v>
      </c>
      <c r="C68" t="s">
        <v>121</v>
      </c>
      <c r="D68" s="2" t="s">
        <v>71</v>
      </c>
      <c r="E68" s="7">
        <v>0</v>
      </c>
      <c r="F68" s="7">
        <v>13</v>
      </c>
      <c r="G68" s="9">
        <f>Tabela1[[#This Row],[V. VENDA]]-Tabela1[[#This Row],[V. COMPRA]]</f>
        <v>13</v>
      </c>
    </row>
    <row r="69" spans="1:7" x14ac:dyDescent="0.25">
      <c r="A69" s="2" t="s">
        <v>111</v>
      </c>
      <c r="B69" s="2" t="s">
        <v>109</v>
      </c>
      <c r="C69" t="s">
        <v>121</v>
      </c>
      <c r="D69" s="2" t="s">
        <v>71</v>
      </c>
      <c r="E69" s="7">
        <v>0</v>
      </c>
      <c r="F69" s="7">
        <v>13</v>
      </c>
      <c r="G69" s="9">
        <f>Tabela1[[#This Row],[V. VENDA]]-Tabela1[[#This Row],[V. COMPRA]]</f>
        <v>13</v>
      </c>
    </row>
    <row r="70" spans="1:7" x14ac:dyDescent="0.25">
      <c r="A70" s="2" t="s">
        <v>112</v>
      </c>
      <c r="B70" s="2" t="s">
        <v>109</v>
      </c>
      <c r="C70" t="s">
        <v>121</v>
      </c>
      <c r="D70" s="2" t="s">
        <v>71</v>
      </c>
      <c r="E70" s="7">
        <v>0</v>
      </c>
      <c r="F70" s="7">
        <v>13</v>
      </c>
      <c r="G70" s="9">
        <f>Tabela1[[#This Row],[V. VENDA]]-Tabela1[[#This Row],[V. COMPRA]]</f>
        <v>13</v>
      </c>
    </row>
    <row r="71" spans="1:7" x14ac:dyDescent="0.25">
      <c r="A71" s="2" t="s">
        <v>112</v>
      </c>
      <c r="B71" s="2" t="s">
        <v>109</v>
      </c>
      <c r="C71" t="s">
        <v>121</v>
      </c>
      <c r="D71" s="2" t="s">
        <v>71</v>
      </c>
      <c r="E71" s="7">
        <v>0</v>
      </c>
      <c r="F71" s="7">
        <v>13</v>
      </c>
      <c r="G71" s="9">
        <f>Tabela1[[#This Row],[V. VENDA]]-Tabela1[[#This Row],[V. COMPRA]]</f>
        <v>13</v>
      </c>
    </row>
    <row r="72" spans="1:7" x14ac:dyDescent="0.25">
      <c r="A72" s="2" t="s">
        <v>113</v>
      </c>
      <c r="B72" s="2" t="s">
        <v>60</v>
      </c>
      <c r="C72" t="s">
        <v>121</v>
      </c>
      <c r="D72" s="2" t="s">
        <v>78</v>
      </c>
      <c r="E72" s="7">
        <v>14</v>
      </c>
      <c r="F72" s="7">
        <v>20</v>
      </c>
      <c r="G72" s="9">
        <f>Tabela1[[#This Row],[V. VENDA]]-Tabela1[[#This Row],[V. COMPRA]]</f>
        <v>6</v>
      </c>
    </row>
    <row r="73" spans="1:7" x14ac:dyDescent="0.25">
      <c r="A73" s="2" t="s">
        <v>114</v>
      </c>
      <c r="B73" s="2" t="s">
        <v>60</v>
      </c>
      <c r="C73" t="s">
        <v>121</v>
      </c>
      <c r="D73" s="2" t="s">
        <v>79</v>
      </c>
      <c r="E73" s="7">
        <v>239.9</v>
      </c>
      <c r="F73" s="7">
        <v>280</v>
      </c>
      <c r="G73" s="9">
        <f>Tabela1[[#This Row],[V. VENDA]]-Tabela1[[#This Row],[V. COMPRA]]</f>
        <v>40.099999999999994</v>
      </c>
    </row>
    <row r="74" spans="1:7" x14ac:dyDescent="0.25">
      <c r="A74" s="2" t="s">
        <v>115</v>
      </c>
      <c r="B74" s="2" t="s">
        <v>60</v>
      </c>
      <c r="C74" t="s">
        <v>121</v>
      </c>
      <c r="D74" s="2" t="s">
        <v>122</v>
      </c>
      <c r="E74" s="7">
        <v>239.9</v>
      </c>
      <c r="F74" s="7">
        <v>289.89999999999998</v>
      </c>
      <c r="G74" s="9">
        <f>Tabela1[[#This Row],[V. VENDA]]-Tabela1[[#This Row],[V. COMPRA]]</f>
        <v>49.999999999999972</v>
      </c>
    </row>
    <row r="75" spans="1:7" x14ac:dyDescent="0.25">
      <c r="A75" s="2" t="s">
        <v>116</v>
      </c>
      <c r="B75" s="2" t="s">
        <v>60</v>
      </c>
      <c r="C75" t="s">
        <v>121</v>
      </c>
      <c r="D75" s="2" t="s">
        <v>122</v>
      </c>
      <c r="E75" s="7">
        <v>239.9</v>
      </c>
      <c r="F75" s="7">
        <v>280</v>
      </c>
      <c r="G75" s="9">
        <f>Tabela1[[#This Row],[V. VENDA]]-Tabela1[[#This Row],[V. COMPRA]]</f>
        <v>40.099999999999994</v>
      </c>
    </row>
    <row r="76" spans="1:7" x14ac:dyDescent="0.25">
      <c r="A76" s="2" t="s">
        <v>117</v>
      </c>
      <c r="B76" s="2" t="s">
        <v>60</v>
      </c>
      <c r="C76" t="s">
        <v>121</v>
      </c>
      <c r="D76" s="2" t="s">
        <v>122</v>
      </c>
      <c r="E76" s="7">
        <v>16</v>
      </c>
      <c r="F76" s="7">
        <v>20</v>
      </c>
      <c r="G76" s="9">
        <f>Tabela1[[#This Row],[V. VENDA]]-Tabela1[[#This Row],[V. COMPRA]]</f>
        <v>4</v>
      </c>
    </row>
    <row r="77" spans="1:7" x14ac:dyDescent="0.25">
      <c r="A77" s="2" t="s">
        <v>118</v>
      </c>
      <c r="B77" s="2" t="s">
        <v>60</v>
      </c>
      <c r="C77" t="s">
        <v>121</v>
      </c>
      <c r="D77" s="2" t="s">
        <v>122</v>
      </c>
      <c r="E77" s="7">
        <v>100</v>
      </c>
      <c r="F77" s="7">
        <v>80</v>
      </c>
      <c r="G77" s="9">
        <f>Tabela1[[#This Row],[V. VENDA]]-Tabela1[[#This Row],[V. COMPRA]]</f>
        <v>-20</v>
      </c>
    </row>
    <row r="78" spans="1:7" x14ac:dyDescent="0.25">
      <c r="A78" s="2" t="s">
        <v>119</v>
      </c>
      <c r="B78" s="2" t="s">
        <v>60</v>
      </c>
      <c r="C78" t="s">
        <v>121</v>
      </c>
      <c r="D78" s="2" t="s">
        <v>122</v>
      </c>
      <c r="E78" s="7">
        <v>80</v>
      </c>
      <c r="F78" s="7">
        <v>99</v>
      </c>
      <c r="G78" s="9">
        <f>Tabela1[[#This Row],[V. VENDA]]-Tabela1[[#This Row],[V. COMPRA]]</f>
        <v>19</v>
      </c>
    </row>
    <row r="79" spans="1:7" x14ac:dyDescent="0.25">
      <c r="A79" s="2" t="s">
        <v>118</v>
      </c>
      <c r="B79" s="2" t="s">
        <v>60</v>
      </c>
      <c r="C79" t="s">
        <v>121</v>
      </c>
      <c r="D79" s="2" t="s">
        <v>80</v>
      </c>
      <c r="E79" s="7">
        <v>284.89999999999998</v>
      </c>
      <c r="F79" s="7">
        <v>299.89999999999998</v>
      </c>
      <c r="G79" s="9">
        <f>Tabela1[[#This Row],[V. VENDA]]-Tabela1[[#This Row],[V. COMPRA]]</f>
        <v>15</v>
      </c>
    </row>
    <row r="80" spans="1:7" x14ac:dyDescent="0.25">
      <c r="A80" s="3" t="s">
        <v>120</v>
      </c>
      <c r="B80" s="3" t="s">
        <v>60</v>
      </c>
      <c r="C80" t="s">
        <v>121</v>
      </c>
      <c r="D80" s="3" t="s">
        <v>80</v>
      </c>
      <c r="E80" s="8">
        <v>249.9</v>
      </c>
      <c r="F80" s="8">
        <v>249.9</v>
      </c>
      <c r="G80" s="10">
        <f>Tabela1[[#This Row],[V. VENDA]]-Tabela1[[#This Row],[V. COMPRA]]</f>
        <v>0</v>
      </c>
    </row>
    <row r="81" spans="1:7" x14ac:dyDescent="0.25">
      <c r="A81" s="2" t="s">
        <v>123</v>
      </c>
      <c r="B81" s="4" t="s">
        <v>147</v>
      </c>
      <c r="C81" t="s">
        <v>150</v>
      </c>
      <c r="D81" s="2" t="s">
        <v>79</v>
      </c>
      <c r="E81" s="7">
        <v>49.9</v>
      </c>
      <c r="F81" s="7">
        <v>49.9</v>
      </c>
      <c r="G81" s="9">
        <f>Tabela1[[#This Row],[V. VENDA]]-Tabela1[[#This Row],[V. COMPRA]]</f>
        <v>0</v>
      </c>
    </row>
    <row r="82" spans="1:7" x14ac:dyDescent="0.25">
      <c r="A82" s="2" t="s">
        <v>123</v>
      </c>
      <c r="B82" s="4" t="s">
        <v>148</v>
      </c>
      <c r="C82" t="s">
        <v>150</v>
      </c>
      <c r="D82" s="2" t="s">
        <v>122</v>
      </c>
      <c r="E82" s="7">
        <v>21.74</v>
      </c>
      <c r="F82" s="7">
        <v>38.9</v>
      </c>
      <c r="G82" s="9">
        <f>Tabela1[[#This Row],[V. VENDA]]-Tabela1[[#This Row],[V. COMPRA]]</f>
        <v>17.16</v>
      </c>
    </row>
    <row r="83" spans="1:7" x14ac:dyDescent="0.25">
      <c r="A83" s="2" t="s">
        <v>124</v>
      </c>
      <c r="B83" s="4" t="s">
        <v>148</v>
      </c>
      <c r="C83" t="s">
        <v>150</v>
      </c>
      <c r="D83" s="2" t="s">
        <v>122</v>
      </c>
      <c r="E83" s="7">
        <v>21.74</v>
      </c>
      <c r="F83" s="7">
        <v>24.9</v>
      </c>
      <c r="G83" s="9">
        <f>Tabela1[[#This Row],[V. VENDA]]-Tabela1[[#This Row],[V. COMPRA]]</f>
        <v>3.16</v>
      </c>
    </row>
    <row r="84" spans="1:7" x14ac:dyDescent="0.25">
      <c r="A84" s="2" t="s">
        <v>125</v>
      </c>
      <c r="B84" s="4" t="s">
        <v>148</v>
      </c>
      <c r="C84" t="s">
        <v>150</v>
      </c>
      <c r="D84" s="2" t="s">
        <v>122</v>
      </c>
      <c r="E84" s="7">
        <v>21.74</v>
      </c>
      <c r="F84" s="7">
        <v>44.9</v>
      </c>
      <c r="G84" s="9">
        <f>Tabela1[[#This Row],[V. VENDA]]-Tabela1[[#This Row],[V. COMPRA]]</f>
        <v>23.16</v>
      </c>
    </row>
    <row r="85" spans="1:7" x14ac:dyDescent="0.25">
      <c r="A85" s="2" t="s">
        <v>126</v>
      </c>
      <c r="B85" s="4" t="s">
        <v>148</v>
      </c>
      <c r="C85" t="s">
        <v>150</v>
      </c>
      <c r="D85" s="2" t="s">
        <v>122</v>
      </c>
      <c r="E85" s="7">
        <v>21.74</v>
      </c>
      <c r="F85" s="7">
        <v>24.9</v>
      </c>
      <c r="G85" s="9">
        <f>Tabela1[[#This Row],[V. VENDA]]-Tabela1[[#This Row],[V. COMPRA]]</f>
        <v>3.16</v>
      </c>
    </row>
    <row r="86" spans="1:7" x14ac:dyDescent="0.25">
      <c r="A86" s="2" t="s">
        <v>127</v>
      </c>
      <c r="B86" s="4" t="s">
        <v>148</v>
      </c>
      <c r="C86" t="s">
        <v>150</v>
      </c>
      <c r="D86" s="2" t="s">
        <v>122</v>
      </c>
      <c r="E86" s="7">
        <v>21.74</v>
      </c>
      <c r="F86" s="7">
        <v>39.9</v>
      </c>
      <c r="G86" s="9">
        <f>Tabela1[[#This Row],[V. VENDA]]-Tabela1[[#This Row],[V. COMPRA]]</f>
        <v>18.16</v>
      </c>
    </row>
    <row r="87" spans="1:7" x14ac:dyDescent="0.25">
      <c r="A87" s="2" t="s">
        <v>128</v>
      </c>
      <c r="B87" s="4" t="s">
        <v>148</v>
      </c>
      <c r="C87" t="s">
        <v>150</v>
      </c>
      <c r="D87" s="2" t="s">
        <v>122</v>
      </c>
      <c r="E87" s="7">
        <v>21.74</v>
      </c>
      <c r="F87" s="7">
        <v>24.9</v>
      </c>
      <c r="G87" s="9">
        <f>Tabela1[[#This Row],[V. VENDA]]-Tabela1[[#This Row],[V. COMPRA]]</f>
        <v>3.16</v>
      </c>
    </row>
    <row r="88" spans="1:7" x14ac:dyDescent="0.25">
      <c r="A88" s="2" t="s">
        <v>129</v>
      </c>
      <c r="B88" s="4" t="s">
        <v>148</v>
      </c>
      <c r="C88" t="s">
        <v>150</v>
      </c>
      <c r="D88" s="2" t="s">
        <v>122</v>
      </c>
      <c r="E88" s="7">
        <v>21.74</v>
      </c>
      <c r="F88" s="7">
        <v>53.62</v>
      </c>
      <c r="G88" s="9">
        <f>Tabela1[[#This Row],[V. VENDA]]-Tabela1[[#This Row],[V. COMPRA]]</f>
        <v>31.88</v>
      </c>
    </row>
    <row r="89" spans="1:7" x14ac:dyDescent="0.25">
      <c r="A89" s="2" t="s">
        <v>130</v>
      </c>
      <c r="B89" s="4" t="s">
        <v>148</v>
      </c>
      <c r="C89" t="s">
        <v>150</v>
      </c>
      <c r="D89" s="2" t="s">
        <v>122</v>
      </c>
      <c r="E89" s="7">
        <v>21.74</v>
      </c>
      <c r="F89" s="7">
        <v>27.9</v>
      </c>
      <c r="G89" s="9">
        <f>Tabela1[[#This Row],[V. VENDA]]-Tabela1[[#This Row],[V. COMPRA]]</f>
        <v>6.16</v>
      </c>
    </row>
    <row r="90" spans="1:7" x14ac:dyDescent="0.25">
      <c r="A90" s="2" t="s">
        <v>131</v>
      </c>
      <c r="B90" s="4" t="s">
        <v>148</v>
      </c>
      <c r="C90" t="s">
        <v>150</v>
      </c>
      <c r="D90" s="2" t="s">
        <v>122</v>
      </c>
      <c r="E90" s="7">
        <v>21.74</v>
      </c>
      <c r="F90" s="7">
        <v>24.9</v>
      </c>
      <c r="G90" s="9">
        <f>Tabela1[[#This Row],[V. VENDA]]-Tabela1[[#This Row],[V. COMPRA]]</f>
        <v>3.16</v>
      </c>
    </row>
    <row r="91" spans="1:7" x14ac:dyDescent="0.25">
      <c r="A91" s="2" t="s">
        <v>132</v>
      </c>
      <c r="B91" s="4" t="s">
        <v>148</v>
      </c>
      <c r="C91" t="s">
        <v>150</v>
      </c>
      <c r="D91" s="2" t="s">
        <v>122</v>
      </c>
      <c r="E91" s="7">
        <v>21.74</v>
      </c>
      <c r="F91" s="7">
        <v>24.9</v>
      </c>
      <c r="G91" s="9">
        <f>Tabela1[[#This Row],[V. VENDA]]-Tabela1[[#This Row],[V. COMPRA]]</f>
        <v>3.16</v>
      </c>
    </row>
    <row r="92" spans="1:7" x14ac:dyDescent="0.25">
      <c r="A92" s="2" t="s">
        <v>133</v>
      </c>
      <c r="B92" s="4" t="s">
        <v>148</v>
      </c>
      <c r="C92" t="s">
        <v>150</v>
      </c>
      <c r="D92" s="2" t="s">
        <v>122</v>
      </c>
      <c r="E92" s="7">
        <v>21.74</v>
      </c>
      <c r="F92" s="7">
        <v>24.9</v>
      </c>
      <c r="G92" s="9">
        <f>Tabela1[[#This Row],[V. VENDA]]-Tabela1[[#This Row],[V. COMPRA]]</f>
        <v>3.16</v>
      </c>
    </row>
    <row r="93" spans="1:7" x14ac:dyDescent="0.25">
      <c r="A93" s="2" t="s">
        <v>134</v>
      </c>
      <c r="B93" s="4" t="s">
        <v>148</v>
      </c>
      <c r="C93" t="s">
        <v>150</v>
      </c>
      <c r="D93" s="2" t="s">
        <v>122</v>
      </c>
      <c r="E93" s="7">
        <v>21.74</v>
      </c>
      <c r="F93" s="7">
        <v>24.9</v>
      </c>
      <c r="G93" s="9">
        <f>Tabela1[[#This Row],[V. VENDA]]-Tabela1[[#This Row],[V. COMPRA]]</f>
        <v>3.16</v>
      </c>
    </row>
    <row r="94" spans="1:7" x14ac:dyDescent="0.25">
      <c r="A94" s="2" t="s">
        <v>135</v>
      </c>
      <c r="B94" s="4" t="s">
        <v>148</v>
      </c>
      <c r="C94" t="s">
        <v>150</v>
      </c>
      <c r="D94" s="2" t="s">
        <v>122</v>
      </c>
      <c r="E94" s="7">
        <v>21.74</v>
      </c>
      <c r="F94" s="7">
        <v>24.9</v>
      </c>
      <c r="G94" s="9">
        <f>Tabela1[[#This Row],[V. VENDA]]-Tabela1[[#This Row],[V. COMPRA]]</f>
        <v>3.16</v>
      </c>
    </row>
    <row r="95" spans="1:7" x14ac:dyDescent="0.25">
      <c r="A95" s="2" t="s">
        <v>136</v>
      </c>
      <c r="B95" s="4" t="s">
        <v>148</v>
      </c>
      <c r="C95" t="s">
        <v>150</v>
      </c>
      <c r="D95" s="2" t="s">
        <v>122</v>
      </c>
      <c r="E95" s="7">
        <v>21.74</v>
      </c>
      <c r="F95" s="7">
        <v>24.9</v>
      </c>
      <c r="G95" s="9">
        <f>Tabela1[[#This Row],[V. VENDA]]-Tabela1[[#This Row],[V. COMPRA]]</f>
        <v>3.16</v>
      </c>
    </row>
    <row r="96" spans="1:7" x14ac:dyDescent="0.25">
      <c r="A96" s="2" t="s">
        <v>137</v>
      </c>
      <c r="B96" s="4" t="s">
        <v>148</v>
      </c>
      <c r="C96" t="s">
        <v>150</v>
      </c>
      <c r="D96" s="2" t="s">
        <v>122</v>
      </c>
      <c r="E96" s="7">
        <v>21.74</v>
      </c>
      <c r="F96" s="7">
        <v>24.9</v>
      </c>
      <c r="G96" s="9">
        <f>Tabela1[[#This Row],[V. VENDA]]-Tabela1[[#This Row],[V. COMPRA]]</f>
        <v>3.16</v>
      </c>
    </row>
    <row r="97" spans="1:7" x14ac:dyDescent="0.25">
      <c r="A97" s="2" t="s">
        <v>138</v>
      </c>
      <c r="B97" s="4" t="s">
        <v>148</v>
      </c>
      <c r="C97" t="s">
        <v>150</v>
      </c>
      <c r="D97" s="2" t="s">
        <v>122</v>
      </c>
      <c r="E97" s="7">
        <v>21.74</v>
      </c>
      <c r="F97" s="7">
        <v>29.9</v>
      </c>
      <c r="G97" s="9">
        <f>Tabela1[[#This Row],[V. VENDA]]-Tabela1[[#This Row],[V. COMPRA]]</f>
        <v>8.16</v>
      </c>
    </row>
    <row r="98" spans="1:7" x14ac:dyDescent="0.25">
      <c r="A98" s="2" t="s">
        <v>139</v>
      </c>
      <c r="B98" s="4" t="s">
        <v>148</v>
      </c>
      <c r="C98" t="s">
        <v>150</v>
      </c>
      <c r="D98" s="2" t="s">
        <v>122</v>
      </c>
      <c r="E98" s="7">
        <v>21.74</v>
      </c>
      <c r="F98" s="7">
        <v>24.9</v>
      </c>
      <c r="G98" s="9">
        <f>Tabela1[[#This Row],[V. VENDA]]-Tabela1[[#This Row],[V. COMPRA]]</f>
        <v>3.16</v>
      </c>
    </row>
    <row r="99" spans="1:7" x14ac:dyDescent="0.25">
      <c r="A99" s="2" t="s">
        <v>140</v>
      </c>
      <c r="B99" s="4" t="s">
        <v>148</v>
      </c>
      <c r="C99" t="s">
        <v>150</v>
      </c>
      <c r="D99" s="2" t="s">
        <v>122</v>
      </c>
      <c r="E99" s="7">
        <v>21.74</v>
      </c>
      <c r="F99" s="7">
        <v>27.9</v>
      </c>
      <c r="G99" s="9">
        <f>Tabela1[[#This Row],[V. VENDA]]-Tabela1[[#This Row],[V. COMPRA]]</f>
        <v>6.16</v>
      </c>
    </row>
    <row r="100" spans="1:7" x14ac:dyDescent="0.25">
      <c r="A100" s="2" t="s">
        <v>141</v>
      </c>
      <c r="B100" s="4" t="s">
        <v>148</v>
      </c>
      <c r="C100" t="s">
        <v>150</v>
      </c>
      <c r="D100" s="2" t="s">
        <v>122</v>
      </c>
      <c r="E100" s="7">
        <v>21.74</v>
      </c>
      <c r="F100" s="7">
        <v>24.9</v>
      </c>
      <c r="G100" s="9">
        <f>Tabela1[[#This Row],[V. VENDA]]-Tabela1[[#This Row],[V. COMPRA]]</f>
        <v>3.16</v>
      </c>
    </row>
    <row r="101" spans="1:7" x14ac:dyDescent="0.25">
      <c r="A101" s="2" t="s">
        <v>142</v>
      </c>
      <c r="B101" s="4" t="s">
        <v>148</v>
      </c>
      <c r="C101" t="s">
        <v>150</v>
      </c>
      <c r="D101" s="2" t="s">
        <v>122</v>
      </c>
      <c r="E101" s="7">
        <v>21.74</v>
      </c>
      <c r="F101" s="7">
        <v>24.9</v>
      </c>
      <c r="G101" s="9">
        <f>Tabela1[[#This Row],[V. VENDA]]-Tabela1[[#This Row],[V. COMPRA]]</f>
        <v>3.16</v>
      </c>
    </row>
    <row r="102" spans="1:7" x14ac:dyDescent="0.25">
      <c r="A102" s="2" t="s">
        <v>143</v>
      </c>
      <c r="B102" s="4" t="s">
        <v>148</v>
      </c>
      <c r="C102" t="s">
        <v>150</v>
      </c>
      <c r="D102" s="2" t="s">
        <v>122</v>
      </c>
      <c r="E102" s="7">
        <v>21.74</v>
      </c>
      <c r="F102" s="7">
        <v>24.9</v>
      </c>
      <c r="G102" s="9">
        <f>Tabela1[[#This Row],[V. VENDA]]-Tabela1[[#This Row],[V. COMPRA]]</f>
        <v>3.16</v>
      </c>
    </row>
    <row r="103" spans="1:7" x14ac:dyDescent="0.25">
      <c r="A103" s="2" t="s">
        <v>144</v>
      </c>
      <c r="B103" s="4" t="s">
        <v>148</v>
      </c>
      <c r="C103" t="s">
        <v>150</v>
      </c>
      <c r="D103" s="2" t="s">
        <v>122</v>
      </c>
      <c r="E103" s="7">
        <v>21.73</v>
      </c>
      <c r="F103" s="7">
        <v>24.9</v>
      </c>
      <c r="G103" s="9">
        <f>Tabela1[[#This Row],[V. VENDA]]-Tabela1[[#This Row],[V. COMPRA]]</f>
        <v>3.1699999999999982</v>
      </c>
    </row>
    <row r="104" spans="1:7" x14ac:dyDescent="0.25">
      <c r="A104" s="2" t="s">
        <v>145</v>
      </c>
      <c r="B104" s="4" t="s">
        <v>148</v>
      </c>
      <c r="C104" t="s">
        <v>150</v>
      </c>
      <c r="D104" s="2" t="s">
        <v>122</v>
      </c>
      <c r="E104" s="7">
        <v>21.73</v>
      </c>
      <c r="F104" s="7">
        <v>29.9</v>
      </c>
      <c r="G104" s="9">
        <f>Tabela1[[#This Row],[V. VENDA]]-Tabela1[[#This Row],[V. COMPRA]]</f>
        <v>8.1699999999999982</v>
      </c>
    </row>
    <row r="105" spans="1:7" x14ac:dyDescent="0.25">
      <c r="A105" s="2" t="s">
        <v>146</v>
      </c>
      <c r="B105" s="4" t="s">
        <v>149</v>
      </c>
      <c r="C105" t="s">
        <v>150</v>
      </c>
      <c r="D105" s="2" t="s">
        <v>80</v>
      </c>
      <c r="E105" s="7">
        <v>39.9</v>
      </c>
      <c r="F105" s="7">
        <v>39.9</v>
      </c>
      <c r="G105" s="9">
        <f>Tabela1[[#This Row],[V. VENDA]]-Tabela1[[#This Row],[V. COMPRA]]</f>
        <v>0</v>
      </c>
    </row>
    <row r="106" spans="1:7" x14ac:dyDescent="0.25">
      <c r="A106" s="2" t="s">
        <v>123</v>
      </c>
      <c r="B106" s="4" t="s">
        <v>149</v>
      </c>
      <c r="C106" t="s">
        <v>150</v>
      </c>
      <c r="D106" s="2" t="s">
        <v>80</v>
      </c>
      <c r="E106" s="7">
        <v>29.9</v>
      </c>
      <c r="F106" s="7">
        <v>39.9</v>
      </c>
      <c r="G106" s="9">
        <f>Tabela1[[#This Row],[V. VENDA]]-Tabela1[[#This Row],[V. COMPRA]]</f>
        <v>10</v>
      </c>
    </row>
    <row r="107" spans="1:7" x14ac:dyDescent="0.25">
      <c r="A107" s="2" t="s">
        <v>124</v>
      </c>
      <c r="B107" s="4" t="s">
        <v>149</v>
      </c>
      <c r="C107" t="s">
        <v>150</v>
      </c>
      <c r="D107" s="2" t="s">
        <v>80</v>
      </c>
      <c r="E107" s="7">
        <v>29.9</v>
      </c>
      <c r="F107" s="7">
        <v>39.9</v>
      </c>
      <c r="G107" s="9">
        <f>Tabela1[[#This Row],[V. VENDA]]-Tabela1[[#This Row],[V. COMPRA]]</f>
        <v>10</v>
      </c>
    </row>
    <row r="108" spans="1:7" x14ac:dyDescent="0.25">
      <c r="A108" s="2" t="s">
        <v>125</v>
      </c>
      <c r="B108" s="4" t="s">
        <v>149</v>
      </c>
      <c r="C108" t="s">
        <v>150</v>
      </c>
      <c r="D108" s="2" t="s">
        <v>80</v>
      </c>
      <c r="E108" s="7">
        <v>29.9</v>
      </c>
      <c r="F108" s="7">
        <v>39.9</v>
      </c>
      <c r="G108" s="9">
        <f>Tabela1[[#This Row],[V. VENDA]]-Tabela1[[#This Row],[V. COMPRA]]</f>
        <v>10</v>
      </c>
    </row>
    <row r="109" spans="1:7" x14ac:dyDescent="0.25">
      <c r="A109" s="2" t="s">
        <v>126</v>
      </c>
      <c r="B109" s="4" t="s">
        <v>149</v>
      </c>
      <c r="C109" t="s">
        <v>150</v>
      </c>
      <c r="D109" s="2" t="s">
        <v>80</v>
      </c>
      <c r="E109" s="7">
        <v>29.9</v>
      </c>
      <c r="F109" s="7">
        <v>39.9</v>
      </c>
      <c r="G109" s="9">
        <f>Tabela1[[#This Row],[V. VENDA]]-Tabela1[[#This Row],[V. COMPRA]]</f>
        <v>10</v>
      </c>
    </row>
    <row r="110" spans="1:7" x14ac:dyDescent="0.25">
      <c r="A110" s="3" t="s">
        <v>127</v>
      </c>
      <c r="B110" s="5" t="s">
        <v>149</v>
      </c>
      <c r="C110" t="s">
        <v>150</v>
      </c>
      <c r="D110" s="3" t="s">
        <v>80</v>
      </c>
      <c r="E110" s="8">
        <v>29.9</v>
      </c>
      <c r="F110" s="8">
        <v>39.9</v>
      </c>
      <c r="G110" s="10">
        <f>Tabela1[[#This Row],[V. VENDA]]-Tabela1[[#This Row],[V. COMPRA]]</f>
        <v>10</v>
      </c>
    </row>
    <row r="112" spans="1:7" x14ac:dyDescent="0.25">
      <c r="A112" s="29" t="s">
        <v>165</v>
      </c>
    </row>
    <row r="113" spans="1:1" x14ac:dyDescent="0.25">
      <c r="A113" s="29" t="s">
        <v>164</v>
      </c>
    </row>
    <row r="114" spans="1:1" x14ac:dyDescent="0.25">
      <c r="A114" s="30">
        <v>44762</v>
      </c>
    </row>
  </sheetData>
  <sheetProtection algorithmName="SHA-512" hashValue="GW8cqdMtFMh1XHQaCQecSMhS1Q+joPgLTL5WqPKzWRpoZ98iiPedYKQjTa/o1TaUfK/VgUZ9HXPHZ6GMQ3esmA==" saltValue="9/oiMxGMFpV1e0nMjfd2NQ==" spinCount="100000" sheet="1" objects="1" scenarios="1" selectLockedCells="1" pivotTables="0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T. MÊS</vt:lpstr>
      <vt:lpstr>T. COLEÇÃO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Vitor</dc:creator>
  <cp:lastModifiedBy>Vitor Fernandes</cp:lastModifiedBy>
  <dcterms:created xsi:type="dcterms:W3CDTF">2022-06-18T16:19:08Z</dcterms:created>
  <dcterms:modified xsi:type="dcterms:W3CDTF">2022-11-23T01:30:50Z</dcterms:modified>
</cp:coreProperties>
</file>